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comments/comment2.xml" ContentType="application/vnd.openxmlformats-officedocument.spreadsheetml.comments+xml"/>
  <Override PartName="/xl/worksheets/sheet16.xml" ContentType="application/vnd.openxmlformats-officedocument.spreadsheetml.worksheet+xml"/>
  <Override PartName="/xl/comments/comment3.xml" ContentType="application/vnd.openxmlformats-officedocument.spreadsheetml.comments+xml"/>
  <Override PartName="/xl/worksheets/sheet17.xml" ContentType="application/vnd.openxmlformats-officedocument.spreadsheetml.worksheet+xml"/>
  <Override PartName="/xl/comments/comment4.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5.xml" ContentType="application/vnd.openxmlformats-officedocument.spreadsheetml.comments+xml"/>
  <Override PartName="/xl/worksheets/sheet22.xml" ContentType="application/vnd.openxmlformats-officedocument.spreadsheetml.worksheet+xml"/>
  <Override PartName="/xl/comments/comment6.xml" ContentType="application/vnd.openxmlformats-officedocument.spreadsheetml.comments+xml"/>
  <Override PartName="/xl/worksheets/sheet23.xml" ContentType="application/vnd.openxmlformats-officedocument.spreadsheetml.worksheet+xml"/>
  <Override PartName="/xl/comments/comment7.xml" ContentType="application/vnd.openxmlformats-officedocument.spreadsheetml.comments+xml"/>
  <Override PartName="/xl/worksheets/sheet24.xml" ContentType="application/vnd.openxmlformats-officedocument.spreadsheetml.worksheet+xml"/>
  <Override PartName="/xl/comments/comment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Override PartName="/xl/drawings/drawing3.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10.xml" ContentType="application/vnd.openxmlformats-officedocument.drawingml.chart+xml"/>
  <Override PartName="/xl/charts/chart8.xml" ContentType="application/vnd.openxmlformats-officedocument.drawingml.chart+xml"/>
  <Override PartName="/xl/charts/chart5.xml" ContentType="application/vnd.openxmlformats-officedocument.drawingml.chart+xml"/>
  <Override PartName="/xl/charts/chart9.xml" ContentType="application/vnd.openxmlformats-officedocument.drawingml.chart+xml"/>
  <Override PartName="/xl/charts/chart2.xml" ContentType="application/vnd.openxmlformats-officedocument.drawingml.chart+xml"/>
  <Override PartName="/xl/charts/chart7.xml" ContentType="application/vnd.openxmlformats-officedocument.drawingml.chart+xml"/>
  <Override PartName="/xl/charts/chart1.xml" ContentType="application/vnd.openxmlformats-officedocument.drawingml.chart+xml"/>
  <Override PartName="/xl/charts/chart6.xml" ContentType="application/vnd.openxmlformats-officedocument.drawingml.char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2" autoFilterDateGrouping="1"/>
  </bookViews>
  <sheets>
    <sheet xmlns:r="http://schemas.openxmlformats.org/officeDocument/2006/relationships" name="00. GUIA" sheetId="1" state="visible" r:id="rId1"/>
    <sheet xmlns:r="http://schemas.openxmlformats.org/officeDocument/2006/relationships" name="00A. MENU" sheetId="2" state="visible" r:id="rId2"/>
    <sheet xmlns:r="http://schemas.openxmlformats.org/officeDocument/2006/relationships" name="00A. CICLO DA OBRA" sheetId="3" state="visible" r:id="rId3"/>
    <sheet xmlns:r="http://schemas.openxmlformats.org/officeDocument/2006/relationships" name="CRONOGRAMA PROJECT" sheetId="4" state="visible" r:id="rId4"/>
    <sheet xmlns:r="http://schemas.openxmlformats.org/officeDocument/2006/relationships" name="HISTOGRAMA PLANEJADO" sheetId="5" state="visible" r:id="rId5"/>
    <sheet xmlns:r="http://schemas.openxmlformats.org/officeDocument/2006/relationships" name="FLUXO PROJETADO TAF" sheetId="6" state="visible" r:id="rId6"/>
    <sheet xmlns:r="http://schemas.openxmlformats.org/officeDocument/2006/relationships" name="DASHBOARD BI TAF" sheetId="7" state="visible" r:id="rId7"/>
    <sheet xmlns:r="http://schemas.openxmlformats.org/officeDocument/2006/relationships" name="PAUTA DE SEGUNDA TAF" sheetId="8" state="visible" r:id="rId8"/>
    <sheet xmlns:r="http://schemas.openxmlformats.org/officeDocument/2006/relationships" name="LINHA DE BASE TAF" sheetId="9" state="visible" r:id="rId9"/>
    <sheet xmlns:r="http://schemas.openxmlformats.org/officeDocument/2006/relationships" name="CHECKS DA OPERAÇÃO TAF" sheetId="10" state="visible" r:id="rId10"/>
    <sheet xmlns:r="http://schemas.openxmlformats.org/officeDocument/2006/relationships" name="01. PAINEL" sheetId="11" state="visible" r:id="rId11"/>
    <sheet xmlns:r="http://schemas.openxmlformats.org/officeDocument/2006/relationships" name="01A. GESTÃO DA SEMANA" sheetId="12" state="visible" r:id="rId12"/>
    <sheet xmlns:r="http://schemas.openxmlformats.org/officeDocument/2006/relationships" name="01C. PLACAR SEMANAL" sheetId="13" state="visible" r:id="rId13"/>
    <sheet xmlns:r="http://schemas.openxmlformats.org/officeDocument/2006/relationships" name="02. PARÂMETROS" sheetId="14" state="visible" r:id="rId14"/>
    <sheet xmlns:r="http://schemas.openxmlformats.org/officeDocument/2006/relationships" name="03. CONTRATOS" sheetId="15" state="visible" r:id="rId15"/>
    <sheet xmlns:r="http://schemas.openxmlformats.org/officeDocument/2006/relationships" name="04. PLANO DAS OBRAS" sheetId="16" state="visible" r:id="rId16"/>
    <sheet xmlns:r="http://schemas.openxmlformats.org/officeDocument/2006/relationships" name="05. SEMANAS" sheetId="17" state="visible" r:id="rId17"/>
    <sheet xmlns:r="http://schemas.openxmlformats.org/officeDocument/2006/relationships" name="05A. COMPROMISSO DA SEMANA" sheetId="18" state="visible" r:id="rId18"/>
    <sheet xmlns:r="http://schemas.openxmlformats.org/officeDocument/2006/relationships" name="05B. APONTAMENTO DIÁRIO" sheetId="19" state="visible" r:id="rId19"/>
    <sheet xmlns:r="http://schemas.openxmlformats.org/officeDocument/2006/relationships" name="05C. RESTRIÇÕES" sheetId="20" state="visible" r:id="rId20"/>
    <sheet xmlns:r="http://schemas.openxmlformats.org/officeDocument/2006/relationships" name="06. MEDIÇÃO (BM)" sheetId="21" state="visible" r:id="rId21"/>
    <sheet xmlns:r="http://schemas.openxmlformats.org/officeDocument/2006/relationships" name="07. FATURAMENTO E RECEBIMENTO" sheetId="22" state="visible" r:id="rId22"/>
    <sheet xmlns:r="http://schemas.openxmlformats.org/officeDocument/2006/relationships" name="08. CUSTOS" sheetId="23" state="visible" r:id="rId23"/>
    <sheet xmlns:r="http://schemas.openxmlformats.org/officeDocument/2006/relationships" name="08A. CUSTO POR OBRA" sheetId="24" state="visible" r:id="rId24"/>
    <sheet xmlns:r="http://schemas.openxmlformats.org/officeDocument/2006/relationships" name="08D. LANÇAMENTOS 281" sheetId="25" state="visible" r:id="rId25"/>
    <sheet xmlns:r="http://schemas.openxmlformats.org/officeDocument/2006/relationships" name="08B. TODAS AS OBRAS" sheetId="26" state="visible" r:id="rId26"/>
    <sheet xmlns:r="http://schemas.openxmlformats.org/officeDocument/2006/relationships" name="08C. RESULTADO POR OBRA" sheetId="27" state="visible" r:id="rId27"/>
    <sheet xmlns:r="http://schemas.openxmlformats.org/officeDocument/2006/relationships" name="10. CAIXA" sheetId="28" state="visible" r:id="rId28"/>
    <sheet xmlns:r="http://schemas.openxmlformats.org/officeDocument/2006/relationships" name="12. EVM E CURVA S" sheetId="29" state="visible" r:id="rId29"/>
    <sheet xmlns:r="http://schemas.openxmlformats.org/officeDocument/2006/relationships" name="13. CHECKS" sheetId="30" state="visible" r:id="rId30"/>
    <sheet xmlns:r="http://schemas.openxmlformats.org/officeDocument/2006/relationships" name="14. FONTES" sheetId="31" state="visible" r:id="rId31"/>
    <sheet xmlns:r="http://schemas.openxmlformats.org/officeDocument/2006/relationships" name="15. CHANGELOG" sheetId="32" state="visible" r:id="rId32"/>
  </sheets>
  <definedNames>
    <definedName name="DATA_GESTAO">'02. PARÂMETROS'!$B$5</definedName>
    <definedName name="FERIADOS_342">'02. PARÂMETROS'!$F$18:$F$40</definedName>
    <definedName name="FERIADOS_343">'02. PARÂMETROS'!$G$18:$G$40</definedName>
    <definedName name="FERIADOS_281">'02. PARÂMETROS'!$I$18:$I$40</definedName>
    <definedName name="LISTA_FRENTES">'02. PARÂMETROS'!$A$45:$A$121</definedName>
    <definedName name="LISTA_CAUSAS">'02. PARÂMETROS'!$E$45:$E$52</definedName>
    <definedName name="_xlnm.Print_Area" localSheetId="2">'00A. CICLO DA OBRA'!$A$1:$G$26</definedName>
    <definedName name="_xlnm.Print_Area" localSheetId="3">'CRONOGRAMA PROJECT'!$A$1:$BR$30,'CRONOGRAMA PROJECT'!$A$31:$P$69</definedName>
    <definedName name="_xlnm.Print_Area" localSheetId="4">'HISTOGRAMA PLANEJADO'!$A$1:$Z$163</definedName>
    <definedName name="_xlnm.Print_Area" localSheetId="5">'FLUXO PROJETADO TAF'!$A$1:$S$103</definedName>
    <definedName name="_xlnm.Print_Area" localSheetId="6">'DASHBOARD BI TAF'!$A$1:$T$66</definedName>
    <definedName name="_xlnm.Print_Area" localSheetId="7">'PAUTA DE SEGUNDA TAF'!$A$1:$F$77</definedName>
    <definedName name="_xlnm.Print_Area" localSheetId="8">'LINHA DE BASE TAF'!$A$1:$H$30</definedName>
    <definedName name="_xlnm.Print_Area" localSheetId="9">'CHECKS DA OPERAÇÃO TAF'!$A$1:$F$32</definedName>
    <definedName name="_xlnm._FilterDatabase" localSheetId="19" hidden="1">'05C. RESTRIÇÕES'!$A$4:$W$204</definedName>
    <definedName name="_xlnm._FilterDatabase" localSheetId="24" hidden="1">'08D. LANÇAMENTOS 281'!$A$3:$N$345</definedName>
  </definedNames>
  <calcPr calcId="191029" fullCalcOnLoad="1"/>
</workbook>
</file>

<file path=xl/styles.xml><?xml version="1.0" encoding="utf-8"?>
<styleSheet xmlns="http://schemas.openxmlformats.org/spreadsheetml/2006/main">
  <numFmts count="30">
    <numFmt numFmtId="164" formatCode="dd/mm/yy"/>
    <numFmt numFmtId="165" formatCode="[&gt;=1000000]&quot;R$ &quot;0.00,,&quot; mi&quot;;[&gt;=1000]&quot;R$ &quot;#,##0,&quot; mil&quot;;&quot;R$ &quot;#,##0"/>
    <numFmt numFmtId="166" formatCode="0.0%"/>
    <numFmt numFmtId="167" formatCode="#,##0;\(#,##0\);&quot;-&quot;"/>
    <numFmt numFmtId="168" formatCode="\R\$\ #,##0.00;[Red]\-\R\$\ #,##0.00;\-"/>
    <numFmt numFmtId="169" formatCode="#,##0.0;\-#,##0.0;\-"/>
    <numFmt numFmtId="170" formatCode="#,##0;\-#,##0;\-"/>
    <numFmt numFmtId="171" formatCode="&quot;glosa &quot;0%"/>
    <numFmt numFmtId="172" formatCode="0.0"/>
    <numFmt numFmtId="173" formatCode="0.0;\-0.0;\-"/>
    <numFmt numFmtId="174" formatCode="dd/mm"/>
    <numFmt numFmtId="175" formatCode="0.000000"/>
    <numFmt numFmtId="176" formatCode="0;\-0;0"/>
    <numFmt numFmtId="177" formatCode="#,##0;\-#,##0;0"/>
    <numFmt numFmtId="178" formatCode="yyyy-mm-dd h:mm:ss"/>
    <numFmt numFmtId="179" formatCode="dd/mm/yyyy;;"/>
    <numFmt numFmtId="180" formatCode="#,##0.00;\(#,##0.00\);&quot;-&quot;"/>
    <numFmt numFmtId="181" formatCode="#,##0.0"/>
    <numFmt numFmtId="182" formatCode="mmm/yy"/>
    <numFmt numFmtId="183" formatCode="dd/mm/yy;;&quot;sem lançamento&quot;"/>
    <numFmt numFmtId="184" formatCode="mm/yy;;&quot;sem BM&quot;"/>
    <numFmt numFmtId="185" formatCode="[&gt;=1000000]&quot;parte TAF R$ &quot;0.00,,&quot; mi&quot;;[&gt;=1000]&quot;parte TAF R$ &quot;#,##0,&quot; mil&quot;;&quot;parte TAF R$ &quot;#,##0"/>
    <numFmt numFmtId="186" formatCode="&quot;342: prioridade &quot;0"/>
    <numFmt numFmtId="187" formatCode="&quot;343: prioridade &quot;0"/>
    <numFmt numFmtId="188" formatCode="&quot;281: prioridade &quot;0"/>
    <numFmt numFmtId="189" formatCode="0 &quot;vb&quot;"/>
    <numFmt numFmtId="190" formatCode="#,##0.00 &quot;m³&quot;"/>
    <numFmt numFmtId="191" formatCode="#,##0.00 &quot;m&quot;"/>
    <numFmt numFmtId="192" formatCode="#,##0.00 &quot;m²&quot;"/>
    <numFmt numFmtId="193" formatCode="0 &quot;un&quot;"/>
  </numFmts>
  <fonts count="43">
    <font>
      <name val="Calibri"/>
      <family val="2"/>
      <color theme="1"/>
      <sz val="11"/>
      <scheme val="minor"/>
    </font>
    <font>
      <name val="Arial"/>
      <b val="1"/>
      <color rgb="FFFFFFFF"/>
      <sz val="17"/>
    </font>
    <font>
      <name val="Arial"/>
      <i val="1"/>
      <color rgb="FF595959"/>
      <sz val="9"/>
    </font>
    <font>
      <name val="Arial"/>
      <b val="1"/>
      <color rgb="FFFFFFFF"/>
      <sz val="9"/>
    </font>
    <font>
      <name val="Arial"/>
      <b val="1"/>
      <color rgb="FFFFFFFF"/>
      <sz val="10"/>
    </font>
    <font>
      <name val="Arial"/>
      <sz val="10"/>
    </font>
    <font>
      <name val="Arial"/>
      <color rgb="FF0000FF"/>
      <sz val="10"/>
    </font>
    <font>
      <name val="Arial"/>
      <b val="1"/>
      <sz val="10"/>
    </font>
    <font>
      <name val="Arial"/>
      <b val="1"/>
      <color rgb="FFFFFFFF"/>
      <sz val="11"/>
    </font>
    <font>
      <name val="Arial"/>
      <color rgb="FF006100"/>
      <sz val="10"/>
    </font>
    <font>
      <name val="Arial"/>
      <color rgb="FFFFFFFF"/>
      <sz val="8"/>
    </font>
    <font>
      <name val="Arial"/>
      <b val="1"/>
      <color rgb="FF595959"/>
      <sz val="9"/>
    </font>
    <font>
      <name val="Arial"/>
      <b val="1"/>
      <color rgb="FF1F3864"/>
      <sz val="16"/>
    </font>
    <font>
      <name val="Calibri"/>
      <family val="2"/>
      <color theme="10"/>
      <sz val="11"/>
      <u val="single"/>
      <scheme val="minor"/>
    </font>
    <font>
      <name val="Arial"/>
      <family val="2"/>
      <color theme="1"/>
      <sz val="10"/>
    </font>
    <font>
      <name val="Arial"/>
      <family val="2"/>
      <b val="1"/>
      <color rgb="FF1F3864"/>
      <sz val="16"/>
    </font>
    <font>
      <name val="Arial"/>
      <family val="2"/>
      <i val="1"/>
      <color rgb="FF595959"/>
      <sz val="10"/>
    </font>
    <font>
      <name val="Arial"/>
      <family val="2"/>
      <i val="1"/>
      <color rgb="FF595959"/>
      <sz val="9"/>
    </font>
    <font>
      <name val="Arial"/>
      <family val="2"/>
      <color theme="1"/>
      <sz val="8"/>
    </font>
    <font>
      <name val="Arial"/>
      <family val="2"/>
      <i val="1"/>
      <color rgb="FF595959"/>
      <sz val="8"/>
    </font>
    <font>
      <name val="Arial"/>
      <family val="2"/>
      <b val="1"/>
      <color rgb="FFFFFFFF"/>
      <sz val="10"/>
    </font>
    <font>
      <name val="Arial"/>
      <family val="2"/>
      <b val="1"/>
      <color theme="1"/>
      <sz val="10"/>
    </font>
    <font>
      <name val="Arial"/>
      <family val="2"/>
      <color rgb="FF0000FF"/>
      <sz val="10"/>
    </font>
    <font>
      <name val="Arial"/>
      <family val="2"/>
      <b val="1"/>
      <i val="1"/>
      <color rgb="FF595959"/>
      <sz val="8"/>
    </font>
    <font>
      <name val="Arial"/>
      <family val="2"/>
      <b val="1"/>
      <color rgb="FF0000FF"/>
      <sz val="10"/>
    </font>
    <font>
      <name val="Arial"/>
      <family val="2"/>
      <b val="1"/>
      <color rgb="FFFFFFFF"/>
      <sz val="8"/>
    </font>
    <font>
      <name val="Arial"/>
      <family val="2"/>
      <b val="1"/>
      <color rgb="FFC00000"/>
      <sz val="10"/>
    </font>
    <font>
      <name val="Arial"/>
      <family val="2"/>
      <color rgb="FF0070C0"/>
      <sz val="10"/>
    </font>
    <font>
      <name val="Arial"/>
      <family val="2"/>
      <color theme="1"/>
      <sz val="6"/>
    </font>
    <font>
      <name val="Arial"/>
      <family val="2"/>
      <b val="1"/>
      <color rgb="FF1F3864"/>
      <sz val="10"/>
    </font>
    <font>
      <name val="Arial"/>
      <family val="2"/>
      <i val="1"/>
      <color theme="1"/>
      <sz val="9"/>
    </font>
    <font>
      <name val="Arial"/>
      <family val="2"/>
      <color theme="1"/>
      <sz val="9"/>
    </font>
    <font>
      <name val="Arial"/>
      <family val="2"/>
      <color rgb="FFA6A6A6"/>
      <sz val="8"/>
    </font>
    <font>
      <name val="Arial"/>
      <family val="2"/>
      <b val="1"/>
      <color theme="1"/>
      <sz val="14"/>
    </font>
    <font>
      <name val="Arial"/>
      <family val="2"/>
      <color rgb="FF595959"/>
      <sz val="9"/>
    </font>
    <font>
      <name val="Arial"/>
      <family val="2"/>
      <b val="1"/>
      <color theme="1"/>
      <sz val="12"/>
    </font>
    <font>
      <name val="Calibri"/>
      <family val="2"/>
      <b val="1"/>
      <color rgb="FFFFFFFF"/>
      <sz val="11"/>
      <scheme val="minor"/>
    </font>
    <font>
      <name val="Arial"/>
      <color rgb="FF595959"/>
      <sz val="9"/>
    </font>
    <font>
      <name val="Arial"/>
      <b val="1"/>
      <sz val="12"/>
    </font>
    <font>
      <name val="Arial"/>
      <b val="1"/>
      <color rgb="FF1F3864"/>
      <sz val="10"/>
    </font>
    <font>
      <name val="Arial"/>
      <sz val="9"/>
    </font>
    <font>
      <name val="Arial"/>
      <family val="2"/>
      <b val="1"/>
      <sz val="10"/>
    </font>
    <font>
      <name val="Arial"/>
      <family val="2"/>
      <sz val="10"/>
    </font>
  </fonts>
  <fills count="17">
    <fill>
      <patternFill/>
    </fill>
    <fill>
      <patternFill patternType="gray125"/>
    </fill>
    <fill>
      <patternFill patternType="solid">
        <fgColor rgb="FF1F3864"/>
      </patternFill>
    </fill>
    <fill>
      <patternFill patternType="solid">
        <fgColor rgb="FF2E5C8A"/>
      </patternFill>
    </fill>
    <fill>
      <patternFill patternType="solid">
        <fgColor rgb="FFFFFF00"/>
      </patternFill>
    </fill>
    <fill>
      <patternFill patternType="solid">
        <fgColor rgb="FF2E8B99"/>
      </patternFill>
    </fill>
    <fill>
      <patternFill patternType="solid">
        <fgColor rgb="FFF2F2F2"/>
      </patternFill>
    </fill>
    <fill>
      <patternFill patternType="solid">
        <fgColor rgb="FFFFF2CC"/>
      </patternFill>
    </fill>
    <fill>
      <patternFill patternType="solid">
        <fgColor rgb="FFEDEDED"/>
      </patternFill>
    </fill>
    <fill>
      <patternFill patternType="solid">
        <fgColor rgb="FFD9E1F2"/>
      </patternFill>
    </fill>
    <fill>
      <patternFill patternType="solid">
        <fgColor rgb="FFF4B183"/>
      </patternFill>
    </fill>
    <fill>
      <patternFill patternType="solid">
        <fgColor rgb="FF1F3864"/>
        <bgColor indexed="64"/>
      </patternFill>
    </fill>
    <fill>
      <patternFill patternType="solid">
        <fgColor rgb="FFFFF2CC"/>
        <bgColor indexed="64"/>
      </patternFill>
    </fill>
    <fill>
      <patternFill patternType="solid">
        <fgColor rgb="FFEDEDED"/>
        <bgColor indexed="64"/>
      </patternFill>
    </fill>
    <fill>
      <patternFill patternType="solid">
        <fgColor rgb="FF2E5C8A"/>
        <bgColor indexed="64"/>
      </patternFill>
    </fill>
    <fill>
      <patternFill patternType="solid">
        <fgColor rgb="FF595959"/>
        <bgColor indexed="64"/>
      </patternFill>
    </fill>
    <fill>
      <patternFill patternType="solid">
        <fgColor rgb="FFFCD5B4"/>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indexed="64"/>
      </top>
      <bottom/>
      <diagonal/>
    </border>
    <border>
      <left/>
      <right/>
      <top style="thin">
        <color auto="1"/>
      </top>
      <bottom/>
      <diagonal/>
    </border>
    <border>
      <left/>
      <right/>
      <top style="medium">
        <color auto="1"/>
      </top>
      <bottom/>
      <diagonal/>
    </border>
    <border>
      <left style="thin">
        <color rgb="FFBFBFBF"/>
      </left>
      <right style="thin">
        <color rgb="FFBFBFBF"/>
      </right>
      <top style="medium">
        <color auto="1"/>
      </top>
      <bottom style="thin">
        <color rgb="FFBFBFBF"/>
      </bottom>
      <diagonal/>
    </border>
    <border>
      <left style="thin">
        <color rgb="FFBFBFBF"/>
      </left>
      <right/>
      <top style="medium">
        <color auto="1"/>
      </top>
      <bottom style="thin">
        <color rgb="FFBFBFBF"/>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13" fillId="0" borderId="0"/>
  </cellStyleXfs>
  <cellXfs count="357">
    <xf numFmtId="0" fontId="0" fillId="0" borderId="0" pivotButton="0" quotePrefix="0" xfId="0"/>
    <xf numFmtId="0" fontId="1" fillId="2" borderId="0" pivotButton="0" quotePrefix="0" xfId="0"/>
    <xf numFmtId="0" fontId="0" fillId="2" borderId="0" pivotButton="0" quotePrefix="0" xfId="0"/>
    <xf numFmtId="0" fontId="3" fillId="2" borderId="0" applyAlignment="1" pivotButton="0" quotePrefix="0" xfId="0">
      <alignment horizontal="right" vertical="center"/>
    </xf>
    <xf numFmtId="0" fontId="2" fillId="0" borderId="0" pivotButton="0" quotePrefix="0" xfId="0"/>
    <xf numFmtId="0" fontId="7" fillId="0" borderId="1" pivotButton="0" quotePrefix="0" xfId="0"/>
    <xf numFmtId="0" fontId="5" fillId="0" borderId="1" applyAlignment="1" pivotButton="0" quotePrefix="0" xfId="0">
      <alignment vertical="center" wrapText="1"/>
    </xf>
    <xf numFmtId="0" fontId="3" fillId="5" borderId="1" applyAlignment="1" pivotButton="0" quotePrefix="0" xfId="0">
      <alignment horizontal="center" vertical="center" wrapText="1"/>
    </xf>
    <xf numFmtId="0" fontId="11" fillId="0" borderId="0" pivotButton="0" quotePrefix="0" xfId="0"/>
    <xf numFmtId="0" fontId="3" fillId="3" borderId="1" applyAlignment="1" pivotButton="0" quotePrefix="0" xfId="0">
      <alignment horizontal="center" vertical="center" wrapText="1"/>
    </xf>
    <xf numFmtId="0" fontId="8" fillId="5" borderId="0" pivotButton="0" quotePrefix="0" xfId="0"/>
    <xf numFmtId="0" fontId="0" fillId="5" borderId="0" pivotButton="0" quotePrefix="0" xfId="0"/>
    <xf numFmtId="0" fontId="7" fillId="0" borderId="0" applyAlignment="1" pivotButton="0" quotePrefix="0" xfId="0">
      <alignment vertical="center" wrapText="1"/>
    </xf>
    <xf numFmtId="0" fontId="5" fillId="7" borderId="1" applyAlignment="1" pivotButton="0" quotePrefix="0" xfId="0">
      <alignment horizontal="center" vertical="center" wrapText="1"/>
    </xf>
    <xf numFmtId="0" fontId="0" fillId="0" borderId="0" applyAlignment="1" pivotButton="0" quotePrefix="0" xfId="0">
      <alignment horizontal="center" vertical="center"/>
    </xf>
    <xf numFmtId="0" fontId="5" fillId="9" borderId="1" applyAlignment="1" pivotButton="0" quotePrefix="0" xfId="0">
      <alignment horizontal="center" vertical="center" wrapText="1"/>
    </xf>
    <xf numFmtId="0" fontId="7" fillId="10" borderId="1" applyAlignment="1" pivotButton="0" quotePrefix="0" xfId="0">
      <alignment horizontal="center" vertical="center" wrapText="1"/>
    </xf>
    <xf numFmtId="164" fontId="9" fillId="0" borderId="0" pivotButton="0" quotePrefix="0" xfId="0"/>
    <xf numFmtId="0" fontId="7" fillId="0" borderId="0" pivotButton="0" quotePrefix="0" xfId="0"/>
    <xf numFmtId="0" fontId="10" fillId="0" borderId="0" pivotButton="0" quotePrefix="0" xfId="0"/>
    <xf numFmtId="0" fontId="11" fillId="8" borderId="0" pivotButton="0" quotePrefix="0" xfId="0"/>
    <xf numFmtId="0" fontId="0" fillId="8" borderId="0" pivotButton="0" quotePrefix="0" xfId="0"/>
    <xf numFmtId="165" fontId="12" fillId="8" borderId="0" pivotButton="0" quotePrefix="0" xfId="0"/>
    <xf numFmtId="0" fontId="4" fillId="3" borderId="0" applyAlignment="1" pivotButton="0" quotePrefix="0" xfId="0">
      <alignment horizontal="center" vertical="center" wrapText="1"/>
    </xf>
    <xf numFmtId="0" fontId="0" fillId="0" borderId="1" pivotButton="0" quotePrefix="0" xfId="0"/>
    <xf numFmtId="165" fontId="9" fillId="0" borderId="1" pivotButton="0" quotePrefix="0" xfId="0"/>
    <xf numFmtId="166" fontId="9" fillId="0" borderId="1" pivotButton="0" quotePrefix="0" xfId="0"/>
    <xf numFmtId="2" fontId="9" fillId="0" borderId="1" pivotButton="0" quotePrefix="0" xfId="0"/>
    <xf numFmtId="1" fontId="9" fillId="0" borderId="1" pivotButton="0" quotePrefix="0" xfId="0"/>
    <xf numFmtId="164" fontId="9" fillId="0" borderId="1" pivotButton="0" quotePrefix="0" xfId="0"/>
    <xf numFmtId="0" fontId="5" fillId="0" borderId="1" pivotButton="0" quotePrefix="0" xfId="0"/>
    <xf numFmtId="2" fontId="9" fillId="0" borderId="1" applyAlignment="1" pivotButton="0" quotePrefix="0" xfId="0">
      <alignment horizontal="center" vertical="center"/>
    </xf>
    <xf numFmtId="0" fontId="2" fillId="0" borderId="1" applyAlignment="1" pivotButton="0" quotePrefix="0" xfId="0">
      <alignment vertical="center" wrapText="1"/>
    </xf>
    <xf numFmtId="167" fontId="9" fillId="0" borderId="1" applyAlignment="1" pivotButton="0" quotePrefix="0" xfId="0">
      <alignment horizontal="center" vertical="center"/>
    </xf>
    <xf numFmtId="9" fontId="9" fillId="0" borderId="1" applyAlignment="1" pivotButton="0" quotePrefix="0" xfId="0">
      <alignment horizontal="center" vertical="center"/>
    </xf>
    <xf numFmtId="1" fontId="9" fillId="0" borderId="1" applyAlignment="1" pivotButton="0" quotePrefix="0" xfId="0">
      <alignment horizontal="center" vertical="center"/>
    </xf>
    <xf numFmtId="167" fontId="9" fillId="0" borderId="1" pivotButton="0" quotePrefix="0" xfId="0"/>
    <xf numFmtId="164" fontId="6" fillId="0" borderId="1" pivotButton="0" quotePrefix="0" xfId="0"/>
    <xf numFmtId="166" fontId="6" fillId="0" borderId="1" pivotButton="0" quotePrefix="0" xfId="0"/>
    <xf numFmtId="167" fontId="6" fillId="4" borderId="1" pivotButton="0" quotePrefix="0" xfId="0"/>
    <xf numFmtId="0" fontId="6" fillId="0" borderId="1" applyAlignment="1" pivotButton="0" quotePrefix="0" xfId="0">
      <alignment vertical="center" wrapText="1"/>
    </xf>
    <xf numFmtId="168" fontId="6" fillId="0" borderId="1" pivotButton="0" quotePrefix="0" xfId="0"/>
    <xf numFmtId="1" fontId="6" fillId="0" borderId="1" pivotButton="0" quotePrefix="0" xfId="0"/>
    <xf numFmtId="168" fontId="6" fillId="4" borderId="1" pivotButton="0" quotePrefix="0" xfId="0"/>
    <xf numFmtId="164" fontId="5" fillId="0" borderId="1" pivotButton="0" quotePrefix="0" xfId="0"/>
    <xf numFmtId="167" fontId="6" fillId="0" borderId="1" pivotButton="0" quotePrefix="0" xfId="0"/>
    <xf numFmtId="167" fontId="7" fillId="6" borderId="1" pivotButton="0" quotePrefix="0" xfId="0"/>
    <xf numFmtId="169" fontId="6" fillId="0" borderId="1" pivotButton="0" quotePrefix="0" xfId="0"/>
    <xf numFmtId="169" fontId="7" fillId="6" borderId="1" pivotButton="0" quotePrefix="0" xfId="0"/>
    <xf numFmtId="0" fontId="6" fillId="0" borderId="1" pivotButton="0" quotePrefix="0" xfId="0"/>
    <xf numFmtId="9" fontId="5" fillId="0" borderId="1" pivotButton="0" quotePrefix="0" xfId="0"/>
    <xf numFmtId="17" fontId="6" fillId="0" borderId="1" pivotButton="0" quotePrefix="0" xfId="0"/>
    <xf numFmtId="167" fontId="5" fillId="0" borderId="1" pivotButton="0" quotePrefix="0" xfId="0"/>
    <xf numFmtId="0" fontId="4" fillId="3" borderId="0" pivotButton="0" quotePrefix="0" xfId="0"/>
    <xf numFmtId="0" fontId="5" fillId="0" borderId="0" pivotButton="0" quotePrefix="0" xfId="0"/>
    <xf numFmtId="166" fontId="5" fillId="0" borderId="1" pivotButton="0" quotePrefix="0" xfId="0"/>
    <xf numFmtId="0" fontId="7" fillId="6" borderId="1" pivotButton="0" quotePrefix="0" xfId="0"/>
    <xf numFmtId="166" fontId="7" fillId="6" borderId="1" pivotButton="0" quotePrefix="0" xfId="0"/>
    <xf numFmtId="2" fontId="5" fillId="0" borderId="1" pivotButton="0" quotePrefix="0" xfId="0"/>
    <xf numFmtId="2" fontId="7" fillId="6" borderId="1" pivotButton="0" quotePrefix="0" xfId="0"/>
    <xf numFmtId="0" fontId="2" fillId="0" borderId="1" pivotButton="0" quotePrefix="0" xfId="0"/>
    <xf numFmtId="167" fontId="5" fillId="6" borderId="1" pivotButton="0" quotePrefix="0" xfId="0"/>
    <xf numFmtId="17" fontId="2" fillId="0" borderId="0" pivotButton="0" quotePrefix="0" xfId="0"/>
    <xf numFmtId="167" fontId="7" fillId="0" borderId="0" pivotButton="0" quotePrefix="0" xfId="0"/>
    <xf numFmtId="167" fontId="7" fillId="7" borderId="0" pivotButton="0" quotePrefix="0" xfId="0"/>
    <xf numFmtId="0" fontId="7" fillId="0" borderId="0" applyAlignment="1" pivotButton="0" quotePrefix="0" xfId="0">
      <alignment horizontal="right" vertical="center"/>
    </xf>
    <xf numFmtId="0" fontId="7" fillId="0" borderId="0"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vertical="center" wrapText="1"/>
    </xf>
    <xf numFmtId="164" fontId="5" fillId="0" borderId="0" pivotButton="0" quotePrefix="0" xfId="0"/>
    <xf numFmtId="0" fontId="2" fillId="4" borderId="0" applyAlignment="1" pivotButton="0" quotePrefix="0" xfId="0">
      <alignment vertical="center" wrapText="1"/>
    </xf>
    <xf numFmtId="0" fontId="0" fillId="0" borderId="0" pivotButton="0" quotePrefix="0" xfId="0"/>
    <xf numFmtId="0" fontId="7" fillId="6" borderId="0" pivotButton="0" quotePrefix="0" xfId="0"/>
    <xf numFmtId="0" fontId="14" fillId="0" borderId="0" pivotButton="0" quotePrefix="0" xfId="0"/>
    <xf numFmtId="0" fontId="15"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7" fillId="0" borderId="0" applyAlignment="1" pivotButton="0" quotePrefix="0" xfId="0">
      <alignment vertical="top" wrapText="1"/>
    </xf>
    <xf numFmtId="0" fontId="19" fillId="0" borderId="0" applyAlignment="1" pivotButton="0" quotePrefix="0" xfId="0">
      <alignment vertical="top" wrapText="1"/>
    </xf>
    <xf numFmtId="0" fontId="20" fillId="11" borderId="0" pivotButton="0" quotePrefix="0" xfId="0"/>
    <xf numFmtId="0" fontId="21" fillId="0" borderId="0" pivotButton="0" quotePrefix="0" xfId="0"/>
    <xf numFmtId="0" fontId="22" fillId="12" borderId="2" pivotButton="0" quotePrefix="0" xfId="0"/>
    <xf numFmtId="0" fontId="22" fillId="12" borderId="3" pivotButton="0" quotePrefix="0" xfId="0"/>
    <xf numFmtId="0" fontId="22" fillId="12" borderId="1" pivotButton="0" quotePrefix="0" xfId="0"/>
    <xf numFmtId="0" fontId="22" fillId="12" borderId="4" pivotButton="0" quotePrefix="0" xfId="0"/>
    <xf numFmtId="9" fontId="22" fillId="12" borderId="1" pivotButton="0" quotePrefix="0" xfId="0"/>
    <xf numFmtId="166" fontId="14" fillId="13" borderId="0" pivotButton="0" quotePrefix="0" xfId="0"/>
    <xf numFmtId="0" fontId="20" fillId="14" borderId="0" applyAlignment="1" pivotButton="0" quotePrefix="0" xfId="0">
      <alignment horizontal="center" vertical="center" wrapText="1"/>
    </xf>
    <xf numFmtId="17" fontId="20" fillId="14" borderId="0" applyAlignment="1" pivotButton="0" quotePrefix="0" xfId="0">
      <alignment horizontal="center" vertical="center" wrapText="1"/>
    </xf>
    <xf numFmtId="0" fontId="14" fillId="0" borderId="0" applyAlignment="1" pivotButton="0" quotePrefix="0" xfId="0">
      <alignment horizontal="right"/>
    </xf>
    <xf numFmtId="0" fontId="20" fillId="11" borderId="0" applyAlignment="1" pivotButton="0" quotePrefix="0" xfId="0">
      <alignment horizontal="right"/>
    </xf>
    <xf numFmtId="170" fontId="22" fillId="0" borderId="0" applyAlignment="1" pivotButton="0" quotePrefix="0" xfId="0">
      <alignment horizontal="right"/>
    </xf>
    <xf numFmtId="170" fontId="14" fillId="0" borderId="0" applyAlignment="1" pivotButton="0" quotePrefix="0" xfId="0">
      <alignment horizontal="right"/>
    </xf>
    <xf numFmtId="0" fontId="23" fillId="0" borderId="0" pivotButton="0" quotePrefix="0" xfId="0"/>
    <xf numFmtId="170" fontId="24" fillId="0" borderId="0" applyAlignment="1" pivotButton="0" quotePrefix="0" xfId="0">
      <alignment horizontal="right"/>
    </xf>
    <xf numFmtId="170" fontId="21" fillId="0" borderId="0" applyAlignment="1" pivotButton="0" quotePrefix="0" xfId="0">
      <alignment horizontal="right"/>
    </xf>
    <xf numFmtId="164" fontId="14" fillId="0" borderId="0" applyAlignment="1" pivotButton="0" quotePrefix="0" xfId="0">
      <alignment horizontal="right"/>
    </xf>
    <xf numFmtId="0" fontId="21" fillId="13" borderId="0" pivotButton="0" quotePrefix="0" xfId="0"/>
    <xf numFmtId="0" fontId="23" fillId="13" borderId="0" pivotButton="0" quotePrefix="0" xfId="0"/>
    <xf numFmtId="170" fontId="21" fillId="13" borderId="0" applyAlignment="1" pivotButton="0" quotePrefix="0" xfId="0">
      <alignment horizontal="right"/>
    </xf>
    <xf numFmtId="170" fontId="14" fillId="0" borderId="0" pivotButton="0" quotePrefix="0" xfId="0"/>
    <xf numFmtId="170" fontId="21" fillId="0" borderId="0" pivotButton="0" quotePrefix="0" xfId="0"/>
    <xf numFmtId="17" fontId="21" fillId="13" borderId="0" applyAlignment="1" pivotButton="0" quotePrefix="0" xfId="0">
      <alignment horizontal="right"/>
    </xf>
    <xf numFmtId="171" fontId="20" fillId="14" borderId="0" applyAlignment="1" pivotButton="0" quotePrefix="0" xfId="0">
      <alignment horizontal="right" vertical="center" wrapText="1"/>
    </xf>
    <xf numFmtId="0" fontId="24" fillId="12" borderId="1" pivotButton="0" quotePrefix="0" xfId="0"/>
    <xf numFmtId="171" fontId="24" fillId="12" borderId="1" applyAlignment="1" pivotButton="0" quotePrefix="0" xfId="0">
      <alignment horizontal="center" vertical="center" wrapText="1"/>
    </xf>
    <xf numFmtId="0" fontId="24" fillId="12" borderId="4" pivotButton="0" quotePrefix="0" xfId="0"/>
    <xf numFmtId="170" fontId="18" fillId="0" borderId="0" applyAlignment="1" pivotButton="0" quotePrefix="0" xfId="0">
      <alignment horizontal="right" shrinkToFit="1"/>
    </xf>
    <xf numFmtId="17" fontId="20" fillId="11" borderId="0" applyAlignment="1" pivotButton="0" quotePrefix="0" xfId="0">
      <alignment horizontal="right"/>
    </xf>
    <xf numFmtId="17" fontId="14" fillId="0" borderId="0" applyAlignment="1" pivotButton="0" quotePrefix="0" xfId="0">
      <alignment horizontal="center"/>
    </xf>
    <xf numFmtId="0" fontId="22" fillId="0" borderId="0" pivotButton="0" quotePrefix="0" xfId="0"/>
    <xf numFmtId="172" fontId="22" fillId="0" borderId="0" pivotButton="0" quotePrefix="0" xfId="0"/>
    <xf numFmtId="3" fontId="22" fillId="0" borderId="0" pivotButton="0" quotePrefix="0" xfId="0"/>
    <xf numFmtId="172" fontId="14" fillId="0" borderId="0" pivotButton="0" quotePrefix="0" xfId="0"/>
    <xf numFmtId="172" fontId="14" fillId="13" borderId="0" pivotButton="0" quotePrefix="0" xfId="0"/>
    <xf numFmtId="173" fontId="14" fillId="0" borderId="0" pivotButton="0" quotePrefix="0" xfId="0"/>
    <xf numFmtId="3" fontId="14" fillId="0" borderId="0" pivotButton="0" quotePrefix="0" xfId="0"/>
    <xf numFmtId="172" fontId="22" fillId="12" borderId="4" pivotButton="0" quotePrefix="0" xfId="0"/>
    <xf numFmtId="172" fontId="22" fillId="12" borderId="1" pivotButton="0" quotePrefix="0" xfId="0"/>
    <xf numFmtId="3" fontId="22" fillId="12" borderId="4" pivotButton="0" quotePrefix="0" xfId="0"/>
    <xf numFmtId="3" fontId="22" fillId="12" borderId="1" pivotButton="0" quotePrefix="0" xfId="0"/>
    <xf numFmtId="0" fontId="21" fillId="0" borderId="6" pivotButton="0" quotePrefix="0" xfId="0"/>
    <xf numFmtId="172" fontId="21" fillId="0" borderId="6" pivotButton="0" quotePrefix="0" xfId="0"/>
    <xf numFmtId="0" fontId="14" fillId="0" borderId="6" pivotButton="0" quotePrefix="0" xfId="0"/>
    <xf numFmtId="3" fontId="21" fillId="0" borderId="6" pivotButton="0" quotePrefix="0" xfId="0"/>
    <xf numFmtId="0" fontId="14" fillId="0" borderId="0" applyAlignment="1" pivotButton="0" quotePrefix="0" xfId="0">
      <alignment horizontal="center"/>
    </xf>
    <xf numFmtId="164" fontId="14" fillId="0" borderId="0" pivotButton="0" quotePrefix="0" xfId="0"/>
    <xf numFmtId="164" fontId="14" fillId="0" borderId="0" applyAlignment="1" pivotButton="0" quotePrefix="0" xfId="0">
      <alignment horizontal="center"/>
    </xf>
    <xf numFmtId="2" fontId="22" fillId="0" borderId="0" pivotButton="0" quotePrefix="0" xfId="0"/>
    <xf numFmtId="4" fontId="22" fillId="0" borderId="0" pivotButton="0" quotePrefix="0" xfId="0"/>
    <xf numFmtId="0" fontId="20" fillId="15" borderId="0" applyAlignment="1" pivotButton="0" quotePrefix="0" xfId="0">
      <alignment horizontal="center" vertical="center" wrapText="1"/>
    </xf>
    <xf numFmtId="0" fontId="14" fillId="0" borderId="0" applyAlignment="1" pivotButton="0" quotePrefix="0" xfId="0">
      <alignment wrapText="1"/>
    </xf>
    <xf numFmtId="0" fontId="14" fillId="0" borderId="0" applyAlignment="1" pivotButton="0" quotePrefix="0" xfId="0">
      <alignment vertical="top" wrapText="1"/>
    </xf>
    <xf numFmtId="174" fontId="25" fillId="14" borderId="0" applyAlignment="1" pivotButton="0" quotePrefix="0" xfId="0">
      <alignment horizontal="center" vertical="center" textRotation="90" wrapText="1"/>
    </xf>
    <xf numFmtId="0" fontId="26" fillId="0" borderId="0" applyAlignment="1" pivotButton="0" quotePrefix="0" xfId="0">
      <alignment horizontal="center"/>
    </xf>
    <xf numFmtId="0" fontId="27" fillId="0" borderId="0" applyAlignment="1" pivotButton="0" quotePrefix="0" xfId="0">
      <alignment horizontal="center"/>
    </xf>
    <xf numFmtId="0" fontId="16" fillId="0" borderId="0" applyAlignment="1" pivotButton="0" quotePrefix="0" xfId="0">
      <alignment horizontal="right"/>
    </xf>
    <xf numFmtId="0" fontId="28" fillId="0" borderId="0" applyAlignment="1" pivotButton="0" quotePrefix="0" xfId="0">
      <alignment horizontal="center"/>
    </xf>
    <xf numFmtId="164" fontId="22" fillId="0" borderId="0" pivotButton="0" quotePrefix="0" xfId="0"/>
    <xf numFmtId="175" fontId="14" fillId="0" borderId="0" pivotButton="0" quotePrefix="0" xfId="0"/>
    <xf numFmtId="3" fontId="16" fillId="0" borderId="0" applyAlignment="1" pivotButton="0" quotePrefix="0" xfId="0">
      <alignment horizontal="right"/>
    </xf>
    <xf numFmtId="9" fontId="14" fillId="0" borderId="0" pivotButton="0" quotePrefix="0" xfId="0"/>
    <xf numFmtId="1" fontId="14" fillId="0" borderId="0" applyAlignment="1" pivotButton="0" quotePrefix="0" xfId="0">
      <alignment horizontal="center"/>
    </xf>
    <xf numFmtId="176" fontId="14" fillId="0" borderId="0" applyAlignment="1" pivotButton="0" quotePrefix="0" xfId="0">
      <alignment horizontal="center"/>
    </xf>
    <xf numFmtId="3" fontId="14" fillId="0" borderId="0" applyAlignment="1" pivotButton="0" quotePrefix="0" xfId="0">
      <alignment horizontal="right"/>
    </xf>
    <xf numFmtId="3" fontId="22" fillId="0" borderId="0" applyAlignment="1" pivotButton="0" quotePrefix="0" xfId="0">
      <alignment horizontal="right"/>
    </xf>
    <xf numFmtId="0" fontId="22" fillId="12" borderId="2" applyAlignment="1" pivotButton="0" quotePrefix="0" xfId="0">
      <alignment horizontal="center"/>
    </xf>
    <xf numFmtId="0" fontId="22" fillId="12" borderId="4" applyAlignment="1" pivotButton="0" quotePrefix="0" xfId="0">
      <alignment horizontal="center"/>
    </xf>
    <xf numFmtId="0" fontId="22" fillId="12" borderId="1" applyAlignment="1" pivotButton="0" quotePrefix="0" xfId="0">
      <alignment horizontal="center"/>
    </xf>
    <xf numFmtId="0" fontId="22" fillId="12" borderId="3" applyAlignment="1" pivotButton="0" quotePrefix="0" xfId="0">
      <alignment horizontal="center"/>
    </xf>
    <xf numFmtId="9" fontId="22" fillId="12" borderId="4" applyAlignment="1" pivotButton="0" quotePrefix="0" xfId="0">
      <alignment horizontal="center"/>
    </xf>
    <xf numFmtId="9" fontId="22" fillId="12" borderId="1" applyAlignment="1" pivotButton="0" quotePrefix="0" xfId="0">
      <alignment horizontal="center"/>
    </xf>
    <xf numFmtId="0" fontId="21" fillId="0" borderId="7" pivotButton="0" quotePrefix="0" xfId="0"/>
    <xf numFmtId="0" fontId="14" fillId="0" borderId="7" applyAlignment="1" pivotButton="0" quotePrefix="0" xfId="0">
      <alignment horizontal="center"/>
    </xf>
    <xf numFmtId="0" fontId="14" fillId="0" borderId="7" pivotButton="0" quotePrefix="0" xfId="0"/>
    <xf numFmtId="164" fontId="14" fillId="0" borderId="7" applyAlignment="1" pivotButton="0" quotePrefix="0" xfId="0">
      <alignment horizontal="center"/>
    </xf>
    <xf numFmtId="1" fontId="14" fillId="0" borderId="7" applyAlignment="1" pivotButton="0" quotePrefix="0" xfId="0">
      <alignment horizontal="center"/>
    </xf>
    <xf numFmtId="0" fontId="22" fillId="12" borderId="8" applyAlignment="1" pivotButton="0" quotePrefix="0" xfId="0">
      <alignment horizontal="center"/>
    </xf>
    <xf numFmtId="0" fontId="22" fillId="12" borderId="9" applyAlignment="1" pivotButton="0" quotePrefix="0" xfId="0">
      <alignment horizontal="center"/>
    </xf>
    <xf numFmtId="9" fontId="22" fillId="12" borderId="8" applyAlignment="1" pivotButton="0" quotePrefix="0" xfId="0">
      <alignment horizontal="center"/>
    </xf>
    <xf numFmtId="3" fontId="14" fillId="0" borderId="7" applyAlignment="1" pivotButton="0" quotePrefix="0" xfId="0">
      <alignment horizontal="right"/>
    </xf>
    <xf numFmtId="3" fontId="16" fillId="0" borderId="7" applyAlignment="1" pivotButton="0" quotePrefix="0" xfId="0">
      <alignment horizontal="right"/>
    </xf>
    <xf numFmtId="176" fontId="14" fillId="0" borderId="7" applyAlignment="1" pivotButton="0" quotePrefix="0" xfId="0">
      <alignment horizontal="center"/>
    </xf>
    <xf numFmtId="0" fontId="28" fillId="0" borderId="7" applyAlignment="1" pivotButton="0" quotePrefix="0" xfId="0">
      <alignment horizontal="center"/>
    </xf>
    <xf numFmtId="3" fontId="22" fillId="0" borderId="7" applyAlignment="1" pivotButton="0" quotePrefix="0" xfId="0">
      <alignment horizontal="right"/>
    </xf>
    <xf numFmtId="0" fontId="29" fillId="0" borderId="0" pivotButton="0" quotePrefix="0" xfId="0"/>
    <xf numFmtId="0" fontId="30" fillId="0" borderId="0" pivotButton="0" quotePrefix="0" xfId="0"/>
    <xf numFmtId="170" fontId="22" fillId="0" borderId="0" pivotButton="0" quotePrefix="0" xfId="0"/>
    <xf numFmtId="0" fontId="21" fillId="0" borderId="5" pivotButton="0" quotePrefix="0" xfId="0"/>
    <xf numFmtId="0" fontId="14" fillId="0" borderId="5" pivotButton="0" quotePrefix="0" xfId="0"/>
    <xf numFmtId="170" fontId="14" fillId="0" borderId="5" applyAlignment="1" pivotButton="0" quotePrefix="0" xfId="0">
      <alignment horizontal="right"/>
    </xf>
    <xf numFmtId="170" fontId="21" fillId="0" borderId="5" applyAlignment="1" pivotButton="0" quotePrefix="0" xfId="0">
      <alignment horizontal="right"/>
    </xf>
    <xf numFmtId="0" fontId="14" fillId="0" borderId="0" applyAlignment="1" pivotButton="0" quotePrefix="0" xfId="0">
      <alignment wrapText="1"/>
    </xf>
    <xf numFmtId="177" fontId="14" fillId="0" borderId="0" applyAlignment="1" pivotButton="0" quotePrefix="0" xfId="0">
      <alignment horizontal="center"/>
    </xf>
    <xf numFmtId="0" fontId="21" fillId="0" borderId="0" applyAlignment="1" pivotButton="0" quotePrefix="0" xfId="0">
      <alignment horizontal="center"/>
    </xf>
    <xf numFmtId="0" fontId="31" fillId="0" borderId="0" applyAlignment="1" pivotButton="0" quotePrefix="0" xfId="0">
      <alignment wrapText="1"/>
    </xf>
    <xf numFmtId="177" fontId="22" fillId="0" borderId="0" applyAlignment="1" pivotButton="0" quotePrefix="0" xfId="0">
      <alignment horizontal="center"/>
    </xf>
    <xf numFmtId="0" fontId="24" fillId="12" borderId="0" applyAlignment="1" pivotButton="0" quotePrefix="0" xfId="0">
      <alignment horizontal="center"/>
    </xf>
    <xf numFmtId="17" fontId="24" fillId="12" borderId="0" applyAlignment="1" pivotButton="0" quotePrefix="0" xfId="0">
      <alignment horizontal="center"/>
    </xf>
    <xf numFmtId="0" fontId="32" fillId="0" borderId="0" pivotButton="0" quotePrefix="0" xfId="0"/>
    <xf numFmtId="0" fontId="20" fillId="11" borderId="0" applyAlignment="1" pivotButton="0" quotePrefix="0" xfId="0">
      <alignment horizontal="center" wrapText="1"/>
    </xf>
    <xf numFmtId="3" fontId="33" fillId="13" borderId="0" applyAlignment="1" pivotButton="0" quotePrefix="0" xfId="0">
      <alignment horizontal="center" shrinkToFit="1"/>
    </xf>
    <xf numFmtId="170" fontId="33" fillId="13" borderId="0" applyAlignment="1" pivotButton="0" quotePrefix="0" xfId="0">
      <alignment horizontal="center" shrinkToFit="1"/>
    </xf>
    <xf numFmtId="9" fontId="33" fillId="13" borderId="0" applyAlignment="1" pivotButton="0" quotePrefix="0" xfId="0">
      <alignment horizontal="center" shrinkToFit="1"/>
    </xf>
    <xf numFmtId="0" fontId="31" fillId="0" borderId="0" pivotButton="0" quotePrefix="0" xfId="0"/>
    <xf numFmtId="0" fontId="30" fillId="0" borderId="0" applyAlignment="1" pivotButton="0" quotePrefix="0" xfId="0">
      <alignment wrapText="1"/>
    </xf>
    <xf numFmtId="9" fontId="14" fillId="0" borderId="0" applyAlignment="1" pivotButton="0" quotePrefix="0" xfId="0">
      <alignment horizontal="right"/>
    </xf>
    <xf numFmtId="2" fontId="14" fillId="0" borderId="0" applyAlignment="1" pivotButton="0" quotePrefix="0" xfId="0">
      <alignment horizontal="right"/>
    </xf>
    <xf numFmtId="1" fontId="14" fillId="0" borderId="0" applyAlignment="1" pivotButton="0" quotePrefix="0" xfId="0">
      <alignment horizontal="right"/>
    </xf>
    <xf numFmtId="176" fontId="14" fillId="0" borderId="0" applyAlignment="1" pivotButton="0" quotePrefix="0" xfId="0">
      <alignment horizontal="right"/>
    </xf>
    <xf numFmtId="0" fontId="21" fillId="0" borderId="0" applyAlignment="1" pivotButton="0" quotePrefix="0" xfId="0">
      <alignment horizontal="right"/>
    </xf>
    <xf numFmtId="17" fontId="14" fillId="0" borderId="0" applyAlignment="1" pivotButton="0" quotePrefix="0" xfId="0">
      <alignment horizontal="right"/>
    </xf>
    <xf numFmtId="49" fontId="14" fillId="0" borderId="0" applyAlignment="1" pivotButton="0" quotePrefix="0" xfId="0">
      <alignment horizontal="right"/>
    </xf>
    <xf numFmtId="49" fontId="14" fillId="0" borderId="0" applyAlignment="1" pivotButton="0" quotePrefix="0" xfId="0">
      <alignment horizontal="left"/>
    </xf>
    <xf numFmtId="14" fontId="22" fillId="12" borderId="2" pivotButton="0" quotePrefix="0" xfId="0"/>
    <xf numFmtId="14" fontId="22" fillId="12" borderId="3" pivotButton="0" quotePrefix="0" xfId="0"/>
    <xf numFmtId="0" fontId="34" fillId="0" borderId="0" pivotButton="0" quotePrefix="0" xfId="0"/>
    <xf numFmtId="177" fontId="14" fillId="0" borderId="0" applyAlignment="1" pivotButton="0" quotePrefix="0" xfId="0">
      <alignment horizontal="right"/>
    </xf>
    <xf numFmtId="172" fontId="14" fillId="0" borderId="0" applyAlignment="1" pivotButton="0" quotePrefix="0" xfId="0">
      <alignment horizontal="right"/>
    </xf>
    <xf numFmtId="14" fontId="14" fillId="0" borderId="0" applyAlignment="1" pivotButton="0" quotePrefix="0" xfId="0">
      <alignment horizontal="right"/>
    </xf>
    <xf numFmtId="3" fontId="14" fillId="13" borderId="0" applyAlignment="1" pivotButton="0" quotePrefix="0" xfId="0">
      <alignment horizontal="right"/>
    </xf>
    <xf numFmtId="177" fontId="14" fillId="13" borderId="0" applyAlignment="1" pivotButton="0" quotePrefix="0" xfId="0">
      <alignment horizontal="right"/>
    </xf>
    <xf numFmtId="17" fontId="14" fillId="13" borderId="0" applyAlignment="1" pivotButton="0" quotePrefix="0" xfId="0">
      <alignment horizontal="right"/>
    </xf>
    <xf numFmtId="172" fontId="14" fillId="13" borderId="0" applyAlignment="1" pivotButton="0" quotePrefix="0" xfId="0">
      <alignment horizontal="right"/>
    </xf>
    <xf numFmtId="1" fontId="14" fillId="13" borderId="0" applyAlignment="1" pivotButton="0" quotePrefix="0" xfId="0">
      <alignment horizontal="right"/>
    </xf>
    <xf numFmtId="14" fontId="14" fillId="13" borderId="0" applyAlignment="1" pivotButton="0" quotePrefix="0" xfId="0">
      <alignment horizontal="right"/>
    </xf>
    <xf numFmtId="9" fontId="14" fillId="13" borderId="0" applyAlignment="1" pivotButton="0" quotePrefix="0" xfId="0">
      <alignment horizontal="right"/>
    </xf>
    <xf numFmtId="0" fontId="21" fillId="0" borderId="0" applyAlignment="1" pivotButton="0" quotePrefix="0" xfId="0">
      <alignment vertical="top" wrapText="1"/>
    </xf>
    <xf numFmtId="0" fontId="14" fillId="0" borderId="0" applyAlignment="1" pivotButton="0" quotePrefix="0" xfId="0">
      <alignment vertical="top" wrapText="1"/>
    </xf>
    <xf numFmtId="0" fontId="13" fillId="0" borderId="0" applyAlignment="1" pivotButton="0" quotePrefix="0" xfId="1">
      <alignment vertical="top" wrapText="1"/>
    </xf>
    <xf numFmtId="0" fontId="14" fillId="13" borderId="0" applyAlignment="1" pivotButton="0" quotePrefix="0" xfId="0">
      <alignment vertical="top" wrapText="1"/>
    </xf>
    <xf numFmtId="0" fontId="35" fillId="0" borderId="0" pivotButton="0" quotePrefix="0" xfId="0"/>
    <xf numFmtId="0" fontId="36" fillId="5" borderId="1" applyAlignment="1" pivotButton="0" quotePrefix="0" xfId="1">
      <alignment horizontal="center" vertical="center" wrapText="1"/>
    </xf>
    <xf numFmtId="170" fontId="5" fillId="0" borderId="0" pivotButton="0" quotePrefix="0" xfId="0"/>
    <xf numFmtId="0" fontId="4" fillId="3" borderId="10" applyAlignment="1" pivotButton="0" quotePrefix="0" xfId="0">
      <alignment horizontal="center" vertical="center" wrapText="1"/>
    </xf>
    <xf numFmtId="0" fontId="4" fillId="3" borderId="10" applyAlignment="1" pivotButton="0" quotePrefix="0" xfId="0">
      <alignment horizontal="left" vertical="center"/>
    </xf>
    <xf numFmtId="0" fontId="0" fillId="3" borderId="0" pivotButton="0" quotePrefix="0" xfId="0"/>
    <xf numFmtId="0" fontId="6" fillId="0" borderId="10" pivotButton="0" quotePrefix="0" xfId="0"/>
    <xf numFmtId="180" fontId="6" fillId="0" borderId="10" pivotButton="0" quotePrefix="0" xfId="0"/>
    <xf numFmtId="164" fontId="6" fillId="0" borderId="10" pivotButton="0" quotePrefix="0" xfId="0"/>
    <xf numFmtId="1" fontId="5" fillId="0" borderId="10" pivotButton="0" quotePrefix="0" xfId="0"/>
    <xf numFmtId="0" fontId="5" fillId="0" borderId="10" pivotButton="0" quotePrefix="0" xfId="0"/>
    <xf numFmtId="189" fontId="6" fillId="0" borderId="10" pivotButton="0" quotePrefix="0" xfId="0"/>
    <xf numFmtId="164" fontId="6" fillId="7" borderId="10" pivotButton="0" quotePrefix="0" xfId="0"/>
    <xf numFmtId="190" fontId="6" fillId="0" borderId="10" pivotButton="0" quotePrefix="0" xfId="0"/>
    <xf numFmtId="9" fontId="5" fillId="0" borderId="10" pivotButton="0" quotePrefix="0" xfId="0"/>
    <xf numFmtId="191" fontId="6" fillId="0" borderId="10" pivotButton="0" quotePrefix="0" xfId="0"/>
    <xf numFmtId="192" fontId="6" fillId="0" borderId="10" pivotButton="0" quotePrefix="0" xfId="0"/>
    <xf numFmtId="193" fontId="6" fillId="0" borderId="10" pivotButton="0" quotePrefix="0" xfId="0"/>
    <xf numFmtId="0" fontId="7" fillId="0" borderId="10" pivotButton="0" quotePrefix="0" xfId="0"/>
    <xf numFmtId="180" fontId="7" fillId="0" borderId="10" pivotButton="0" quotePrefix="0" xfId="0"/>
    <xf numFmtId="164" fontId="5" fillId="0" borderId="10" pivotButton="0" quotePrefix="0" xfId="0"/>
    <xf numFmtId="180" fontId="5" fillId="0" borderId="10" pivotButton="0" quotePrefix="0" xfId="0"/>
    <xf numFmtId="0" fontId="5" fillId="0" borderId="10" applyAlignment="1" pivotButton="0" quotePrefix="0" xfId="0">
      <alignment vertical="top" wrapText="1"/>
    </xf>
    <xf numFmtId="1" fontId="6" fillId="0" borderId="10" pivotButton="0" quotePrefix="0" xfId="0"/>
    <xf numFmtId="172" fontId="5" fillId="0" borderId="0" pivotButton="0" quotePrefix="0" xfId="0"/>
    <xf numFmtId="0" fontId="6" fillId="0" borderId="0" pivotButton="0" quotePrefix="0" xfId="0"/>
    <xf numFmtId="3" fontId="5" fillId="0" borderId="0" pivotButton="0" quotePrefix="0" xfId="0"/>
    <xf numFmtId="172" fontId="6" fillId="7" borderId="0" pivotButton="0" quotePrefix="0" xfId="0"/>
    <xf numFmtId="1" fontId="6" fillId="7" borderId="0" pivotButton="0" quotePrefix="0" xfId="0"/>
    <xf numFmtId="1" fontId="5" fillId="0" borderId="0" pivotButton="0" quotePrefix="0" xfId="0"/>
    <xf numFmtId="0" fontId="37" fillId="0" borderId="0" pivotButton="0" quotePrefix="0" xfId="0"/>
    <xf numFmtId="1" fontId="7" fillId="0" borderId="0" pivotButton="0" quotePrefix="0" xfId="0"/>
    <xf numFmtId="17" fontId="7" fillId="0" borderId="0" pivotButton="0" quotePrefix="0" xfId="0"/>
    <xf numFmtId="0" fontId="6" fillId="0" borderId="0" applyAlignment="1" pivotButton="0" quotePrefix="0" xfId="0">
      <alignment horizontal="center"/>
    </xf>
    <xf numFmtId="164" fontId="6" fillId="0" borderId="0" applyAlignment="1" pivotButton="0" quotePrefix="0" xfId="0">
      <alignment horizontal="center"/>
    </xf>
    <xf numFmtId="172" fontId="6" fillId="0" borderId="0" pivotButton="0" quotePrefix="0" xfId="0"/>
    <xf numFmtId="0" fontId="5" fillId="0" borderId="4" pivotButton="0" quotePrefix="0" xfId="0"/>
    <xf numFmtId="166" fontId="14" fillId="13" borderId="0" pivotButton="0" quotePrefix="0" xfId="0"/>
    <xf numFmtId="10" fontId="22" fillId="12" borderId="4" pivotButton="0" quotePrefix="0" xfId="0"/>
    <xf numFmtId="170" fontId="7" fillId="0" borderId="0" applyAlignment="1" pivotButton="0" quotePrefix="0" xfId="0">
      <alignment horizontal="right"/>
    </xf>
    <xf numFmtId="170" fontId="5" fillId="0" borderId="0" applyAlignment="1" pivotButton="0" quotePrefix="0" xfId="0">
      <alignment horizontal="right"/>
    </xf>
    <xf numFmtId="170" fontId="6" fillId="0" borderId="0" applyAlignment="1" pivotButton="0" quotePrefix="0" xfId="0">
      <alignment horizontal="right"/>
    </xf>
    <xf numFmtId="170" fontId="41" fillId="0" borderId="0" applyAlignment="1" pivotButton="0" quotePrefix="0" xfId="0">
      <alignment horizontal="right"/>
    </xf>
    <xf numFmtId="170" fontId="42" fillId="0" borderId="0" applyAlignment="1" pivotButton="0" quotePrefix="0" xfId="0">
      <alignment horizontal="right"/>
    </xf>
    <xf numFmtId="0" fontId="7" fillId="0" borderId="10" applyAlignment="1" pivotButton="0" quotePrefix="0" xfId="0">
      <alignment vertical="top" wrapText="1"/>
    </xf>
    <xf numFmtId="186" fontId="6" fillId="7" borderId="10" applyAlignment="1" pivotButton="0" quotePrefix="0" xfId="0">
      <alignment horizontal="center" vertical="center" wrapText="1"/>
    </xf>
    <xf numFmtId="187" fontId="6" fillId="7" borderId="10" applyAlignment="1" pivotButton="0" quotePrefix="0" xfId="0">
      <alignment horizontal="center" vertical="center" wrapText="1"/>
    </xf>
    <xf numFmtId="188" fontId="6" fillId="7" borderId="10" applyAlignment="1" pivotButton="0" quotePrefix="0" xfId="0">
      <alignment horizontal="center" vertical="center" wrapText="1"/>
    </xf>
    <xf numFmtId="0" fontId="6" fillId="7" borderId="10" applyAlignment="1" pivotButton="0" quotePrefix="0" xfId="0">
      <alignment horizontal="center" vertical="center" wrapText="1"/>
    </xf>
    <xf numFmtId="0" fontId="40" fillId="0" borderId="10" applyAlignment="1" pivotButton="0" quotePrefix="0" xfId="0">
      <alignment vertical="top" wrapText="1"/>
    </xf>
    <xf numFmtId="0" fontId="39" fillId="0" borderId="0" pivotButton="0" quotePrefix="0" xfId="0"/>
    <xf numFmtId="0" fontId="22" fillId="12" borderId="2" applyAlignment="1" pivotButton="0" quotePrefix="0" xfId="0">
      <alignment vertical="top" wrapText="1"/>
    </xf>
    <xf numFmtId="164" fontId="22" fillId="12" borderId="2" pivotButton="0" quotePrefix="0" xfId="0"/>
    <xf numFmtId="164" fontId="14" fillId="13" borderId="0" applyAlignment="1" pivotButton="0" quotePrefix="0" xfId="0">
      <alignment horizontal="right"/>
    </xf>
    <xf numFmtId="0" fontId="6" fillId="7" borderId="0" pivotButton="0" quotePrefix="0" xfId="0"/>
    <xf numFmtId="167" fontId="5" fillId="0" borderId="10" pivotButton="0" quotePrefix="0" xfId="0"/>
    <xf numFmtId="166" fontId="5" fillId="0" borderId="10" pivotButton="0" quotePrefix="0" xfId="0"/>
    <xf numFmtId="0" fontId="37" fillId="0" borderId="10" applyAlignment="1" pivotButton="0" quotePrefix="0" xfId="0">
      <alignment vertical="top" wrapText="1"/>
    </xf>
    <xf numFmtId="167" fontId="7" fillId="0" borderId="10" pivotButton="0" quotePrefix="0" xfId="0"/>
    <xf numFmtId="167" fontId="6" fillId="0" borderId="10" pivotButton="0" quotePrefix="0" xfId="0"/>
    <xf numFmtId="0" fontId="37" fillId="0" borderId="10" pivotButton="0" quotePrefix="0" xfId="0"/>
    <xf numFmtId="165" fontId="12" fillId="8" borderId="0" pivotButton="0" quotePrefix="0" xfId="0"/>
    <xf numFmtId="185" fontId="39" fillId="8" borderId="0" pivotButton="0" quotePrefix="0" xfId="0"/>
    <xf numFmtId="165" fontId="9" fillId="0" borderId="1" pivotButton="0" quotePrefix="0" xfId="0"/>
    <xf numFmtId="166" fontId="9" fillId="0" borderId="1" pivotButton="0" quotePrefix="0" xfId="0"/>
    <xf numFmtId="0" fontId="3" fillId="2" borderId="0" applyAlignment="1" pivotButton="0" quotePrefix="0" xfId="0">
      <alignment horizontal="right"/>
    </xf>
    <xf numFmtId="0" fontId="7" fillId="0" borderId="10" applyAlignment="1" pivotButton="0" quotePrefix="0" xfId="0">
      <alignment horizontal="center" vertical="center"/>
    </xf>
    <xf numFmtId="0" fontId="5" fillId="0" borderId="10" applyAlignment="1" pivotButton="0" quotePrefix="0" xfId="0">
      <alignment vertical="center" wrapText="1"/>
    </xf>
    <xf numFmtId="2" fontId="5" fillId="0" borderId="10" applyAlignment="1" pivotButton="0" quotePrefix="0" xfId="0">
      <alignment horizontal="center" vertical="center" wrapText="1"/>
    </xf>
    <xf numFmtId="9" fontId="5" fillId="0" borderId="10" applyAlignment="1" pivotButton="0" quotePrefix="0" xfId="0">
      <alignment horizontal="center" vertical="center" wrapText="1"/>
    </xf>
    <xf numFmtId="166" fontId="5" fillId="0" borderId="10" applyAlignment="1" pivotButton="0" quotePrefix="0" xfId="0">
      <alignment horizontal="center" vertical="center" wrapText="1"/>
    </xf>
    <xf numFmtId="1" fontId="5" fillId="0" borderId="10" applyAlignment="1" pivotButton="0" quotePrefix="0" xfId="0">
      <alignment horizontal="center" vertical="center" wrapText="1"/>
    </xf>
    <xf numFmtId="0" fontId="5" fillId="0" borderId="10" applyAlignment="1" pivotButton="0" quotePrefix="0" xfId="0">
      <alignment horizontal="center" vertical="center" wrapText="1"/>
    </xf>
    <xf numFmtId="167" fontId="5" fillId="0" borderId="10" applyAlignment="1" pivotButton="0" quotePrefix="0" xfId="0">
      <alignment horizontal="center" vertical="center" wrapText="1"/>
    </xf>
    <xf numFmtId="0" fontId="38" fillId="0" borderId="10" applyAlignment="1" pivotButton="0" quotePrefix="0" xfId="0">
      <alignment horizontal="center"/>
    </xf>
    <xf numFmtId="0" fontId="6" fillId="7" borderId="10" applyAlignment="1" pivotButton="0" quotePrefix="0" xfId="0">
      <alignment vertical="top" wrapText="1"/>
    </xf>
    <xf numFmtId="0" fontId="6" fillId="7" borderId="10" pivotButton="0" quotePrefix="0" xfId="0"/>
    <xf numFmtId="0" fontId="0" fillId="0" borderId="13" pivotButton="0" quotePrefix="0" xfId="0"/>
    <xf numFmtId="0" fontId="0" fillId="0" borderId="14" pivotButton="0" quotePrefix="0" xfId="0"/>
    <xf numFmtId="1" fontId="5" fillId="0" borderId="10" applyAlignment="1" pivotButton="0" quotePrefix="0" xfId="0">
      <alignment horizontal="center"/>
    </xf>
    <xf numFmtId="9" fontId="5" fillId="0" borderId="10" applyAlignment="1" pivotButton="0" quotePrefix="0" xfId="0">
      <alignment horizontal="center"/>
    </xf>
    <xf numFmtId="172" fontId="5" fillId="0" borderId="10" applyAlignment="1" pivotButton="0" quotePrefix="0" xfId="0">
      <alignment horizontal="center"/>
    </xf>
    <xf numFmtId="9" fontId="6" fillId="0" borderId="10" pivotButton="0" quotePrefix="0" xfId="0"/>
    <xf numFmtId="2" fontId="6" fillId="0" borderId="10" pivotButton="0" quotePrefix="0" xfId="0"/>
    <xf numFmtId="167" fontId="9" fillId="0" borderId="1" applyAlignment="1" pivotButton="0" quotePrefix="0" xfId="0">
      <alignment horizontal="center" vertical="center"/>
    </xf>
    <xf numFmtId="167" fontId="9" fillId="0" borderId="1" pivotButton="0" quotePrefix="0" xfId="0"/>
    <xf numFmtId="0" fontId="6" fillId="0" borderId="10" applyAlignment="1" pivotButton="0" quotePrefix="0" xfId="0">
      <alignment vertical="top" wrapText="1"/>
    </xf>
    <xf numFmtId="166" fontId="6" fillId="0" borderId="1" pivotButton="0" quotePrefix="0" xfId="0"/>
    <xf numFmtId="166" fontId="6" fillId="7" borderId="10" pivotButton="0" quotePrefix="0" xfId="0"/>
    <xf numFmtId="167" fontId="6" fillId="4" borderId="1" pivotButton="0" quotePrefix="0" xfId="0"/>
    <xf numFmtId="2" fontId="6" fillId="7" borderId="10" pivotButton="0" quotePrefix="0" xfId="0"/>
    <xf numFmtId="179" fontId="5" fillId="0" borderId="10" pivotButton="0" quotePrefix="0" xfId="0"/>
    <xf numFmtId="168" fontId="6" fillId="0" borderId="1" pivotButton="0" quotePrefix="0" xfId="0"/>
    <xf numFmtId="164" fontId="6" fillId="16" borderId="1" pivotButton="0" quotePrefix="0" xfId="0"/>
    <xf numFmtId="0" fontId="2" fillId="16" borderId="1" applyAlignment="1" pivotButton="0" quotePrefix="0" xfId="0">
      <alignment vertical="center" wrapText="1"/>
    </xf>
    <xf numFmtId="168" fontId="6" fillId="4" borderId="1" pivotButton="0" quotePrefix="0" xfId="0"/>
    <xf numFmtId="0" fontId="6" fillId="16" borderId="1" applyAlignment="1" pivotButton="0" quotePrefix="0" xfId="0">
      <alignment vertical="center" wrapText="1"/>
    </xf>
    <xf numFmtId="9" fontId="6" fillId="7" borderId="1" applyAlignment="1" pivotButton="0" quotePrefix="0" xfId="0">
      <alignment vertical="center" wrapText="1"/>
    </xf>
    <xf numFmtId="180" fontId="6" fillId="0" borderId="1" applyAlignment="1" pivotButton="0" quotePrefix="0" xfId="0">
      <alignment vertical="center" wrapText="1"/>
    </xf>
    <xf numFmtId="0" fontId="6" fillId="7" borderId="1" applyAlignment="1" pivotButton="0" quotePrefix="0" xfId="0">
      <alignment vertical="center" wrapText="1"/>
    </xf>
    <xf numFmtId="180" fontId="5" fillId="0" borderId="1" applyAlignment="1" pivotButton="0" quotePrefix="0" xfId="0">
      <alignment vertical="center" wrapText="1"/>
    </xf>
    <xf numFmtId="167" fontId="6" fillId="0" borderId="1" pivotButton="0" quotePrefix="0" xfId="0"/>
    <xf numFmtId="167" fontId="7" fillId="6" borderId="1" pivotButton="0" quotePrefix="0" xfId="0"/>
    <xf numFmtId="167" fontId="5" fillId="0" borderId="1" pivotButton="0" quotePrefix="0" xfId="0"/>
    <xf numFmtId="167" fontId="7" fillId="0" borderId="1" pivotButton="0" quotePrefix="0" xfId="0"/>
    <xf numFmtId="169" fontId="6" fillId="0" borderId="1" pivotButton="0" quotePrefix="0" xfId="0"/>
    <xf numFmtId="169" fontId="7" fillId="6" borderId="1" pivotButton="0" quotePrefix="0" xfId="0"/>
    <xf numFmtId="167" fontId="6" fillId="7" borderId="1" pivotButton="0" quotePrefix="0" xfId="0"/>
    <xf numFmtId="166" fontId="5" fillId="0" borderId="1" pivotButton="0" quotePrefix="0" xfId="0"/>
    <xf numFmtId="167" fontId="6" fillId="7" borderId="10" pivotButton="0" quotePrefix="0" xfId="0"/>
    <xf numFmtId="182" fontId="4" fillId="3" borderId="0" applyAlignment="1" pivotButton="0" quotePrefix="0" xfId="0">
      <alignment horizontal="center" vertical="center" wrapText="1"/>
    </xf>
    <xf numFmtId="167" fontId="6" fillId="6" borderId="1" pivotButton="0" quotePrefix="0" xfId="0"/>
    <xf numFmtId="167" fontId="5" fillId="6" borderId="1" pivotButton="0" quotePrefix="0" xfId="0"/>
    <xf numFmtId="166" fontId="5" fillId="6" borderId="1" pivotButton="0" quotePrefix="0" xfId="0"/>
    <xf numFmtId="0" fontId="37" fillId="0" borderId="0" applyAlignment="1" pivotButton="0" quotePrefix="0" xfId="0">
      <alignment vertical="top" wrapText="1"/>
    </xf>
    <xf numFmtId="172" fontId="5" fillId="0" borderId="1" pivotButton="0" quotePrefix="0" xfId="0"/>
    <xf numFmtId="181" fontId="6" fillId="0" borderId="10" pivotButton="0" quotePrefix="0" xfId="0"/>
    <xf numFmtId="181" fontId="5" fillId="0" borderId="10" pivotButton="0" quotePrefix="0" xfId="0"/>
    <xf numFmtId="1" fontId="6" fillId="7" borderId="10" pivotButton="0" quotePrefix="0" xfId="0"/>
    <xf numFmtId="182" fontId="6" fillId="0" borderId="1" pivotButton="0" quotePrefix="0" xfId="0"/>
    <xf numFmtId="10" fontId="5" fillId="0" borderId="1" pivotButton="0" quotePrefix="0" xfId="0"/>
    <xf numFmtId="180" fontId="5" fillId="0" borderId="1" pivotButton="0" quotePrefix="0" xfId="0"/>
    <xf numFmtId="166" fontId="7" fillId="6" borderId="1" pivotButton="0" quotePrefix="0" xfId="0"/>
    <xf numFmtId="182" fontId="5" fillId="0" borderId="10" pivotButton="0" quotePrefix="0" xfId="0"/>
    <xf numFmtId="0" fontId="4" fillId="3" borderId="10" pivotButton="0" quotePrefix="0" xfId="0"/>
    <xf numFmtId="183" fontId="5" fillId="0" borderId="1" pivotButton="0" quotePrefix="0" xfId="0"/>
    <xf numFmtId="184" fontId="5" fillId="0" borderId="1" pivotButton="0" quotePrefix="0" xfId="0"/>
    <xf numFmtId="9" fontId="6" fillId="0" borderId="1" pivotButton="0" quotePrefix="0" xfId="0"/>
    <xf numFmtId="9" fontId="9" fillId="0" borderId="1" pivotButton="0" quotePrefix="0" xfId="0"/>
    <xf numFmtId="183" fontId="7" fillId="6" borderId="1" pivotButton="0" quotePrefix="0" xfId="0"/>
    <xf numFmtId="167" fontId="7" fillId="0" borderId="0" pivotButton="0" quotePrefix="0" xfId="0"/>
    <xf numFmtId="182" fontId="7" fillId="0" borderId="0" pivotButton="0" quotePrefix="0" xfId="0"/>
    <xf numFmtId="167" fontId="7" fillId="7" borderId="0" pivotButton="0" quotePrefix="0" xfId="0"/>
    <xf numFmtId="167" fontId="37" fillId="0" borderId="1" pivotButton="0" quotePrefix="0" xfId="0"/>
    <xf numFmtId="0" fontId="9" fillId="0" borderId="10" pivotButton="0" quotePrefix="0" xfId="0"/>
    <xf numFmtId="167" fontId="9" fillId="0" borderId="10" pivotButton="0" quotePrefix="0" xfId="0"/>
    <xf numFmtId="9" fontId="9" fillId="0" borderId="10" pivotButton="0" quotePrefix="0" xfId="0"/>
    <xf numFmtId="0" fontId="0" fillId="0" borderId="10" pivotButton="0" quotePrefix="0" xfId="0"/>
    <xf numFmtId="9" fontId="7" fillId="0" borderId="10" pivotButton="0" quotePrefix="0" xfId="0"/>
    <xf numFmtId="2" fontId="7" fillId="0" borderId="10" pivotButton="0" quotePrefix="0" xfId="0"/>
    <xf numFmtId="2" fontId="6" fillId="0" borderId="1" applyAlignment="1" pivotButton="0" quotePrefix="0" xfId="0">
      <alignment vertical="center" wrapText="1"/>
    </xf>
    <xf numFmtId="164" fontId="6" fillId="0" borderId="1" applyAlignment="1" pivotButton="0" quotePrefix="0" xfId="0">
      <alignment vertical="center" wrapText="1"/>
    </xf>
    <xf numFmtId="167" fontId="6" fillId="0" borderId="1" applyAlignment="1" pivotButton="0" quotePrefix="0" xfId="0">
      <alignment vertical="center" wrapText="1"/>
    </xf>
    <xf numFmtId="1" fontId="6" fillId="0" borderId="1" applyAlignment="1" pivotButton="0" quotePrefix="0" xfId="0">
      <alignment vertical="center" wrapText="1"/>
    </xf>
    <xf numFmtId="0" fontId="5" fillId="0" borderId="1" applyAlignment="1" pivotButton="0" quotePrefix="0" xfId="0">
      <alignment vertical="top" wrapText="1"/>
    </xf>
  </cellXfs>
  <cellStyles count="2">
    <cellStyle name="Normal" xfId="0" builtinId="0"/>
    <cellStyle name="Hiperlink" xfId="1" builtinId="8"/>
  </cellStyles>
  <dxfs count="28">
    <dxf>
      <fill>
        <patternFill>
          <bgColor rgb="FFF8CBAD"/>
        </patternFill>
      </fill>
    </dxf>
    <dxf>
      <fill>
        <patternFill>
          <bgColor rgb="FFE2EFDA"/>
        </patternFill>
      </fill>
    </dxf>
    <dxf>
      <fill>
        <patternFill>
          <bgColor rgb="FFFFC7CE"/>
        </patternFill>
      </fill>
    </dxf>
    <dxf>
      <fill>
        <patternFill>
          <bgColor rgb="FFF8CBAD"/>
        </patternFill>
      </fill>
    </dxf>
    <dxf>
      <fill>
        <patternFill>
          <bgColor rgb="FFE2EFDA"/>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E2EFDA"/>
        </patternFill>
      </fill>
    </dxf>
    <dxf>
      <fill>
        <patternFill>
          <bgColor rgb="FFEDEDED"/>
        </patternFill>
      </fill>
    </dxf>
    <dxf>
      <fill>
        <patternFill>
          <bgColor rgb="FFFFC7CE"/>
        </patternFill>
      </fill>
    </dxf>
    <dxf>
      <font>
        <color rgb="FFC00000"/>
      </font>
      <fill>
        <patternFill>
          <bgColor rgb="FFC00000"/>
        </patternFill>
      </fill>
    </dxf>
    <dxf>
      <font>
        <color rgb="FF5B9BD5"/>
      </font>
      <fill>
        <patternFill>
          <bgColor rgb="FF5B9BD5"/>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bgColor rgb="FFFFC7CE"/>
        </patternFill>
      </fill>
    </dxf>
    <dxf>
      <fill>
        <patternFill patternType="solid">
          <fgColor rgb="FFFFEB9C"/>
          <bgColor rgb="FFFFEB9C"/>
        </patternFill>
      </fill>
    </dxf>
    <dxf>
      <fill>
        <patternFill patternType="solid">
          <fgColor rgb="FFC6EFCE"/>
          <bgColor rgb="FFC6EFCE"/>
        </patternFill>
      </fill>
    </dxf>
    <dxf>
      <fill>
        <patternFill patternType="solid">
          <fgColor rgb="FFFFC7CE"/>
        </patternFill>
      </fill>
    </dxf>
    <dxf>
      <fill>
        <patternFill patternType="solid">
          <fgColor rgb="FFC6EFCE"/>
        </patternFill>
      </fill>
    </dxf>
    <dxf>
      <fill>
        <patternFill patternType="solid">
          <fgColor rgb="FFFCD5B4"/>
        </patternFill>
      </fill>
    </dxf>
    <dxf>
      <fill>
        <patternFill patternType="solid">
          <fgColor rgb="FFD9D9D9"/>
        </patternFill>
      </fill>
    </dxf>
    <dxf>
      <fill>
        <patternFill patternType="solid">
          <fgColor rgb="FF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Obra 342: pessoas por mês (previsto x realizado)</a:t>
            </a:r>
          </a:p>
        </c:rich>
      </c:tx>
      <c:overlay val="0"/>
    </c:title>
    <c:autoTitleDeleted val="0"/>
    <c:plotArea>
      <c:layout/>
      <c:barChart>
        <c:barDir val="col"/>
        <c:grouping val="clustered"/>
        <c:varyColors val="0"/>
        <c:ser>
          <c:idx val="0"/>
          <c:order val="0"/>
          <c:tx>
            <c:v>Pico previsto</c:v>
          </c:tx>
          <c:spPr>
            <a:solidFill>
              <a:srgbClr val="5B9BD5"/>
            </a:solidFill>
          </c:spPr>
          <c:invertIfNegative val="0"/>
          <c:cat>
            <c:numRef>
              <c:f>'HISTOGRAMA PLANEJADO'!$A$8:$A$23</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PLANEJADO'!$B$8:$B$23</c:f>
              <c:numCache>
                <c:formatCode>0.0</c:formatCode>
                <c:ptCount val="16"/>
                <c:pt idx="0">
                  <c:v>12</c:v>
                </c:pt>
                <c:pt idx="1">
                  <c:v>19</c:v>
                </c:pt>
                <c:pt idx="2">
                  <c:v>43</c:v>
                </c:pt>
                <c:pt idx="3">
                  <c:v>66</c:v>
                </c:pt>
                <c:pt idx="4">
                  <c:v>78</c:v>
                </c:pt>
                <c:pt idx="5">
                  <c:v>83</c:v>
                </c:pt>
                <c:pt idx="6">
                  <c:v>28</c:v>
                </c:pt>
                <c:pt idx="7">
                  <c:v>71</c:v>
                </c:pt>
                <c:pt idx="8">
                  <c:v>20</c:v>
                </c:pt>
                <c:pt idx="9">
                  <c:v>17</c:v>
                </c:pt>
                <c:pt idx="10">
                  <c:v>14</c:v>
                </c:pt>
                <c:pt idx="11">
                  <c:v>53</c:v>
                </c:pt>
                <c:pt idx="12">
                  <c:v>0</c:v>
                </c:pt>
                <c:pt idx="13">
                  <c:v>0</c:v>
                </c:pt>
                <c:pt idx="14">
                  <c:v>0</c:v>
                </c:pt>
                <c:pt idx="15">
                  <c:v>0</c:v>
                </c:pt>
              </c:numCache>
            </c:numRef>
          </c:val>
          <c:extLst>
            <c:ext xmlns:c16="http://schemas.microsoft.com/office/drawing/2014/chart" uri="{C3380CC4-5D6E-409C-BE32-E72D297353CC}">
              <c16:uniqueId val="{00000003-E5C8-4AAC-8C61-4E7E6EDF53DE}"/>
            </c:ext>
          </c:extLst>
        </c:ser>
        <c:ser>
          <c:idx val="1"/>
          <c:order val="1"/>
          <c:tx>
            <c:v>Média prevista</c:v>
          </c:tx>
          <c:spPr>
            <a:solidFill>
              <a:srgbClr val="9BC2E6"/>
            </a:solidFill>
          </c:spPr>
          <c:invertIfNegative val="0"/>
          <c:cat>
            <c:numRef>
              <c:f>'HISTOGRAMA PLANEJADO'!$A$8:$A$23</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PLANEJADO'!$C$8:$C$23</c:f>
              <c:numCache>
                <c:formatCode>0.0</c:formatCode>
                <c:ptCount val="16"/>
                <c:pt idx="0">
                  <c:v>12</c:v>
                </c:pt>
                <c:pt idx="1">
                  <c:v>19</c:v>
                </c:pt>
                <c:pt idx="2">
                  <c:v>43</c:v>
                </c:pt>
                <c:pt idx="3">
                  <c:v>66</c:v>
                </c:pt>
                <c:pt idx="4">
                  <c:v>78</c:v>
                </c:pt>
                <c:pt idx="5">
                  <c:v>83</c:v>
                </c:pt>
                <c:pt idx="6">
                  <c:v>28</c:v>
                </c:pt>
                <c:pt idx="7">
                  <c:v>71</c:v>
                </c:pt>
                <c:pt idx="8">
                  <c:v>20</c:v>
                </c:pt>
                <c:pt idx="9">
                  <c:v>17</c:v>
                </c:pt>
                <c:pt idx="10">
                  <c:v>14</c:v>
                </c:pt>
                <c:pt idx="11">
                  <c:v>53</c:v>
                </c:pt>
                <c:pt idx="12">
                  <c:v>0</c:v>
                </c:pt>
                <c:pt idx="13">
                  <c:v>0</c:v>
                </c:pt>
                <c:pt idx="14">
                  <c:v>0</c:v>
                </c:pt>
                <c:pt idx="15">
                  <c:v>0</c:v>
                </c:pt>
              </c:numCache>
            </c:numRef>
          </c:val>
          <c:extLst>
            <c:ext xmlns:c16="http://schemas.microsoft.com/office/drawing/2014/chart" uri="{C3380CC4-5D6E-409C-BE32-E72D297353CC}">
              <c16:uniqueId val="{00000004-E5C8-4AAC-8C61-4E7E6EDF53DE}"/>
            </c:ext>
          </c:extLst>
        </c:ser>
        <c:ser>
          <c:idx val="2"/>
          <c:order val="2"/>
          <c:tx>
            <c:v>Realizado considerado</c:v>
          </c:tx>
          <c:spPr>
            <a:solidFill>
              <a:srgbClr val="70AD47"/>
            </a:solidFill>
          </c:spPr>
          <c:invertIfNegative val="0"/>
          <c:cat>
            <c:numRef>
              <c:f>'HISTOGRAMA PLANEJADO'!$A$8:$A$23</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PLANEJADO'!$I$8:$I$23</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E5C8-4AAC-8C61-4E7E6EDF53DE}"/>
            </c:ext>
          </c:extLst>
        </c:ser>
        <c:dLbls>
          <c:showLegendKey val="0"/>
          <c:showVal val="0"/>
          <c:showCatName val="0"/>
          <c:showSerName val="0"/>
          <c:showPercent val="0"/>
          <c:showBubbleSize val="0"/>
        </c:dLbls>
        <c:gapWidth val="150"/>
        <c:axId val="1791413216"/>
        <c:axId val="1791406496"/>
      </c:barChart>
      <c:catAx>
        <c:axId val="1791413216"/>
        <c:scaling>
          <c:orientation val="minMax"/>
        </c:scaling>
        <c:delete val="0"/>
        <c:axPos val="b"/>
        <c:numFmt formatCode="mmm\-yy" sourceLinked="1"/>
        <c:majorTickMark val="out"/>
        <c:minorTickMark val="none"/>
        <c:tickLblPos val="nextTo"/>
        <c:crossAx val="1791406496"/>
        <c:crosses val="autoZero"/>
        <c:auto val="0"/>
        <c:lblAlgn val="ctr"/>
        <c:lblOffset val="100"/>
        <c:noMultiLvlLbl val="0"/>
      </c:catAx>
      <c:valAx>
        <c:axId val="1791406496"/>
        <c:scaling>
          <c:orientation val="minMax"/>
        </c:scaling>
        <c:delete val="0"/>
        <c:axPos val="l"/>
        <c:majorGridlines/>
        <c:numFmt formatCode="0.0" sourceLinked="1"/>
        <c:majorTickMark val="out"/>
        <c:minorTickMark val="none"/>
        <c:tickLblPos val="nextTo"/>
        <c:crossAx val="179141321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Obra 343: pessoas por mês (previsto x realizado)</a:t>
            </a:r>
          </a:p>
        </c:rich>
      </c:tx>
      <c:overlay val="0"/>
    </c:title>
    <c:autoTitleDeleted val="0"/>
    <c:plotArea>
      <c:layout/>
      <c:barChart>
        <c:barDir val="col"/>
        <c:grouping val="clustered"/>
        <c:varyColors val="0"/>
        <c:ser>
          <c:idx val="0"/>
          <c:order val="0"/>
          <c:tx>
            <c:v>Pico previsto</c:v>
          </c:tx>
          <c:spPr>
            <a:solidFill>
              <a:srgbClr val="5B9BD5"/>
            </a:solidFill>
          </c:spPr>
          <c:invertIfNegative val="0"/>
          <c:cat>
            <c:numRef>
              <c:f>'HISTOGRAMA PLANEJADO'!$A$29:$A$44</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PLANEJADO'!$B$29:$B$44</c:f>
              <c:numCache>
                <c:formatCode>0.0</c:formatCode>
                <c:ptCount val="16"/>
                <c:pt idx="0">
                  <c:v>4</c:v>
                </c:pt>
                <c:pt idx="1">
                  <c:v>11.3108</c:v>
                </c:pt>
                <c:pt idx="2">
                  <c:v>11.3108</c:v>
                </c:pt>
                <c:pt idx="3">
                  <c:v>11.3108</c:v>
                </c:pt>
                <c:pt idx="4">
                  <c:v>7.3108000000000004</c:v>
                </c:pt>
                <c:pt idx="5">
                  <c:v>7.3108000000000004</c:v>
                </c:pt>
                <c:pt idx="6">
                  <c:v>7.3108000000000004</c:v>
                </c:pt>
                <c:pt idx="7">
                  <c:v>7.3108000000000004</c:v>
                </c:pt>
                <c:pt idx="8">
                  <c:v>4</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021E-4841-9545-3D447272E7C1}"/>
            </c:ext>
          </c:extLst>
        </c:ser>
        <c:ser>
          <c:idx val="1"/>
          <c:order val="1"/>
          <c:tx>
            <c:v>Média prevista</c:v>
          </c:tx>
          <c:spPr>
            <a:solidFill>
              <a:srgbClr val="9BC2E6"/>
            </a:solidFill>
          </c:spPr>
          <c:invertIfNegative val="0"/>
          <c:cat>
            <c:numRef>
              <c:f>'HISTOGRAMA PLANEJADO'!$A$29:$A$44</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PLANEJADO'!$C$29:$C$44</c:f>
              <c:numCache>
                <c:formatCode>0.0</c:formatCode>
                <c:ptCount val="16"/>
                <c:pt idx="0">
                  <c:v>4</c:v>
                </c:pt>
                <c:pt idx="1">
                  <c:v>11.3108</c:v>
                </c:pt>
                <c:pt idx="2">
                  <c:v>11.3108</c:v>
                </c:pt>
                <c:pt idx="3">
                  <c:v>7.6744363636363637</c:v>
                </c:pt>
                <c:pt idx="4">
                  <c:v>7.3108000000000004</c:v>
                </c:pt>
                <c:pt idx="5">
                  <c:v>7.3108000000000004</c:v>
                </c:pt>
                <c:pt idx="6">
                  <c:v>7.3108000000000004</c:v>
                </c:pt>
                <c:pt idx="7">
                  <c:v>4.4729714285714284</c:v>
                </c:pt>
                <c:pt idx="8">
                  <c:v>2.4</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021E-4841-9545-3D447272E7C1}"/>
            </c:ext>
          </c:extLst>
        </c:ser>
        <c:ser>
          <c:idx val="2"/>
          <c:order val="2"/>
          <c:tx>
            <c:v>Realizado considerado</c:v>
          </c:tx>
          <c:spPr>
            <a:solidFill>
              <a:srgbClr val="70AD47"/>
            </a:solidFill>
          </c:spPr>
          <c:invertIfNegative val="0"/>
          <c:cat>
            <c:numRef>
              <c:f>'HISTOGRAMA PLANEJADO'!$A$29:$A$44</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'HISTOGRAMA PLANEJADO'!$I$29:$I$44</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5-021E-4841-9545-3D447272E7C1}"/>
            </c:ext>
          </c:extLst>
        </c:ser>
        <c:dLbls>
          <c:showLegendKey val="0"/>
          <c:showVal val="0"/>
          <c:showCatName val="0"/>
          <c:showSerName val="0"/>
          <c:showPercent val="0"/>
          <c:showBubbleSize val="0"/>
        </c:dLbls>
        <c:gapWidth val="150"/>
        <c:axId val="1791417056"/>
        <c:axId val="1791416576"/>
      </c:barChart>
      <c:catAx>
        <c:axId val="1791417056"/>
        <c:scaling>
          <c:orientation val="minMax"/>
        </c:scaling>
        <c:delete val="0"/>
        <c:axPos val="b"/>
        <c:numFmt formatCode="mmm\-yy" sourceLinked="1"/>
        <c:majorTickMark val="out"/>
        <c:minorTickMark val="none"/>
        <c:tickLblPos val="nextTo"/>
        <c:crossAx val="1791416576"/>
        <c:crosses val="autoZero"/>
        <c:auto val="0"/>
        <c:lblAlgn val="ctr"/>
        <c:lblOffset val="100"/>
        <c:noMultiLvlLbl val="0"/>
      </c:catAx>
      <c:valAx>
        <c:axId val="1791416576"/>
        <c:scaling>
          <c:orientation val="minMax"/>
        </c:scaling>
        <c:delete val="0"/>
        <c:axPos val="l"/>
        <c:majorGridlines/>
        <c:numFmt formatCode="0.0" sourceLinked="1"/>
        <c:majorTickMark val="out"/>
        <c:minorTickMark val="none"/>
        <c:tickLblPos val="nextTo"/>
        <c:crossAx val="179141705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Obra 342: pessoas por semana (previsto x realizado)</a:t>
            </a:r>
          </a:p>
        </c:rich>
      </c:tx>
      <c:overlay val="0"/>
    </c:title>
    <c:autoTitleDeleted val="0"/>
    <c:plotArea>
      <c:layout/>
      <c:barChart>
        <c:barDir val="col"/>
        <c:grouping val="clustered"/>
        <c:varyColors val="0"/>
        <c:ser>
          <c:idx val="0"/>
          <c:order val="0"/>
          <c:tx>
            <c:v>Pico previsto</c:v>
          </c:tx>
          <c:spPr>
            <a:solidFill>
              <a:srgbClr val="5B9BD5"/>
            </a:solidFill>
          </c:spPr>
          <c:invertIfNegative val="0"/>
          <c:cat>
            <c:numRef>
              <c:f>'HISTOGRAMA PLANEJADO'!$B$50:$B$102</c:f>
              <c:numCache>
                <c:formatCode>dd/mm/yy</c:formatCode>
                <c:ptCount val="53"/>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pt idx="38">
                  <c:v>46532</c:v>
                </c:pt>
                <c:pt idx="39">
                  <c:v>46539</c:v>
                </c:pt>
                <c:pt idx="40">
                  <c:v>46546</c:v>
                </c:pt>
                <c:pt idx="41">
                  <c:v>46553</c:v>
                </c:pt>
                <c:pt idx="42">
                  <c:v>46560</c:v>
                </c:pt>
                <c:pt idx="43">
                  <c:v>46567</c:v>
                </c:pt>
                <c:pt idx="44">
                  <c:v>46574</c:v>
                </c:pt>
                <c:pt idx="45">
                  <c:v>46581</c:v>
                </c:pt>
                <c:pt idx="46">
                  <c:v>46588</c:v>
                </c:pt>
                <c:pt idx="47">
                  <c:v>46595</c:v>
                </c:pt>
                <c:pt idx="48">
                  <c:v>46602</c:v>
                </c:pt>
                <c:pt idx="49">
                  <c:v>46609</c:v>
                </c:pt>
                <c:pt idx="50">
                  <c:v>46616</c:v>
                </c:pt>
                <c:pt idx="51">
                  <c:v>46623</c:v>
                </c:pt>
                <c:pt idx="52">
                  <c:v>46630</c:v>
                </c:pt>
              </c:numCache>
            </c:numRef>
          </c:cat>
          <c:val>
            <c:numRef>
              <c:f>'HISTOGRAMA PLANEJADO'!$C$50:$C$102</c:f>
              <c:numCache>
                <c:formatCode>0.0</c:formatCode>
                <c:ptCount val="53"/>
                <c:pt idx="0">
                  <c:v>12</c:v>
                </c:pt>
                <c:pt idx="1">
                  <c:v>12</c:v>
                </c:pt>
                <c:pt idx="2">
                  <c:v>12</c:v>
                </c:pt>
                <c:pt idx="3">
                  <c:v>12</c:v>
                </c:pt>
                <c:pt idx="4">
                  <c:v>19</c:v>
                </c:pt>
                <c:pt idx="5">
                  <c:v>19</c:v>
                </c:pt>
                <c:pt idx="6">
                  <c:v>19</c:v>
                </c:pt>
                <c:pt idx="7">
                  <c:v>19</c:v>
                </c:pt>
                <c:pt idx="8">
                  <c:v>19</c:v>
                </c:pt>
                <c:pt idx="9">
                  <c:v>43</c:v>
                </c:pt>
                <c:pt idx="10">
                  <c:v>43</c:v>
                </c:pt>
                <c:pt idx="11">
                  <c:v>43</c:v>
                </c:pt>
                <c:pt idx="12">
                  <c:v>43</c:v>
                </c:pt>
                <c:pt idx="13">
                  <c:v>66</c:v>
                </c:pt>
                <c:pt idx="14">
                  <c:v>66</c:v>
                </c:pt>
                <c:pt idx="15">
                  <c:v>66</c:v>
                </c:pt>
                <c:pt idx="16">
                  <c:v>66</c:v>
                </c:pt>
                <c:pt idx="17">
                  <c:v>78</c:v>
                </c:pt>
                <c:pt idx="18">
                  <c:v>78</c:v>
                </c:pt>
                <c:pt idx="19">
                  <c:v>78</c:v>
                </c:pt>
                <c:pt idx="20">
                  <c:v>78</c:v>
                </c:pt>
                <c:pt idx="21">
                  <c:v>83</c:v>
                </c:pt>
                <c:pt idx="22">
                  <c:v>83</c:v>
                </c:pt>
                <c:pt idx="23">
                  <c:v>83</c:v>
                </c:pt>
                <c:pt idx="24">
                  <c:v>83</c:v>
                </c:pt>
                <c:pt idx="25">
                  <c:v>83</c:v>
                </c:pt>
                <c:pt idx="26">
                  <c:v>28</c:v>
                </c:pt>
                <c:pt idx="27">
                  <c:v>28</c:v>
                </c:pt>
                <c:pt idx="28">
                  <c:v>28</c:v>
                </c:pt>
                <c:pt idx="29">
                  <c:v>28</c:v>
                </c:pt>
                <c:pt idx="30">
                  <c:v>71</c:v>
                </c:pt>
                <c:pt idx="31">
                  <c:v>71</c:v>
                </c:pt>
                <c:pt idx="32">
                  <c:v>71</c:v>
                </c:pt>
                <c:pt idx="33">
                  <c:v>71</c:v>
                </c:pt>
                <c:pt idx="34">
                  <c:v>71</c:v>
                </c:pt>
                <c:pt idx="35">
                  <c:v>20</c:v>
                </c:pt>
                <c:pt idx="36">
                  <c:v>20</c:v>
                </c:pt>
                <c:pt idx="37">
                  <c:v>20</c:v>
                </c:pt>
                <c:pt idx="38">
                  <c:v>20</c:v>
                </c:pt>
                <c:pt idx="39">
                  <c:v>17</c:v>
                </c:pt>
                <c:pt idx="40">
                  <c:v>17</c:v>
                </c:pt>
                <c:pt idx="41">
                  <c:v>17</c:v>
                </c:pt>
                <c:pt idx="42">
                  <c:v>17</c:v>
                </c:pt>
                <c:pt idx="43">
                  <c:v>17</c:v>
                </c:pt>
                <c:pt idx="44">
                  <c:v>14</c:v>
                </c:pt>
                <c:pt idx="45">
                  <c:v>14</c:v>
                </c:pt>
                <c:pt idx="46">
                  <c:v>14</c:v>
                </c:pt>
                <c:pt idx="47">
                  <c:v>53</c:v>
                </c:pt>
                <c:pt idx="48">
                  <c:v>53</c:v>
                </c:pt>
                <c:pt idx="49">
                  <c:v>53</c:v>
                </c:pt>
                <c:pt idx="50">
                  <c:v>53</c:v>
                </c:pt>
                <c:pt idx="51">
                  <c:v>53</c:v>
                </c:pt>
                <c:pt idx="52">
                  <c:v>53</c:v>
                </c:pt>
              </c:numCache>
            </c:numRef>
          </c:val>
          <c:extLst>
            <c:ext xmlns:c16="http://schemas.microsoft.com/office/drawing/2014/chart" uri="{C3380CC4-5D6E-409C-BE32-E72D297353CC}">
              <c16:uniqueId val="{00000003-4DA3-41DC-83D1-4D3208CA565C}"/>
            </c:ext>
          </c:extLst>
        </c:ser>
        <c:ser>
          <c:idx val="1"/>
          <c:order val="1"/>
          <c:tx>
            <c:v>Média prevista</c:v>
          </c:tx>
          <c:spPr>
            <a:solidFill>
              <a:srgbClr val="9BC2E6"/>
            </a:solidFill>
          </c:spPr>
          <c:invertIfNegative val="0"/>
          <c:cat>
            <c:numRef>
              <c:f>'HISTOGRAMA PLANEJADO'!$B$50:$B$102</c:f>
              <c:numCache>
                <c:formatCode>dd/mm/yy</c:formatCode>
                <c:ptCount val="53"/>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pt idx="38">
                  <c:v>46532</c:v>
                </c:pt>
                <c:pt idx="39">
                  <c:v>46539</c:v>
                </c:pt>
                <c:pt idx="40">
                  <c:v>46546</c:v>
                </c:pt>
                <c:pt idx="41">
                  <c:v>46553</c:v>
                </c:pt>
                <c:pt idx="42">
                  <c:v>46560</c:v>
                </c:pt>
                <c:pt idx="43">
                  <c:v>46567</c:v>
                </c:pt>
                <c:pt idx="44">
                  <c:v>46574</c:v>
                </c:pt>
                <c:pt idx="45">
                  <c:v>46581</c:v>
                </c:pt>
                <c:pt idx="46">
                  <c:v>46588</c:v>
                </c:pt>
                <c:pt idx="47">
                  <c:v>46595</c:v>
                </c:pt>
                <c:pt idx="48">
                  <c:v>46602</c:v>
                </c:pt>
                <c:pt idx="49">
                  <c:v>46609</c:v>
                </c:pt>
                <c:pt idx="50">
                  <c:v>46616</c:v>
                </c:pt>
                <c:pt idx="51">
                  <c:v>46623</c:v>
                </c:pt>
                <c:pt idx="52">
                  <c:v>46630</c:v>
                </c:pt>
              </c:numCache>
            </c:numRef>
          </c:cat>
          <c:val>
            <c:numRef>
              <c:f>'HISTOGRAMA PLANEJADO'!$D$50:$D$102</c:f>
              <c:numCache>
                <c:formatCode>0.0</c:formatCode>
                <c:ptCount val="53"/>
                <c:pt idx="0">
                  <c:v>12</c:v>
                </c:pt>
                <c:pt idx="1">
                  <c:v>12</c:v>
                </c:pt>
                <c:pt idx="2">
                  <c:v>12</c:v>
                </c:pt>
                <c:pt idx="3">
                  <c:v>12</c:v>
                </c:pt>
                <c:pt idx="4">
                  <c:v>16.2</c:v>
                </c:pt>
                <c:pt idx="5">
                  <c:v>19</c:v>
                </c:pt>
                <c:pt idx="6">
                  <c:v>19</c:v>
                </c:pt>
                <c:pt idx="7">
                  <c:v>19</c:v>
                </c:pt>
                <c:pt idx="8">
                  <c:v>19</c:v>
                </c:pt>
                <c:pt idx="9">
                  <c:v>43</c:v>
                </c:pt>
                <c:pt idx="10">
                  <c:v>43</c:v>
                </c:pt>
                <c:pt idx="11">
                  <c:v>43</c:v>
                </c:pt>
                <c:pt idx="12">
                  <c:v>43</c:v>
                </c:pt>
                <c:pt idx="13">
                  <c:v>66</c:v>
                </c:pt>
                <c:pt idx="14">
                  <c:v>66</c:v>
                </c:pt>
                <c:pt idx="15">
                  <c:v>66</c:v>
                </c:pt>
                <c:pt idx="16">
                  <c:v>66</c:v>
                </c:pt>
                <c:pt idx="17">
                  <c:v>69</c:v>
                </c:pt>
                <c:pt idx="18">
                  <c:v>78</c:v>
                </c:pt>
                <c:pt idx="19">
                  <c:v>78</c:v>
                </c:pt>
                <c:pt idx="20">
                  <c:v>78</c:v>
                </c:pt>
                <c:pt idx="21">
                  <c:v>79</c:v>
                </c:pt>
                <c:pt idx="22">
                  <c:v>83</c:v>
                </c:pt>
                <c:pt idx="23">
                  <c:v>83</c:v>
                </c:pt>
                <c:pt idx="24">
                  <c:v>83</c:v>
                </c:pt>
                <c:pt idx="25">
                  <c:v>72</c:v>
                </c:pt>
                <c:pt idx="26">
                  <c:v>28</c:v>
                </c:pt>
                <c:pt idx="27">
                  <c:v>28</c:v>
                </c:pt>
                <c:pt idx="28">
                  <c:v>28</c:v>
                </c:pt>
                <c:pt idx="29">
                  <c:v>28</c:v>
                </c:pt>
                <c:pt idx="30">
                  <c:v>53.8</c:v>
                </c:pt>
                <c:pt idx="31">
                  <c:v>71</c:v>
                </c:pt>
                <c:pt idx="32">
                  <c:v>71</c:v>
                </c:pt>
                <c:pt idx="33">
                  <c:v>71</c:v>
                </c:pt>
                <c:pt idx="34">
                  <c:v>60.8</c:v>
                </c:pt>
                <c:pt idx="35">
                  <c:v>20</c:v>
                </c:pt>
                <c:pt idx="36">
                  <c:v>20</c:v>
                </c:pt>
                <c:pt idx="37">
                  <c:v>20</c:v>
                </c:pt>
                <c:pt idx="38">
                  <c:v>20</c:v>
                </c:pt>
                <c:pt idx="39">
                  <c:v>17</c:v>
                </c:pt>
                <c:pt idx="40">
                  <c:v>17</c:v>
                </c:pt>
                <c:pt idx="41">
                  <c:v>17</c:v>
                </c:pt>
                <c:pt idx="42">
                  <c:v>17</c:v>
                </c:pt>
                <c:pt idx="43">
                  <c:v>15.2</c:v>
                </c:pt>
                <c:pt idx="44">
                  <c:v>14</c:v>
                </c:pt>
                <c:pt idx="45">
                  <c:v>14</c:v>
                </c:pt>
                <c:pt idx="46">
                  <c:v>14</c:v>
                </c:pt>
                <c:pt idx="47">
                  <c:v>21.8</c:v>
                </c:pt>
                <c:pt idx="48">
                  <c:v>53</c:v>
                </c:pt>
                <c:pt idx="49">
                  <c:v>53</c:v>
                </c:pt>
                <c:pt idx="50">
                  <c:v>53</c:v>
                </c:pt>
                <c:pt idx="51">
                  <c:v>53</c:v>
                </c:pt>
                <c:pt idx="52">
                  <c:v>10.6</c:v>
                </c:pt>
              </c:numCache>
            </c:numRef>
          </c:val>
          <c:extLst>
            <c:ext xmlns:c16="http://schemas.microsoft.com/office/drawing/2014/chart" uri="{C3380CC4-5D6E-409C-BE32-E72D297353CC}">
              <c16:uniqueId val="{00000004-4DA3-41DC-83D1-4D3208CA565C}"/>
            </c:ext>
          </c:extLst>
        </c:ser>
        <c:ser>
          <c:idx val="2"/>
          <c:order val="2"/>
          <c:tx>
            <c:v>Realizado considerado</c:v>
          </c:tx>
          <c:spPr>
            <a:solidFill>
              <a:srgbClr val="70AD47"/>
            </a:solidFill>
          </c:spPr>
          <c:invertIfNegative val="0"/>
          <c:cat>
            <c:numRef>
              <c:f>'HISTOGRAMA PLANEJADO'!$B$50:$B$102</c:f>
              <c:numCache>
                <c:formatCode>dd/mm/yy</c:formatCode>
                <c:ptCount val="53"/>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pt idx="38">
                  <c:v>46532</c:v>
                </c:pt>
                <c:pt idx="39">
                  <c:v>46539</c:v>
                </c:pt>
                <c:pt idx="40">
                  <c:v>46546</c:v>
                </c:pt>
                <c:pt idx="41">
                  <c:v>46553</c:v>
                </c:pt>
                <c:pt idx="42">
                  <c:v>46560</c:v>
                </c:pt>
                <c:pt idx="43">
                  <c:v>46567</c:v>
                </c:pt>
                <c:pt idx="44">
                  <c:v>46574</c:v>
                </c:pt>
                <c:pt idx="45">
                  <c:v>46581</c:v>
                </c:pt>
                <c:pt idx="46">
                  <c:v>46588</c:v>
                </c:pt>
                <c:pt idx="47">
                  <c:v>46595</c:v>
                </c:pt>
                <c:pt idx="48">
                  <c:v>46602</c:v>
                </c:pt>
                <c:pt idx="49">
                  <c:v>46609</c:v>
                </c:pt>
                <c:pt idx="50">
                  <c:v>46616</c:v>
                </c:pt>
                <c:pt idx="51">
                  <c:v>46623</c:v>
                </c:pt>
                <c:pt idx="52">
                  <c:v>46630</c:v>
                </c:pt>
              </c:numCache>
            </c:numRef>
          </c:cat>
          <c:val>
            <c:numRef>
              <c:f>'HISTOGRAMA PLANEJADO'!$H$50:$H$102</c:f>
              <c:numCache>
                <c:formatCode>0.0</c:formatCode>
                <c:ptCount val="5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numCache>
            </c:numRef>
          </c:val>
          <c:extLst>
            <c:ext xmlns:c16="http://schemas.microsoft.com/office/drawing/2014/chart" uri="{C3380CC4-5D6E-409C-BE32-E72D297353CC}">
              <c16:uniqueId val="{00000005-4DA3-41DC-83D1-4D3208CA565C}"/>
            </c:ext>
          </c:extLst>
        </c:ser>
        <c:dLbls>
          <c:showLegendKey val="0"/>
          <c:showVal val="0"/>
          <c:showCatName val="0"/>
          <c:showSerName val="0"/>
          <c:showPercent val="0"/>
          <c:showBubbleSize val="0"/>
        </c:dLbls>
        <c:gapWidth val="150"/>
        <c:axId val="1791403136"/>
        <c:axId val="1791419936"/>
      </c:barChart>
      <c:catAx>
        <c:axId val="1791403136"/>
        <c:scaling>
          <c:orientation val="minMax"/>
        </c:scaling>
        <c:delete val="0"/>
        <c:axPos val="b"/>
        <c:numFmt formatCode="dd/mm/yy" sourceLinked="1"/>
        <c:majorTickMark val="out"/>
        <c:minorTickMark val="none"/>
        <c:tickLblPos val="nextTo"/>
        <c:crossAx val="1791419936"/>
        <c:crosses val="autoZero"/>
        <c:auto val="0"/>
        <c:lblAlgn val="ctr"/>
        <c:lblOffset val="100"/>
        <c:noMultiLvlLbl val="0"/>
      </c:catAx>
      <c:valAx>
        <c:axId val="1791419936"/>
        <c:scaling>
          <c:orientation val="minMax"/>
        </c:scaling>
        <c:delete val="0"/>
        <c:axPos val="l"/>
        <c:majorGridlines/>
        <c:numFmt formatCode="0.0" sourceLinked="1"/>
        <c:majorTickMark val="out"/>
        <c:minorTickMark val="none"/>
        <c:tickLblPos val="nextTo"/>
        <c:crossAx val="179140313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Obra 343: pessoas por semana (previsto x realizado)</a:t>
            </a:r>
          </a:p>
        </c:rich>
      </c:tx>
      <c:overlay val="0"/>
    </c:title>
    <c:autoTitleDeleted val="0"/>
    <c:plotArea>
      <c:layout/>
      <c:barChart>
        <c:barDir val="col"/>
        <c:grouping val="clustered"/>
        <c:varyColors val="0"/>
        <c:ser>
          <c:idx val="0"/>
          <c:order val="0"/>
          <c:tx>
            <c:v>Pico previsto</c:v>
          </c:tx>
          <c:spPr>
            <a:solidFill>
              <a:srgbClr val="5B9BD5"/>
            </a:solidFill>
          </c:spPr>
          <c:invertIfNegative val="0"/>
          <c:cat>
            <c:numRef>
              <c:f>'HISTOGRAMA PLANEJADO'!$B$107:$B$144</c:f>
              <c:numCache>
                <c:formatCode>dd/mm/yy</c:formatCode>
                <c:ptCount val="38"/>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numCache>
            </c:numRef>
          </c:cat>
          <c:val>
            <c:numRef>
              <c:f>'HISTOGRAMA PLANEJADO'!$C$107:$C$144</c:f>
              <c:numCache>
                <c:formatCode>0.0</c:formatCode>
                <c:ptCount val="38"/>
                <c:pt idx="0">
                  <c:v>4</c:v>
                </c:pt>
                <c:pt idx="1">
                  <c:v>4</c:v>
                </c:pt>
                <c:pt idx="2">
                  <c:v>4</c:v>
                </c:pt>
                <c:pt idx="3">
                  <c:v>4</c:v>
                </c:pt>
                <c:pt idx="4">
                  <c:v>11.3108</c:v>
                </c:pt>
                <c:pt idx="5">
                  <c:v>11.3108</c:v>
                </c:pt>
                <c:pt idx="6">
                  <c:v>11.3108</c:v>
                </c:pt>
                <c:pt idx="7">
                  <c:v>11.3108</c:v>
                </c:pt>
                <c:pt idx="8">
                  <c:v>11.3108</c:v>
                </c:pt>
                <c:pt idx="9">
                  <c:v>11.3108</c:v>
                </c:pt>
                <c:pt idx="10">
                  <c:v>11.3108</c:v>
                </c:pt>
                <c:pt idx="11">
                  <c:v>11.3108</c:v>
                </c:pt>
                <c:pt idx="12">
                  <c:v>11.3108</c:v>
                </c:pt>
                <c:pt idx="13">
                  <c:v>11.3108</c:v>
                </c:pt>
                <c:pt idx="14">
                  <c:v>7.3108000000000004</c:v>
                </c:pt>
                <c:pt idx="15">
                  <c:v>7.3108000000000004</c:v>
                </c:pt>
                <c:pt idx="16">
                  <c:v>7.3108000000000004</c:v>
                </c:pt>
                <c:pt idx="17">
                  <c:v>7.3108000000000004</c:v>
                </c:pt>
                <c:pt idx="18">
                  <c:v>7.3108000000000004</c:v>
                </c:pt>
                <c:pt idx="19">
                  <c:v>7.3108000000000004</c:v>
                </c:pt>
                <c:pt idx="20">
                  <c:v>7.3108000000000004</c:v>
                </c:pt>
                <c:pt idx="21">
                  <c:v>7.3108000000000004</c:v>
                </c:pt>
                <c:pt idx="22">
                  <c:v>7.3108000000000004</c:v>
                </c:pt>
                <c:pt idx="23">
                  <c:v>7.3108000000000004</c:v>
                </c:pt>
                <c:pt idx="24">
                  <c:v>7.3108000000000004</c:v>
                </c:pt>
                <c:pt idx="25">
                  <c:v>7.3108000000000004</c:v>
                </c:pt>
                <c:pt idx="26">
                  <c:v>7.3108000000000004</c:v>
                </c:pt>
                <c:pt idx="27">
                  <c:v>7.3108000000000004</c:v>
                </c:pt>
                <c:pt idx="28">
                  <c:v>7.3108000000000004</c:v>
                </c:pt>
                <c:pt idx="29">
                  <c:v>7.3108000000000004</c:v>
                </c:pt>
                <c:pt idx="30">
                  <c:v>7.3108000000000004</c:v>
                </c:pt>
                <c:pt idx="31">
                  <c:v>4</c:v>
                </c:pt>
                <c:pt idx="32">
                  <c:v>4</c:v>
                </c:pt>
                <c:pt idx="33">
                  <c:v>4</c:v>
                </c:pt>
                <c:pt idx="34">
                  <c:v>4</c:v>
                </c:pt>
                <c:pt idx="35">
                  <c:v>4</c:v>
                </c:pt>
                <c:pt idx="36">
                  <c:v>4</c:v>
                </c:pt>
                <c:pt idx="37">
                  <c:v>4</c:v>
                </c:pt>
              </c:numCache>
            </c:numRef>
          </c:val>
          <c:extLst>
            <c:ext xmlns:c16="http://schemas.microsoft.com/office/drawing/2014/chart" uri="{C3380CC4-5D6E-409C-BE32-E72D297353CC}">
              <c16:uniqueId val="{00000003-4C33-45B7-AF2C-66C60903D44A}"/>
            </c:ext>
          </c:extLst>
        </c:ser>
        <c:ser>
          <c:idx val="1"/>
          <c:order val="1"/>
          <c:tx>
            <c:v>Média prevista</c:v>
          </c:tx>
          <c:spPr>
            <a:solidFill>
              <a:srgbClr val="9BC2E6"/>
            </a:solidFill>
          </c:spPr>
          <c:invertIfNegative val="0"/>
          <c:cat>
            <c:numRef>
              <c:f>'HISTOGRAMA PLANEJADO'!$B$107:$B$144</c:f>
              <c:numCache>
                <c:formatCode>dd/mm/yy</c:formatCode>
                <c:ptCount val="38"/>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numCache>
            </c:numRef>
          </c:cat>
          <c:val>
            <c:numRef>
              <c:f>'HISTOGRAMA PLANEJADO'!$D$107:$D$144</c:f>
              <c:numCache>
                <c:formatCode>0.0</c:formatCode>
                <c:ptCount val="38"/>
                <c:pt idx="0">
                  <c:v>4</c:v>
                </c:pt>
                <c:pt idx="1">
                  <c:v>4</c:v>
                </c:pt>
                <c:pt idx="2">
                  <c:v>4</c:v>
                </c:pt>
                <c:pt idx="3">
                  <c:v>4</c:v>
                </c:pt>
                <c:pt idx="4">
                  <c:v>8.3864800000000006</c:v>
                </c:pt>
                <c:pt idx="5">
                  <c:v>11.3108</c:v>
                </c:pt>
                <c:pt idx="6">
                  <c:v>11.3108</c:v>
                </c:pt>
                <c:pt idx="7">
                  <c:v>11.3108</c:v>
                </c:pt>
                <c:pt idx="8">
                  <c:v>11.3108</c:v>
                </c:pt>
                <c:pt idx="9">
                  <c:v>11.3108</c:v>
                </c:pt>
                <c:pt idx="10">
                  <c:v>11.3108</c:v>
                </c:pt>
                <c:pt idx="11">
                  <c:v>11.3108</c:v>
                </c:pt>
                <c:pt idx="12">
                  <c:v>11.3108</c:v>
                </c:pt>
                <c:pt idx="13">
                  <c:v>8.9108000000000001</c:v>
                </c:pt>
                <c:pt idx="14">
                  <c:v>7.3108000000000004</c:v>
                </c:pt>
                <c:pt idx="15">
                  <c:v>7.3108000000000004</c:v>
                </c:pt>
                <c:pt idx="16">
                  <c:v>7.3108000000000004</c:v>
                </c:pt>
                <c:pt idx="17">
                  <c:v>7.3108000000000004</c:v>
                </c:pt>
                <c:pt idx="18">
                  <c:v>7.3108000000000004</c:v>
                </c:pt>
                <c:pt idx="19">
                  <c:v>7.3108000000000004</c:v>
                </c:pt>
                <c:pt idx="20">
                  <c:v>7.3108000000000004</c:v>
                </c:pt>
                <c:pt idx="21">
                  <c:v>7.3108000000000004</c:v>
                </c:pt>
                <c:pt idx="22">
                  <c:v>7.3108000000000004</c:v>
                </c:pt>
                <c:pt idx="23">
                  <c:v>7.3108000000000004</c:v>
                </c:pt>
                <c:pt idx="24">
                  <c:v>7.3108000000000004</c:v>
                </c:pt>
                <c:pt idx="25">
                  <c:v>7.3108000000000004</c:v>
                </c:pt>
                <c:pt idx="26">
                  <c:v>7.3108000000000004</c:v>
                </c:pt>
                <c:pt idx="27">
                  <c:v>7.3108000000000004</c:v>
                </c:pt>
                <c:pt idx="28">
                  <c:v>7.3108000000000004</c:v>
                </c:pt>
                <c:pt idx="29">
                  <c:v>7.3108000000000004</c:v>
                </c:pt>
                <c:pt idx="30">
                  <c:v>7.3108000000000004</c:v>
                </c:pt>
                <c:pt idx="31">
                  <c:v>4</c:v>
                </c:pt>
                <c:pt idx="32">
                  <c:v>4</c:v>
                </c:pt>
                <c:pt idx="33">
                  <c:v>4</c:v>
                </c:pt>
                <c:pt idx="34">
                  <c:v>4</c:v>
                </c:pt>
                <c:pt idx="35">
                  <c:v>4</c:v>
                </c:pt>
                <c:pt idx="36">
                  <c:v>4</c:v>
                </c:pt>
                <c:pt idx="37">
                  <c:v>0.8</c:v>
                </c:pt>
              </c:numCache>
            </c:numRef>
          </c:val>
          <c:extLst>
            <c:ext xmlns:c16="http://schemas.microsoft.com/office/drawing/2014/chart" uri="{C3380CC4-5D6E-409C-BE32-E72D297353CC}">
              <c16:uniqueId val="{00000004-4C33-45B7-AF2C-66C60903D44A}"/>
            </c:ext>
          </c:extLst>
        </c:ser>
        <c:ser>
          <c:idx val="2"/>
          <c:order val="2"/>
          <c:tx>
            <c:v>Realizado considerado</c:v>
          </c:tx>
          <c:spPr>
            <a:solidFill>
              <a:srgbClr val="70AD47"/>
            </a:solidFill>
          </c:spPr>
          <c:invertIfNegative val="0"/>
          <c:cat>
            <c:numRef>
              <c:f>'HISTOGRAMA PLANEJADO'!$B$107:$B$144</c:f>
              <c:numCache>
                <c:formatCode>dd/mm/yy</c:formatCode>
                <c:ptCount val="38"/>
                <c:pt idx="0">
                  <c:v>46266</c:v>
                </c:pt>
                <c:pt idx="1">
                  <c:v>46273</c:v>
                </c:pt>
                <c:pt idx="2">
                  <c:v>46280</c:v>
                </c:pt>
                <c:pt idx="3">
                  <c:v>46287</c:v>
                </c:pt>
                <c:pt idx="4">
                  <c:v>46294</c:v>
                </c:pt>
                <c:pt idx="5">
                  <c:v>46301</c:v>
                </c:pt>
                <c:pt idx="6">
                  <c:v>46308</c:v>
                </c:pt>
                <c:pt idx="7">
                  <c:v>46315</c:v>
                </c:pt>
                <c:pt idx="8">
                  <c:v>46322</c:v>
                </c:pt>
                <c:pt idx="9">
                  <c:v>46329</c:v>
                </c:pt>
                <c:pt idx="10">
                  <c:v>46336</c:v>
                </c:pt>
                <c:pt idx="11">
                  <c:v>46343</c:v>
                </c:pt>
                <c:pt idx="12">
                  <c:v>46350</c:v>
                </c:pt>
                <c:pt idx="13">
                  <c:v>46357</c:v>
                </c:pt>
                <c:pt idx="14">
                  <c:v>46364</c:v>
                </c:pt>
                <c:pt idx="15">
                  <c:v>46371</c:v>
                </c:pt>
                <c:pt idx="16">
                  <c:v>46378</c:v>
                </c:pt>
                <c:pt idx="17">
                  <c:v>46385</c:v>
                </c:pt>
                <c:pt idx="18">
                  <c:v>46392</c:v>
                </c:pt>
                <c:pt idx="19">
                  <c:v>46399</c:v>
                </c:pt>
                <c:pt idx="20">
                  <c:v>46406</c:v>
                </c:pt>
                <c:pt idx="21">
                  <c:v>46413</c:v>
                </c:pt>
                <c:pt idx="22">
                  <c:v>46420</c:v>
                </c:pt>
                <c:pt idx="23">
                  <c:v>46427</c:v>
                </c:pt>
                <c:pt idx="24">
                  <c:v>46434</c:v>
                </c:pt>
                <c:pt idx="25">
                  <c:v>46441</c:v>
                </c:pt>
                <c:pt idx="26">
                  <c:v>46448</c:v>
                </c:pt>
                <c:pt idx="27">
                  <c:v>46455</c:v>
                </c:pt>
                <c:pt idx="28">
                  <c:v>46462</c:v>
                </c:pt>
                <c:pt idx="29">
                  <c:v>46469</c:v>
                </c:pt>
                <c:pt idx="30">
                  <c:v>46476</c:v>
                </c:pt>
                <c:pt idx="31">
                  <c:v>46483</c:v>
                </c:pt>
                <c:pt idx="32">
                  <c:v>46490</c:v>
                </c:pt>
                <c:pt idx="33">
                  <c:v>46497</c:v>
                </c:pt>
                <c:pt idx="34">
                  <c:v>46504</c:v>
                </c:pt>
                <c:pt idx="35">
                  <c:v>46511</c:v>
                </c:pt>
                <c:pt idx="36">
                  <c:v>46518</c:v>
                </c:pt>
                <c:pt idx="37">
                  <c:v>46525</c:v>
                </c:pt>
              </c:numCache>
            </c:numRef>
          </c:cat>
          <c:val>
            <c:numRef>
              <c:f>'HISTOGRAMA PLANEJADO'!$H$107:$H$144</c:f>
              <c:numCache>
                <c:formatCode>0.0</c:formatCode>
                <c:ptCount val="3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numCache>
            </c:numRef>
          </c:val>
          <c:extLst>
            <c:ext xmlns:c16="http://schemas.microsoft.com/office/drawing/2014/chart" uri="{C3380CC4-5D6E-409C-BE32-E72D297353CC}">
              <c16:uniqueId val="{00000005-4C33-45B7-AF2C-66C60903D44A}"/>
            </c:ext>
          </c:extLst>
        </c:ser>
        <c:dLbls>
          <c:showLegendKey val="0"/>
          <c:showVal val="0"/>
          <c:showCatName val="0"/>
          <c:showSerName val="0"/>
          <c:showPercent val="0"/>
          <c:showBubbleSize val="0"/>
        </c:dLbls>
        <c:gapWidth val="150"/>
        <c:axId val="1791428096"/>
        <c:axId val="1791421376"/>
      </c:barChart>
      <c:catAx>
        <c:axId val="1791428096"/>
        <c:scaling>
          <c:orientation val="minMax"/>
        </c:scaling>
        <c:delete val="0"/>
        <c:axPos val="b"/>
        <c:numFmt formatCode="dd/mm/yy" sourceLinked="1"/>
        <c:majorTickMark val="out"/>
        <c:minorTickMark val="none"/>
        <c:tickLblPos val="nextTo"/>
        <c:crossAx val="1791421376"/>
        <c:crosses val="autoZero"/>
        <c:auto val="0"/>
        <c:lblAlgn val="ctr"/>
        <c:lblOffset val="100"/>
        <c:noMultiLvlLbl val="0"/>
      </c:catAx>
      <c:valAx>
        <c:axId val="1791421376"/>
        <c:scaling>
          <c:orientation val="minMax"/>
        </c:scaling>
        <c:delete val="0"/>
        <c:axPos val="l"/>
        <c:majorGridlines/>
        <c:numFmt formatCode="0.0" sourceLinked="1"/>
        <c:majorTickMark val="out"/>
        <c:minorTickMark val="none"/>
        <c:tickLblPos val="nextTo"/>
        <c:crossAx val="179142809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Curva S físico-financeira (R$ acumulados)</a:t>
            </a:r>
          </a:p>
        </c:rich>
      </c:tx>
      <c:overlay val="0"/>
    </c:title>
    <c:autoTitleDeleted val="0"/>
    <c:plotArea>
      <c:layout/>
      <c:barChart>
        <c:barDir val="col"/>
        <c:grouping val="clustered"/>
        <c:varyColors val="0"/>
        <c:ser>
          <c:idx val="0"/>
          <c:order val="0"/>
          <c:tx>
            <c:v>Medido acumulado (06)</c:v>
          </c:tx>
          <c:spPr>
            <a:solidFill>
              <a:srgbClr val="70AD47"/>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TAF'!$E$71:$E$86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2AA-4195-BAEA-62966A3EBE48}"/>
            </c:ext>
          </c:extLst>
        </c:ser>
        <c:dLbls>
          <c:showLegendKey val="0"/>
          <c:showVal val="0"/>
          <c:showCatName val="0"/>
          <c:showSerName val="0"/>
          <c:showPercent val="0"/>
          <c:showBubbleSize val="0"/>
        </c:dLbls>
        <c:gapWidth val="150"/>
        <c:axId val="1791425696"/>
        <c:axId val="1791426176"/>
      </c:barChart>
      <c:lineChart>
        <c:grouping val="standard"/>
        <c:varyColors val="0"/>
        <c:ser>
          <c:idx val="1"/>
          <c:order val="1"/>
          <c:tx>
            <c:v>Previsto acumulado</c:v>
          </c:tx>
          <c:spPr>
            <a:ln>
              <a:solidFill>
                <a:srgbClr val="1F3864"/>
              </a:solidFill>
            </a:ln>
          </c:spPr>
          <c:marker>
            <c:symbol val="none"/>
          </c:marker>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TAF'!$C$71:$C$86</c:f>
              <c:numCache>
                <c:formatCode>#,##0;\-#,##0;\-</c:formatCode>
                <c:ptCount val="16"/>
                <c:pt idx="0">
                  <c:v>0</c:v>
                </c:pt>
                <c:pt idx="1">
                  <c:v>1181684.0922568708</c:v>
                </c:pt>
                <c:pt idx="2">
                  <c:v>2135421.5362407966</c:v>
                </c:pt>
                <c:pt idx="3">
                  <c:v>2967336.016008907</c:v>
                </c:pt>
                <c:pt idx="4">
                  <c:v>3925425.209398285</c:v>
                </c:pt>
                <c:pt idx="5">
                  <c:v>4547065.2474487256</c:v>
                </c:pt>
                <c:pt idx="6">
                  <c:v>5296274.1461770413</c:v>
                </c:pt>
                <c:pt idx="7">
                  <c:v>5902711.9880540967</c:v>
                </c:pt>
                <c:pt idx="8">
                  <c:v>7452334.9039665293</c:v>
                </c:pt>
                <c:pt idx="9">
                  <c:v>8149830.083966529</c:v>
                </c:pt>
                <c:pt idx="10">
                  <c:v>8430378.833966529</c:v>
                </c:pt>
                <c:pt idx="11">
                  <c:v>8492011.9139665291</c:v>
                </c:pt>
                <c:pt idx="12">
                  <c:v>8492011.9139665291</c:v>
                </c:pt>
                <c:pt idx="13">
                  <c:v>8492011.9139665291</c:v>
                </c:pt>
                <c:pt idx="14">
                  <c:v>8492011.9139665291</c:v>
                </c:pt>
                <c:pt idx="15">
                  <c:v>8492011.9139665291</c:v>
                </c:pt>
              </c:numCache>
            </c:numRef>
          </c:val>
          <c:smooth val="0"/>
          <c:extLst>
            <c:ext xmlns:c16="http://schemas.microsoft.com/office/drawing/2014/chart" uri="{C3380CC4-5D6E-409C-BE32-E72D297353CC}">
              <c16:uniqueId val="{00000002-E2AA-4195-BAEA-62966A3EBE48}"/>
            </c:ext>
          </c:extLst>
        </c:ser>
        <c:dLbls>
          <c:showLegendKey val="0"/>
          <c:showVal val="0"/>
          <c:showCatName val="0"/>
          <c:showSerName val="0"/>
          <c:showPercent val="0"/>
          <c:showBubbleSize val="0"/>
        </c:dLbls>
        <c:marker val="1"/>
        <c:smooth val="0"/>
        <c:axId val="1791425696"/>
        <c:axId val="1791426176"/>
      </c:lineChart>
      <c:catAx>
        <c:axId val="1791425696"/>
        <c:scaling>
          <c:orientation val="minMax"/>
        </c:scaling>
        <c:delete val="0"/>
        <c:axPos val="b"/>
        <c:numFmt formatCode="mmm\-yy" sourceLinked="1"/>
        <c:majorTickMark val="out"/>
        <c:minorTickMark val="none"/>
        <c:tickLblPos val="low"/>
        <c:crossAx val="1791426176"/>
        <c:crosses val="autoZero"/>
        <c:auto val="0"/>
        <c:lblAlgn val="ctr"/>
        <c:lblOffset val="100"/>
        <c:noMultiLvlLbl val="0"/>
      </c:catAx>
      <c:valAx>
        <c:axId val="1791426176"/>
        <c:scaling>
          <c:orientation val="minMax"/>
        </c:scaling>
        <c:delete val="0"/>
        <c:axPos val="l"/>
        <c:majorGridlines/>
        <c:numFmt formatCode="#,##0;\-#,##0;\-" sourceLinked="1"/>
        <c:majorTickMark val="out"/>
        <c:minorTickMark val="none"/>
        <c:tickLblPos val="nextTo"/>
        <c:crossAx val="179142569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Medição por mês: prevista x real (R$)</a:t>
            </a:r>
          </a:p>
        </c:rich>
      </c:tx>
      <c:overlay val="0"/>
    </c:title>
    <c:autoTitleDeleted val="0"/>
    <c:plotArea>
      <c:layout/>
      <c:barChart>
        <c:barDir val="col"/>
        <c:grouping val="clustered"/>
        <c:varyColors val="0"/>
        <c:ser>
          <c:idx val="0"/>
          <c:order val="0"/>
          <c:tx>
            <c:v>Prevista</c:v>
          </c:tx>
          <c:spPr>
            <a:solidFill>
              <a:srgbClr val="5B9BD5"/>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TAF'!$B$71:$B$86</c:f>
              <c:numCache>
                <c:formatCode>#,##0;\-#,##0;\-</c:formatCode>
                <c:ptCount val="16"/>
                <c:pt idx="0">
                  <c:v>0</c:v>
                </c:pt>
                <c:pt idx="1">
                  <c:v>1181684.0922568708</c:v>
                </c:pt>
                <c:pt idx="2">
                  <c:v>953737.44398392551</c:v>
                </c:pt>
                <c:pt idx="3">
                  <c:v>831914.47976811067</c:v>
                </c:pt>
                <c:pt idx="4">
                  <c:v>958089.19338937791</c:v>
                </c:pt>
                <c:pt idx="5">
                  <c:v>621640.03805044014</c:v>
                </c:pt>
                <c:pt idx="6">
                  <c:v>749208.89872831572</c:v>
                </c:pt>
                <c:pt idx="7">
                  <c:v>606437.84187705501</c:v>
                </c:pt>
                <c:pt idx="8">
                  <c:v>1549622.9159124324</c:v>
                </c:pt>
                <c:pt idx="9">
                  <c:v>697495.18</c:v>
                </c:pt>
                <c:pt idx="10">
                  <c:v>280548.75</c:v>
                </c:pt>
                <c:pt idx="11">
                  <c:v>61633.08</c:v>
                </c:pt>
                <c:pt idx="12">
                  <c:v>0</c:v>
                </c:pt>
                <c:pt idx="13">
                  <c:v>0</c:v>
                </c:pt>
                <c:pt idx="14">
                  <c:v>0</c:v>
                </c:pt>
                <c:pt idx="15">
                  <c:v>0</c:v>
                </c:pt>
              </c:numCache>
            </c:numRef>
          </c:val>
          <c:extLst>
            <c:ext xmlns:c16="http://schemas.microsoft.com/office/drawing/2014/chart" uri="{C3380CC4-5D6E-409C-BE32-E72D297353CC}">
              <c16:uniqueId val="{00000001-703E-4E93-A06F-2F51BB5FF60A}"/>
            </c:ext>
          </c:extLst>
        </c:ser>
        <c:ser>
          <c:idx val="1"/>
          <c:order val="1"/>
          <c:tx>
            <c:v>Real (06)</c:v>
          </c:tx>
          <c:spPr>
            <a:solidFill>
              <a:srgbClr val="70AD47"/>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TAF'!$D$71:$D$86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703E-4E93-A06F-2F51BB5FF60A}"/>
            </c:ext>
          </c:extLst>
        </c:ser>
        <c:dLbls>
          <c:showLegendKey val="0"/>
          <c:showVal val="0"/>
          <c:showCatName val="0"/>
          <c:showSerName val="0"/>
          <c:showPercent val="0"/>
          <c:showBubbleSize val="0"/>
        </c:dLbls>
        <c:gapWidth val="150"/>
        <c:axId val="1791431456"/>
        <c:axId val="1791429536"/>
      </c:barChart>
      <c:catAx>
        <c:axId val="1791431456"/>
        <c:scaling>
          <c:orientation val="minMax"/>
        </c:scaling>
        <c:delete val="0"/>
        <c:axPos val="b"/>
        <c:numFmt formatCode="mmm\-yy" sourceLinked="1"/>
        <c:majorTickMark val="out"/>
        <c:minorTickMark val="none"/>
        <c:tickLblPos val="low"/>
        <c:crossAx val="1791429536"/>
        <c:crosses val="autoZero"/>
        <c:auto val="0"/>
        <c:lblAlgn val="ctr"/>
        <c:lblOffset val="100"/>
        <c:noMultiLvlLbl val="0"/>
      </c:catAx>
      <c:valAx>
        <c:axId val="1791429536"/>
        <c:scaling>
          <c:orientation val="minMax"/>
        </c:scaling>
        <c:delete val="0"/>
        <c:axPos val="l"/>
        <c:majorGridlines/>
        <c:numFmt formatCode="#,##0;\-#,##0;\-" sourceLinked="1"/>
        <c:majorTickMark val="out"/>
        <c:minorTickMark val="none"/>
        <c:tickLblPos val="nextTo"/>
        <c:crossAx val="179143145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Histograma mensal: pico previsto x realizado (pessoas)</a:t>
            </a:r>
          </a:p>
        </c:rich>
      </c:tx>
      <c:overlay val="0"/>
    </c:title>
    <c:autoTitleDeleted val="0"/>
    <c:plotArea>
      <c:layout/>
      <c:barChart>
        <c:barDir val="col"/>
        <c:grouping val="clustered"/>
        <c:varyColors val="0"/>
        <c:ser>
          <c:idx val="0"/>
          <c:order val="0"/>
          <c:tx>
            <c:v>Pico previsto</c:v>
          </c:tx>
          <c:spPr>
            <a:solidFill>
              <a:srgbClr val="5B9BD5"/>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TAF'!$F$71:$F$86</c:f>
              <c:numCache>
                <c:formatCode>0.0</c:formatCode>
                <c:ptCount val="16"/>
                <c:pt idx="0">
                  <c:v>16</c:v>
                </c:pt>
                <c:pt idx="1">
                  <c:v>30.3108</c:v>
                </c:pt>
                <c:pt idx="2">
                  <c:v>54.3108</c:v>
                </c:pt>
                <c:pt idx="3">
                  <c:v>77.3108</c:v>
                </c:pt>
                <c:pt idx="4">
                  <c:v>85.3108</c:v>
                </c:pt>
                <c:pt idx="5">
                  <c:v>90.3108</c:v>
                </c:pt>
                <c:pt idx="6">
                  <c:v>35.3108</c:v>
                </c:pt>
                <c:pt idx="7">
                  <c:v>78.3108</c:v>
                </c:pt>
                <c:pt idx="8">
                  <c:v>24</c:v>
                </c:pt>
                <c:pt idx="9">
                  <c:v>17</c:v>
                </c:pt>
                <c:pt idx="10">
                  <c:v>14</c:v>
                </c:pt>
                <c:pt idx="11">
                  <c:v>53</c:v>
                </c:pt>
                <c:pt idx="12">
                  <c:v>0</c:v>
                </c:pt>
                <c:pt idx="13">
                  <c:v>0</c:v>
                </c:pt>
                <c:pt idx="14">
                  <c:v>0</c:v>
                </c:pt>
                <c:pt idx="15">
                  <c:v>0</c:v>
                </c:pt>
              </c:numCache>
            </c:numRef>
          </c:val>
          <c:extLst>
            <c:ext xmlns:c16="http://schemas.microsoft.com/office/drawing/2014/chart" uri="{C3380CC4-5D6E-409C-BE32-E72D297353CC}">
              <c16:uniqueId val="{00000001-1FA4-419A-A87F-802BA8A84AE6}"/>
            </c:ext>
          </c:extLst>
        </c:ser>
        <c:ser>
          <c:idx val="1"/>
          <c:order val="1"/>
          <c:tx>
            <c:v>Realizado</c:v>
          </c:tx>
          <c:spPr>
            <a:solidFill>
              <a:srgbClr val="70AD47"/>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TAF'!$G$71:$G$86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1FA4-419A-A87F-802BA8A84AE6}"/>
            </c:ext>
          </c:extLst>
        </c:ser>
        <c:dLbls>
          <c:showLegendKey val="0"/>
          <c:showVal val="0"/>
          <c:showCatName val="0"/>
          <c:showSerName val="0"/>
          <c:showPercent val="0"/>
          <c:showBubbleSize val="0"/>
        </c:dLbls>
        <c:gapWidth val="150"/>
        <c:axId val="1791368576"/>
        <c:axId val="1791381536"/>
      </c:barChart>
      <c:catAx>
        <c:axId val="1791368576"/>
        <c:scaling>
          <c:orientation val="minMax"/>
        </c:scaling>
        <c:delete val="0"/>
        <c:axPos val="b"/>
        <c:numFmt formatCode="mmm\-yy" sourceLinked="1"/>
        <c:majorTickMark val="out"/>
        <c:minorTickMark val="none"/>
        <c:tickLblPos val="low"/>
        <c:crossAx val="1791381536"/>
        <c:crosses val="autoZero"/>
        <c:auto val="0"/>
        <c:lblAlgn val="ctr"/>
        <c:lblOffset val="100"/>
        <c:noMultiLvlLbl val="0"/>
      </c:catAx>
      <c:valAx>
        <c:axId val="1791381536"/>
        <c:scaling>
          <c:orientation val="minMax"/>
        </c:scaling>
        <c:delete val="0"/>
        <c:axPos val="l"/>
        <c:majorGridlines/>
        <c:numFmt formatCode="0.0" sourceLinked="1"/>
        <c:majorTickMark val="out"/>
        <c:minorTickMark val="none"/>
        <c:tickLblPos val="nextTo"/>
        <c:crossAx val="179136857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Custo por mês: previsto x lançado (R$)</a:t>
            </a:r>
          </a:p>
        </c:rich>
      </c:tx>
      <c:overlay val="0"/>
    </c:title>
    <c:autoTitleDeleted val="0"/>
    <c:plotArea>
      <c:layout/>
      <c:barChart>
        <c:barDir val="col"/>
        <c:grouping val="clustered"/>
        <c:varyColors val="0"/>
        <c:ser>
          <c:idx val="0"/>
          <c:order val="0"/>
          <c:tx>
            <c:v>Previsto (estudo)</c:v>
          </c:tx>
          <c:spPr>
            <a:solidFill>
              <a:srgbClr val="F8CBAD"/>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TAF'!$H$71:$H$86</c:f>
              <c:numCache>
                <c:formatCode>#,##0;\-#,##0;\-</c:formatCode>
                <c:ptCount val="16"/>
                <c:pt idx="0">
                  <c:v>122163.80424661445</c:v>
                </c:pt>
                <c:pt idx="1">
                  <c:v>864914.88399947365</c:v>
                </c:pt>
                <c:pt idx="2">
                  <c:v>1005418.6710853875</c:v>
                </c:pt>
                <c:pt idx="3">
                  <c:v>1188891.3299267869</c:v>
                </c:pt>
                <c:pt idx="4">
                  <c:v>1028991.4133251777</c:v>
                </c:pt>
                <c:pt idx="5">
                  <c:v>921000.91051447811</c:v>
                </c:pt>
                <c:pt idx="6">
                  <c:v>726924.92187769571</c:v>
                </c:pt>
                <c:pt idx="7">
                  <c:v>990533.87007703807</c:v>
                </c:pt>
                <c:pt idx="8">
                  <c:v>451522.22295351978</c:v>
                </c:pt>
                <c:pt idx="9">
                  <c:v>243770.07782870033</c:v>
                </c:pt>
                <c:pt idx="10">
                  <c:v>229358.46664870033</c:v>
                </c:pt>
                <c:pt idx="11">
                  <c:v>501992.50547870033</c:v>
                </c:pt>
                <c:pt idx="12">
                  <c:v>0</c:v>
                </c:pt>
                <c:pt idx="13">
                  <c:v>0</c:v>
                </c:pt>
                <c:pt idx="14">
                  <c:v>0</c:v>
                </c:pt>
                <c:pt idx="15">
                  <c:v>0</c:v>
                </c:pt>
              </c:numCache>
            </c:numRef>
          </c:val>
          <c:extLst>
            <c:ext xmlns:c16="http://schemas.microsoft.com/office/drawing/2014/chart" uri="{C3380CC4-5D6E-409C-BE32-E72D297353CC}">
              <c16:uniqueId val="{00000001-33B0-43E8-8E5B-79FF1BF6EB7B}"/>
            </c:ext>
          </c:extLst>
        </c:ser>
        <c:ser>
          <c:idx val="1"/>
          <c:order val="1"/>
          <c:tx>
            <c:v>Lançado (08)</c:v>
          </c:tx>
          <c:spPr>
            <a:solidFill>
              <a:srgbClr val="70AD47"/>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TAF'!$I$71:$I$86</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33B0-43E8-8E5B-79FF1BF6EB7B}"/>
            </c:ext>
          </c:extLst>
        </c:ser>
        <c:dLbls>
          <c:showLegendKey val="0"/>
          <c:showVal val="0"/>
          <c:showCatName val="0"/>
          <c:showSerName val="0"/>
          <c:showPercent val="0"/>
          <c:showBubbleSize val="0"/>
        </c:dLbls>
        <c:gapWidth val="150"/>
        <c:axId val="1791376256"/>
        <c:axId val="1791370976"/>
      </c:barChart>
      <c:catAx>
        <c:axId val="1791376256"/>
        <c:scaling>
          <c:orientation val="minMax"/>
        </c:scaling>
        <c:delete val="0"/>
        <c:axPos val="b"/>
        <c:numFmt formatCode="mmm\-yy" sourceLinked="1"/>
        <c:majorTickMark val="out"/>
        <c:minorTickMark val="none"/>
        <c:tickLblPos val="low"/>
        <c:crossAx val="1791370976"/>
        <c:crosses val="autoZero"/>
        <c:auto val="0"/>
        <c:lblAlgn val="ctr"/>
        <c:lblOffset val="100"/>
        <c:noMultiLvlLbl val="0"/>
      </c:catAx>
      <c:valAx>
        <c:axId val="1791370976"/>
        <c:scaling>
          <c:orientation val="minMax"/>
        </c:scaling>
        <c:delete val="0"/>
        <c:axPos val="l"/>
        <c:majorGridlines/>
        <c:numFmt formatCode="#,##0;\-#,##0;\-" sourceLinked="1"/>
        <c:majorTickMark val="out"/>
        <c:minorTickMark val="none"/>
        <c:tickLblPos val="nextTo"/>
        <c:crossAx val="179137625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Fluxo de caixa: entradas, saídas e saldo acumulado (R$)</a:t>
            </a:r>
          </a:p>
        </c:rich>
      </c:tx>
      <c:overlay val="0"/>
    </c:title>
    <c:autoTitleDeleted val="0"/>
    <c:plotArea>
      <c:layout/>
      <c:barChart>
        <c:barDir val="col"/>
        <c:grouping val="clustered"/>
        <c:varyColors val="0"/>
        <c:ser>
          <c:idx val="0"/>
          <c:order val="0"/>
          <c:tx>
            <c:v>Entrada líquida</c:v>
          </c:tx>
          <c:spPr>
            <a:solidFill>
              <a:srgbClr val="5B9BD5"/>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TAF'!$J$71:$J$86</c:f>
              <c:numCache>
                <c:formatCode>#,##0;\-#,##0;\-</c:formatCode>
                <c:ptCount val="16"/>
                <c:pt idx="0">
                  <c:v>0</c:v>
                </c:pt>
                <c:pt idx="1">
                  <c:v>0</c:v>
                </c:pt>
                <c:pt idx="2">
                  <c:v>1081240.9444150368</c:v>
                </c:pt>
                <c:pt idx="3">
                  <c:v>872669.7612452918</c:v>
                </c:pt>
                <c:pt idx="4">
                  <c:v>761201.74898782128</c:v>
                </c:pt>
                <c:pt idx="5">
                  <c:v>0</c:v>
                </c:pt>
                <c:pt idx="6">
                  <c:v>1445452.2467674334</c:v>
                </c:pt>
                <c:pt idx="7">
                  <c:v>685526.14233640884</c:v>
                </c:pt>
                <c:pt idx="8">
                  <c:v>554890.62531750533</c:v>
                </c:pt>
                <c:pt idx="9">
                  <c:v>1417904.9680598755</c:v>
                </c:pt>
                <c:pt idx="10">
                  <c:v>638208.08970000001</c:v>
                </c:pt>
                <c:pt idx="11">
                  <c:v>256702.10625000001</c:v>
                </c:pt>
                <c:pt idx="12">
                  <c:v>56394.268199999999</c:v>
                </c:pt>
                <c:pt idx="13">
                  <c:v>0</c:v>
                </c:pt>
                <c:pt idx="14">
                  <c:v>0</c:v>
                </c:pt>
                <c:pt idx="15">
                  <c:v>0</c:v>
                </c:pt>
              </c:numCache>
            </c:numRef>
          </c:val>
          <c:extLst>
            <c:ext xmlns:c16="http://schemas.microsoft.com/office/drawing/2014/chart" uri="{C3380CC4-5D6E-409C-BE32-E72D297353CC}">
              <c16:uniqueId val="{00000001-6B64-450B-B77F-B67407B233CD}"/>
            </c:ext>
          </c:extLst>
        </c:ser>
        <c:ser>
          <c:idx val="1"/>
          <c:order val="1"/>
          <c:tx>
            <c:v>Saídas previstas</c:v>
          </c:tx>
          <c:spPr>
            <a:solidFill>
              <a:srgbClr val="F8CBAD"/>
            </a:solidFill>
          </c:spPr>
          <c:invertIfNegative val="0"/>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TAF'!$H$71:$H$86</c:f>
              <c:numCache>
                <c:formatCode>#,##0;\-#,##0;\-</c:formatCode>
                <c:ptCount val="16"/>
                <c:pt idx="0">
                  <c:v>122163.80424661445</c:v>
                </c:pt>
                <c:pt idx="1">
                  <c:v>864914.88399947365</c:v>
                </c:pt>
                <c:pt idx="2">
                  <c:v>1005418.6710853875</c:v>
                </c:pt>
                <c:pt idx="3">
                  <c:v>1188891.3299267869</c:v>
                </c:pt>
                <c:pt idx="4">
                  <c:v>1028991.4133251777</c:v>
                </c:pt>
                <c:pt idx="5">
                  <c:v>921000.91051447811</c:v>
                </c:pt>
                <c:pt idx="6">
                  <c:v>726924.92187769571</c:v>
                </c:pt>
                <c:pt idx="7">
                  <c:v>990533.87007703807</c:v>
                </c:pt>
                <c:pt idx="8">
                  <c:v>451522.22295351978</c:v>
                </c:pt>
                <c:pt idx="9">
                  <c:v>243770.07782870033</c:v>
                </c:pt>
                <c:pt idx="10">
                  <c:v>229358.46664870033</c:v>
                </c:pt>
                <c:pt idx="11">
                  <c:v>501992.50547870033</c:v>
                </c:pt>
                <c:pt idx="12">
                  <c:v>0</c:v>
                </c:pt>
                <c:pt idx="13">
                  <c:v>0</c:v>
                </c:pt>
                <c:pt idx="14">
                  <c:v>0</c:v>
                </c:pt>
                <c:pt idx="15">
                  <c:v>0</c:v>
                </c:pt>
              </c:numCache>
            </c:numRef>
          </c:val>
          <c:extLst>
            <c:ext xmlns:c16="http://schemas.microsoft.com/office/drawing/2014/chart" uri="{C3380CC4-5D6E-409C-BE32-E72D297353CC}">
              <c16:uniqueId val="{00000002-6B64-450B-B77F-B67407B233CD}"/>
            </c:ext>
          </c:extLst>
        </c:ser>
        <c:dLbls>
          <c:showLegendKey val="0"/>
          <c:showVal val="0"/>
          <c:showCatName val="0"/>
          <c:showSerName val="0"/>
          <c:showPercent val="0"/>
          <c:showBubbleSize val="0"/>
        </c:dLbls>
        <c:gapWidth val="150"/>
        <c:axId val="1791381056"/>
        <c:axId val="1791382976"/>
      </c:barChart>
      <c:lineChart>
        <c:grouping val="standard"/>
        <c:varyColors val="0"/>
        <c:ser>
          <c:idx val="2"/>
          <c:order val="2"/>
          <c:tx>
            <c:v>Saldo acumulado</c:v>
          </c:tx>
          <c:spPr>
            <a:ln>
              <a:solidFill>
                <a:srgbClr val="C00000"/>
              </a:solidFill>
            </a:ln>
          </c:spPr>
          <c:marker>
            <c:symbol val="none"/>
          </c:marker>
          <c:cat>
            <c:numRef>
              <c:f>'DASHBOARD BI TAF'!$A$71:$A$86</c:f>
              <c:numCache>
                <c:formatCode>mmm\-yy</c:formatCode>
                <c:ptCount val="16"/>
                <c:pt idx="0">
                  <c:v>46266</c:v>
                </c:pt>
                <c:pt idx="1">
                  <c:v>46296</c:v>
                </c:pt>
                <c:pt idx="2">
                  <c:v>46327</c:v>
                </c:pt>
                <c:pt idx="3">
                  <c:v>46357</c:v>
                </c:pt>
                <c:pt idx="4">
                  <c:v>46388</c:v>
                </c:pt>
                <c:pt idx="5">
                  <c:v>46419</c:v>
                </c:pt>
                <c:pt idx="6">
                  <c:v>46447</c:v>
                </c:pt>
                <c:pt idx="7">
                  <c:v>46478</c:v>
                </c:pt>
                <c:pt idx="8">
                  <c:v>46508</c:v>
                </c:pt>
                <c:pt idx="9">
                  <c:v>46539</c:v>
                </c:pt>
                <c:pt idx="10">
                  <c:v>46569</c:v>
                </c:pt>
                <c:pt idx="11">
                  <c:v>46600</c:v>
                </c:pt>
                <c:pt idx="12">
                  <c:v>46631</c:v>
                </c:pt>
                <c:pt idx="13">
                  <c:v>46661</c:v>
                </c:pt>
                <c:pt idx="14">
                  <c:v>46692</c:v>
                </c:pt>
                <c:pt idx="15">
                  <c:v>46722</c:v>
                </c:pt>
              </c:numCache>
            </c:numRef>
          </c:cat>
          <c:val>
            <c:numRef>
              <c:f>'DASHBOARD BI TAF'!$L$71:$L$86</c:f>
              <c:numCache>
                <c:formatCode>#,##0;\-#,##0;\-</c:formatCode>
                <c:ptCount val="16"/>
                <c:pt idx="0">
                  <c:v>-122163.80424661445</c:v>
                </c:pt>
                <c:pt idx="1">
                  <c:v>-987078.68824608822</c:v>
                </c:pt>
                <c:pt idx="2">
                  <c:v>-911256.41491643887</c:v>
                </c:pt>
                <c:pt idx="3">
                  <c:v>-1227477.983597934</c:v>
                </c:pt>
                <c:pt idx="4">
                  <c:v>-1495267.6479352906</c:v>
                </c:pt>
                <c:pt idx="5">
                  <c:v>-2416268.5584497689</c:v>
                </c:pt>
                <c:pt idx="6">
                  <c:v>-1697741.2335600308</c:v>
                </c:pt>
                <c:pt idx="7">
                  <c:v>-2002748.9613006602</c:v>
                </c:pt>
                <c:pt idx="8">
                  <c:v>-1899380.5589366746</c:v>
                </c:pt>
                <c:pt idx="9">
                  <c:v>-725245.66870549927</c:v>
                </c:pt>
                <c:pt idx="10">
                  <c:v>-316396.04565419955</c:v>
                </c:pt>
                <c:pt idx="11">
                  <c:v>-561686.44488289999</c:v>
                </c:pt>
                <c:pt idx="12">
                  <c:v>-505292.17668289994</c:v>
                </c:pt>
                <c:pt idx="13">
                  <c:v>-505292.17668289994</c:v>
                </c:pt>
                <c:pt idx="14">
                  <c:v>-505292.17668289994</c:v>
                </c:pt>
                <c:pt idx="15">
                  <c:v>-505292.17668289994</c:v>
                </c:pt>
              </c:numCache>
            </c:numRef>
          </c:val>
          <c:smooth val="0"/>
          <c:extLst>
            <c:ext xmlns:c16="http://schemas.microsoft.com/office/drawing/2014/chart" uri="{C3380CC4-5D6E-409C-BE32-E72D297353CC}">
              <c16:uniqueId val="{00000003-6B64-450B-B77F-B67407B233CD}"/>
            </c:ext>
          </c:extLst>
        </c:ser>
        <c:dLbls>
          <c:showLegendKey val="0"/>
          <c:showVal val="0"/>
          <c:showCatName val="0"/>
          <c:showSerName val="0"/>
          <c:showPercent val="0"/>
          <c:showBubbleSize val="0"/>
        </c:dLbls>
        <c:marker val="1"/>
        <c:smooth val="0"/>
        <c:axId val="1791381056"/>
        <c:axId val="1791382976"/>
      </c:lineChart>
      <c:catAx>
        <c:axId val="1791381056"/>
        <c:scaling>
          <c:orientation val="minMax"/>
        </c:scaling>
        <c:delete val="0"/>
        <c:axPos val="b"/>
        <c:numFmt formatCode="mmm\-yy" sourceLinked="1"/>
        <c:majorTickMark val="out"/>
        <c:minorTickMark val="none"/>
        <c:tickLblPos val="low"/>
        <c:crossAx val="1791382976"/>
        <c:crosses val="autoZero"/>
        <c:auto val="0"/>
        <c:lblAlgn val="ctr"/>
        <c:lblOffset val="100"/>
        <c:noMultiLvlLbl val="0"/>
      </c:catAx>
      <c:valAx>
        <c:axId val="1791382976"/>
        <c:scaling>
          <c:orientation val="minMax"/>
        </c:scaling>
        <c:delete val="0"/>
        <c:axPos val="l"/>
        <c:majorGridlines/>
        <c:numFmt formatCode="#,##0;\-#,##0;\-" sourceLinked="1"/>
        <c:majorTickMark val="out"/>
        <c:minorTickMark val="none"/>
        <c:tickLblPos val="nextTo"/>
        <c:crossAx val="1791381056"/>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pt-BR"/>
              <a:t>Valor por etapa do cronograma (R$)</a:t>
            </a:r>
          </a:p>
        </c:rich>
      </c:tx>
      <c:overlay val="0"/>
    </c:title>
    <c:autoTitleDeleted val="0"/>
    <c:plotArea>
      <c:layout/>
      <c:barChart>
        <c:barDir val="bar"/>
        <c:grouping val="clustered"/>
        <c:varyColors val="0"/>
        <c:ser>
          <c:idx val="0"/>
          <c:order val="0"/>
          <c:tx>
            <c:v>Valor</c:v>
          </c:tx>
          <c:spPr>
            <a:solidFill>
              <a:srgbClr val="2E5C8A"/>
            </a:solidFill>
          </c:spPr>
          <c:invertIfNegative val="0"/>
          <c:cat>
            <c:strRef>
              <c:f>'DASHBOARD BI TAF'!$V$71:$V$86</c:f>
              <c:strCache>
                <c:ptCount val="16"/>
                <c:pt idx="0">
                  <c:v>342-01 CANTEIRO DE OBRAS</c:v>
                </c:pt>
                <c:pt idx="1">
                  <c:v>342-02 ADMINISTRAÇÃO LOCAL</c:v>
                </c:pt>
                <c:pt idx="2">
                  <c:v>342-03 TERRAPLANAGEM E DESVIO DE TUBULAÇÃO</c:v>
                </c:pt>
                <c:pt idx="3">
                  <c:v>342-04 INTERLIGAÇÕES ETA × UTR</c:v>
                </c:pt>
                <c:pt idx="4">
                  <c:v>342-05 INTERLIGAÇÕES LINHA DE RECALQUE UTR × ET</c:v>
                </c:pt>
                <c:pt idx="5">
                  <c:v>342-06 DRENAGENS, ESGOTAMENTO E CAIXA DE CHEGAD</c:v>
                </c:pt>
                <c:pt idx="6">
                  <c:v>342-07 TANQUE DE LODO</c:v>
                </c:pt>
                <c:pt idx="7">
                  <c:v>342-08 ESTAÇÃO ELEVATÓRIA DE RECIRCULAÇÃO DE LO</c:v>
                </c:pt>
                <c:pt idx="8">
                  <c:v>342-09 URBANIZAÇÃO, CANALETAS, CAIXAS E SERVIÇO</c:v>
                </c:pt>
                <c:pt idx="9">
                  <c:v>342-10 REDE DE DISTRIBUIÇÃO DE ENERGIA</c:v>
                </c:pt>
                <c:pt idx="10">
                  <c:v>342-11 PROJETOS EXECUTIVOS / AS BUILT</c:v>
                </c:pt>
                <c:pt idx="11">
                  <c:v>343-01 Canteiro de Obras</c:v>
                </c:pt>
                <c:pt idx="12">
                  <c:v>343-02 Subadutora</c:v>
                </c:pt>
                <c:pt idx="13">
                  <c:v>343-03 Caixas e Interligações</c:v>
                </c:pt>
                <c:pt idx="14">
                  <c:v>343-04 Hidromecânico</c:v>
                </c:pt>
                <c:pt idx="15">
                  <c:v>343-06 Adm. Local</c:v>
                </c:pt>
              </c:strCache>
            </c:strRef>
          </c:cat>
          <c:val>
            <c:numRef>
              <c:f>'DASHBOARD BI TAF'!$W$71:$W$86</c:f>
              <c:numCache>
                <c:formatCode>#,##0</c:formatCode>
                <c:ptCount val="16"/>
                <c:pt idx="0">
                  <c:v>122449.95999999999</c:v>
                </c:pt>
                <c:pt idx="1">
                  <c:v>479902.60000000003</c:v>
                </c:pt>
                <c:pt idx="2">
                  <c:v>131544.54999999999</c:v>
                </c:pt>
                <c:pt idx="3">
                  <c:v>334557.40999999997</c:v>
                </c:pt>
                <c:pt idx="4">
                  <c:v>54857.26</c:v>
                </c:pt>
                <c:pt idx="5">
                  <c:v>72003.33</c:v>
                </c:pt>
                <c:pt idx="6">
                  <c:v>1180510.5900000001</c:v>
                </c:pt>
                <c:pt idx="7">
                  <c:v>530784.11</c:v>
                </c:pt>
                <c:pt idx="8">
                  <c:v>218636.1</c:v>
                </c:pt>
                <c:pt idx="9">
                  <c:v>104798.42</c:v>
                </c:pt>
                <c:pt idx="10">
                  <c:v>27956.490000000005</c:v>
                </c:pt>
                <c:pt idx="11">
                  <c:v>940360.22999999986</c:v>
                </c:pt>
                <c:pt idx="12">
                  <c:v>1674250.69</c:v>
                </c:pt>
                <c:pt idx="13">
                  <c:v>290959.40999999997</c:v>
                </c:pt>
                <c:pt idx="14">
                  <c:v>1684030.6</c:v>
                </c:pt>
                <c:pt idx="15">
                  <c:v>689827.41</c:v>
                </c:pt>
              </c:numCache>
            </c:numRef>
          </c:val>
          <c:extLst>
            <c:ext xmlns:c16="http://schemas.microsoft.com/office/drawing/2014/chart" uri="{C3380CC4-5D6E-409C-BE32-E72D297353CC}">
              <c16:uniqueId val="{00000001-A217-4435-8B06-C1BC58C880EE}"/>
            </c:ext>
          </c:extLst>
        </c:ser>
        <c:dLbls>
          <c:showLegendKey val="0"/>
          <c:showVal val="0"/>
          <c:showCatName val="0"/>
          <c:showSerName val="0"/>
          <c:showPercent val="0"/>
          <c:showBubbleSize val="0"/>
        </c:dLbls>
        <c:gapWidth val="150"/>
        <c:axId val="1791367136"/>
        <c:axId val="1791380096"/>
      </c:barChart>
      <c:catAx>
        <c:axId val="1791367136"/>
        <c:scaling>
          <c:orientation val="maxMin"/>
        </c:scaling>
        <c:delete val="0"/>
        <c:axPos val="l"/>
        <c:numFmt formatCode="General" sourceLinked="1"/>
        <c:majorTickMark val="out"/>
        <c:minorTickMark val="none"/>
        <c:tickLblPos val="nextTo"/>
        <c:txPr>
          <a:bodyPr/>
          <a:lstStyle/>
          <a:p>
            <a:pPr>
              <a:defRPr sz="700"/>
            </a:pPr>
            <a:endParaRPr lang="pt-BR"/>
          </a:p>
        </c:txPr>
        <c:crossAx val="1791380096"/>
        <c:crosses val="autoZero"/>
        <c:auto val="1"/>
        <c:lblAlgn val="ctr"/>
        <c:lblOffset val="100"/>
        <c:tickLblSkip val="1"/>
        <c:noMultiLvlLbl val="0"/>
      </c:catAx>
      <c:valAx>
        <c:axId val="1791380096"/>
        <c:scaling>
          <c:orientation val="minMax"/>
        </c:scaling>
        <c:delete val="0"/>
        <c:axPos val="t"/>
        <c:majorGridlines/>
        <c:numFmt formatCode="#,##0" sourceLinked="1"/>
        <c:majorTickMark val="out"/>
        <c:minorTickMark val="none"/>
        <c:tickLblPos val="nextTo"/>
        <c:crossAx val="1791367136"/>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8740157499999996" l="0.511811024" r="0.511811024" t="0.78740157499999996" header="0.31496062000000002" footer="0.31496062000000002"/>
    <c:pageSetup/>
  </c:printSettings>
</c:chartSpace>
</file>

<file path=xl/comments/comment1.xml><?xml version="1.0" encoding="utf-8"?>
<comments xmlns="http://schemas.openxmlformats.org/spreadsheetml/2006/main">
  <authors>
    <author>TAF</author>
  </authors>
  <commentList>
    <comment ref="B11" authorId="0" shapeId="0">
      <text>
        <t>pendente: definir com os sócios</t>
      </text>
    </comment>
  </commentList>
</comments>
</file>

<file path=xl/comments/comment2.xml><?xml version="1.0" encoding="utf-8"?>
<comments xmlns="http://schemas.openxmlformats.org/spreadsheetml/2006/main">
  <authors>
    <author>TAF</author>
  </authors>
  <commentList>
    <comment ref="D16" authorId="0" shapeId="0">
      <text>
        <t>pendente: boleto sem valor legível no PDF</t>
      </text>
    </comment>
  </commentList>
</comments>
</file>

<file path=xl/comments/comment3.xml><?xml version="1.0" encoding="utf-8"?>
<comments xmlns="http://schemas.openxmlformats.org/spreadsheetml/2006/main">
  <authors>
    <author>TAF</author>
  </authors>
  <commentList>
    <comment ref="B6" authorId="0" shapeId="0">
      <text>
        <t>fonte: TAF 342 SANEAGO UTR - PLANEJAMENTO.xlsx, aba 18 RECEITA E MEDICAO (342: cronograma físico-financeiro do contrato, Anexo IV)</t>
      </text>
    </comment>
    <comment ref="B8" authorId="0" shapeId="0">
      <text>
        <t>fonte: TAF 342 SANEAGO UTR - PLANEJAMENTO.xlsx, aba 19 FLUXO DE CAIXA (inclui a administração do contrato)</t>
      </text>
    </comment>
    <comment ref="B13" authorId="0" shapeId="0">
      <text>
        <t>fonte: TAF 342 SANEAGO UTR - PLANEJAMENTO.xlsx, aba 16 HISTOGRAMA MENSAL (reproduz o Anexo III oficial, menos 1,5 pessoa contada duas vezes e o Extravasor sem funções)</t>
      </text>
    </comment>
    <comment ref="S13" authorId="0" shapeId="0">
      <text>
        <t>máximo do período</t>
      </text>
    </comment>
    <comment ref="S14" authorId="0" shapeId="0">
      <text>
        <t>máximo do período</t>
      </text>
    </comment>
    <comment ref="B18" authorId="0" shapeId="0">
      <text>
        <t>fonte: TAF 343 CAESB SOBRADINHO - PLANEJAMENTO.xlsx, aba 18 RECEITA E MEDICAO (343: medição segue a execução planejada)</t>
      </text>
    </comment>
    <comment ref="B20" authorId="0" shapeId="0">
      <text>
        <t>fonte: TAF 343 CAESB SOBRADINHO - PLANEJAMENTO.xlsx, aba 19 FLUXO DE CAIXA (inclui a administração do contrato)</t>
      </text>
    </comment>
    <comment ref="B25" authorId="0" shapeId="0">
      <text>
        <t>fonte: TAF 343 CAESB SOBRADINHO - PLANEJAMENTO.xlsx, aba 16 HISTOGRAMA MENSAL</t>
      </text>
    </comment>
    <comment ref="S25" authorId="0" shapeId="0">
      <text>
        <t>máximo do período</t>
      </text>
    </comment>
    <comment ref="S26" authorId="0" shapeId="0">
      <text>
        <t>máximo do período</t>
      </text>
    </comment>
  </commentList>
</comments>
</file>

<file path=xl/comments/comment4.xml><?xml version="1.0" encoding="utf-8"?>
<comments xmlns="http://schemas.openxmlformats.org/spreadsheetml/2006/main">
  <authors>
    <author>TAF</author>
  </authors>
  <commentList>
    <comment ref="A4" authorId="0" shapeId="0">
      <text>
        <t>sexta-feira que fecha a semana</t>
      </text>
    </comment>
    <comment ref="B4" authorId="0" shapeId="0">
      <text>
        <t>342 ou 343</t>
      </text>
    </comment>
    <comment ref="C4" authorId="0" shapeId="0">
      <text>
        <t>do plano semanal do encarregado</t>
      </text>
    </comment>
    <comment ref="D4" authorId="0" shapeId="0">
      <text>
        <t>das prometidas, quantas terminaram 100 %</t>
      </text>
    </comment>
    <comment ref="E4" authorId="0" shapeId="0">
      <text>
        <t>= cumpridas ÷ prometidas (fórmula)</t>
      </text>
    </comment>
    <comment ref="F4" authorId="0" shapeId="0">
      <text>
        <t>pessoas em campo, média da semana</t>
      </text>
    </comment>
    <comment ref="G4" authorId="0" shapeId="0">
      <text>
        <t>quantos apontamentos diários chegaram (APONTAMENTO - TAF 34x.xlsx ou RDO)</t>
      </text>
    </comment>
    <comment ref="H4" authorId="0" shapeId="0">
      <text>
        <t>normalmente 5</t>
      </text>
    </comment>
    <comment ref="I4" authorId="0" shapeId="0">
      <text>
        <t>ocorrências não resolvidas</t>
      </text>
    </comment>
    <comment ref="J4" authorId="0" shapeId="0">
      <text>
        <t>o que depende do cliente (liberação, projeto, fiscal)</t>
      </text>
    </comment>
    <comment ref="K4" authorId="0" shapeId="0">
      <text>
        <t>mão de obra, planejamento, material, equipamento, projeto, cliente, clima — ~80 % costuma ser interna</t>
      </text>
    </comment>
  </commentList>
</comments>
</file>

<file path=xl/comments/comment5.xml><?xml version="1.0" encoding="utf-8"?>
<comments xmlns="http://schemas.openxmlformats.org/spreadsheetml/2006/main">
  <authors>
    <author>TAF</author>
  </authors>
  <commentList>
    <comment ref="B4" authorId="0" shapeId="0">
      <text>
        <t>342 ou 343</t>
      </text>
    </comment>
    <comment ref="C4" authorId="0" shapeId="0">
      <text>
        <t>como o cliente numera</t>
      </text>
    </comment>
    <comment ref="D4" authorId="0" shapeId="0">
      <text>
        <t>1º dia do mês medido</t>
      </text>
    </comment>
    <comment ref="F4" authorId="0" shapeId="0">
      <text>
        <t>EM ELABORAÇÃO, ENVIADO, APROVADO, FATURADO, RECEBIDO</t>
      </text>
    </comment>
    <comment ref="G4" authorId="0" shapeId="0">
      <text>
        <t>como no boletim</t>
      </text>
    </comment>
    <comment ref="H4" authorId="0" shapeId="0">
      <text>
        <t>o que o fiscal cortou</t>
      </text>
    </comment>
    <comment ref="I4" authorId="0" shapeId="0">
      <text>
        <t>= bruto − glosa</t>
      </text>
    </comment>
    <comment ref="K4" authorId="0" shapeId="0">
      <text>
        <t>boletim, e-mail do fiscal</t>
      </text>
    </comment>
  </commentList>
</comments>
</file>

<file path=xl/comments/comment6.xml><?xml version="1.0" encoding="utf-8"?>
<comments xmlns="http://schemas.openxmlformats.org/spreadsheetml/2006/main">
  <authors>
    <author>TAF</author>
  </authors>
  <commentList>
    <comment ref="B4" authorId="0" shapeId="0">
      <text>
        <t>342 ou 343</t>
      </text>
    </comment>
    <comment ref="C4" authorId="0" shapeId="0">
      <text>
        <t>da 06</t>
      </text>
    </comment>
    <comment ref="G4" authorId="0" shapeId="0">
      <text>
        <t>retenção na nota</t>
      </text>
    </comment>
    <comment ref="H4" authorId="0" shapeId="0">
      <text>
        <t>retenção na nota</t>
      </text>
    </comment>
    <comment ref="I4" authorId="0" shapeId="0">
      <text>
        <t>= NF − retenções</t>
      </text>
    </comment>
    <comment ref="J4" authorId="0" shapeId="0">
      <text>
        <t>= emissão + prazo de pagamento do contrato</t>
      </text>
    </comment>
    <comment ref="K4" authorId="0" shapeId="0">
      <text>
        <t>data do crédito</t>
      </text>
    </comment>
    <comment ref="L4" authorId="0" shapeId="0">
      <text>
        <t>extrato</t>
      </text>
    </comment>
    <comment ref="M4" authorId="0" shapeId="0">
      <text>
        <t>= recebido − esperado</t>
      </text>
    </comment>
  </commentList>
</comments>
</file>

<file path=xl/comments/comment7.xml><?xml version="1.0" encoding="utf-8"?>
<comments xmlns="http://schemas.openxmlformats.org/spreadsheetml/2006/main">
  <authors>
    <author>TAF</author>
  </authors>
  <commentList>
    <comment ref="B4" authorId="0" shapeId="0">
      <text>
        <t>1º dia do mês do custo</t>
      </text>
    </comment>
    <comment ref="C4" authorId="0" shapeId="0">
      <text>
        <t>342 ou 343</t>
      </text>
    </comment>
    <comment ref="D4" authorId="0" shapeId="0">
      <text>
        <t>MO, EQP, MAT, TER, ADM, SEG, TRIB, FIN</t>
      </text>
    </comment>
    <comment ref="F4" authorId="0" shapeId="0">
      <text>
        <t>positivo</t>
      </text>
    </comment>
    <comment ref="G4" authorId="0" shapeId="0">
      <text>
        <t>vazio = ainda não pago</t>
      </text>
    </comment>
    <comment ref="I4" authorId="0" shapeId="0">
      <text>
        <t>NF do fornecedor, folha, extrato</t>
      </text>
    </comment>
    <comment ref="J4" authorId="0" shapeId="0">
      <text>
        <t>PAGO ou A PAGAR</t>
      </text>
    </comment>
  </commentList>
</comments>
</file>

<file path=xl/comments/comment8.xml><?xml version="1.0" encoding="utf-8"?>
<comments xmlns="http://schemas.openxmlformats.org/spreadsheetml/2006/main">
  <authors>
    <author>TAF</author>
  </authors>
  <commentList>
    <comment ref="C5" authorId="0" shapeId="0">
      <text>
        <t>04. PLANO</t>
      </text>
    </comment>
    <comment ref="D5" authorId="0" shapeId="0">
      <text>
        <t>04. PLANO até o mês da data de corte</t>
      </text>
    </comment>
    <comment ref="E5" authorId="0" shapeId="0">
      <text>
        <t>08. CUSTOS com competência até o corte</t>
      </text>
    </comment>
    <comment ref="F5" authorId="0" shapeId="0">
      <text>
        <t>= realizado − previsto até o corte</t>
      </text>
    </comment>
    <comment ref="C7" authorId="0" shapeId="0">
      <text>
        <t>no motor, equipamentos e administração estão somados em MO + equipamentos (04. PLANO): compare o total da obra</t>
      </text>
    </comment>
    <comment ref="C10" authorId="0" shapeId="0">
      <text>
        <t>no motor, equipamentos e administração estão somados em MO + equipamentos (04. PLANO): compare o total da obra</t>
      </text>
    </comment>
    <comment ref="C17" authorId="0" shapeId="0">
      <text>
        <t>04. PLANO</t>
      </text>
    </comment>
    <comment ref="D17" authorId="0" shapeId="0">
      <text>
        <t>04. PLANO até o mês da data de corte</t>
      </text>
    </comment>
    <comment ref="E17" authorId="0" shapeId="0">
      <text>
        <t>08. CUSTOS com competência até o corte</t>
      </text>
    </comment>
    <comment ref="F17" authorId="0" shapeId="0">
      <text>
        <t>= realizado − previsto até o corte</t>
      </text>
    </comment>
    <comment ref="C19" authorId="0" shapeId="0">
      <text>
        <t>no motor, equipamentos e administração estão somados em MO + equipamentos (04. PLANO): compare o total da obra</t>
      </text>
    </comment>
    <comment ref="C22" authorId="0" shapeId="0">
      <text>
        <t>no motor, equipamentos e administração estão somados em MO + equipamentos (04. PLANO): compare o total da obra</t>
      </text>
    </comment>
  </commentList>
</comments>
</file>

<file path=xl/drawings/_rels/drawing1.xml.rels><?xml version="1.0" encoding="UTF-8" standalone="yes"?>
<Relationships xmlns="http://schemas.openxmlformats.org/package/2006/relationships"><Relationship Id="rId8" Type="http://schemas.openxmlformats.org/officeDocument/2006/relationships/hyperlink" Target="#'PAUTA DE SEGUNDA TAF'!A1"/><Relationship Id="rId3" Type="http://schemas.openxmlformats.org/officeDocument/2006/relationships/hyperlink" Target="#'00A. CICLO DA OBRA'!A1"/><Relationship Id="rId7" Type="http://schemas.openxmlformats.org/officeDocument/2006/relationships/hyperlink" Target="#'DASHBOARD BI TAF'!A1"/><Relationship Id="rId2" Type="http://schemas.openxmlformats.org/officeDocument/2006/relationships/hyperlink" Target="#'00A. MENU'!A1"/><Relationship Id="rId1" Type="http://schemas.openxmlformats.org/officeDocument/2006/relationships/hyperlink" Target="#'CHECKS DA OPERA&#199;&#195;O TAF'!A1"/><Relationship Id="rId6" Type="http://schemas.openxmlformats.org/officeDocument/2006/relationships/hyperlink" Target="#'FLUXO PROJETADO TAF'!A1"/><Relationship Id="rId5" Type="http://schemas.openxmlformats.org/officeDocument/2006/relationships/hyperlink" Target="#'HISTOGRAMA PLANEJADO'!A1"/><Relationship Id="rId10" Type="http://schemas.openxmlformats.org/officeDocument/2006/relationships/hyperlink" Target="#'01. PAINEL'!A1"/><Relationship Id="rId4" Type="http://schemas.openxmlformats.org/officeDocument/2006/relationships/hyperlink" Target="#'CRONOGRAMA PROJECT'!A1"/><Relationship Id="rId9" Type="http://schemas.openxmlformats.org/officeDocument/2006/relationships/hyperlink" Target="#'LINHA DE BASE TAF'!A1"/></Relationships>
</file>

<file path=xl/drawings/_rels/drawing2.xml.rels><?xml version="1.0" encoding="UTF-8" standalone="yes"?>
<Relationships xmlns="http://schemas.openxmlformats.org/package/2006/relationships"><Relationship Id="rId8" Type="http://schemas.openxmlformats.org/officeDocument/2006/relationships/hyperlink" Target="#'LINHA DE BASE TAF'!A1"/><Relationship Id="rId3" Type="http://schemas.openxmlformats.org/officeDocument/2006/relationships/hyperlink" Target="#'CRONOGRAMA PROJECT'!A1"/><Relationship Id="rId7" Type="http://schemas.openxmlformats.org/officeDocument/2006/relationships/hyperlink" Target="#'PAUTA DE SEGUNDA TAF'!A1"/><Relationship Id="rId2" Type="http://schemas.openxmlformats.org/officeDocument/2006/relationships/hyperlink" Target="#'00A. MENU'!A1"/><Relationship Id="rId1" Type="http://schemas.openxmlformats.org/officeDocument/2006/relationships/hyperlink" Target="#'00A. CICLO DA OBRA'!A1"/><Relationship Id="rId6" Type="http://schemas.openxmlformats.org/officeDocument/2006/relationships/hyperlink" Target="#'DASHBOARD BI TAF'!A1"/><Relationship Id="rId5" Type="http://schemas.openxmlformats.org/officeDocument/2006/relationships/hyperlink" Target="#'FLUXO PROJETADO TAF'!A1"/><Relationship Id="rId10" Type="http://schemas.openxmlformats.org/officeDocument/2006/relationships/hyperlink" Target="#'01. PAINEL'!A1"/><Relationship Id="rId4" Type="http://schemas.openxmlformats.org/officeDocument/2006/relationships/hyperlink" Target="#'HISTOGRAMA PLANEJADO'!A1"/><Relationship Id="rId9" Type="http://schemas.openxmlformats.org/officeDocument/2006/relationships/hyperlink" Target="#'CHECKS DA OPERA&#199;&#195;O TAF'!A1"/></Relationships>
</file>

<file path=xl/drawings/_rels/drawing3.xml.rels><?xml version="1.0" encoding="UTF-8" standalone="yes"?>
<Relationships xmlns="http://schemas.openxmlformats.org/package/2006/relationships"><Relationship Id="rId8" Type="http://schemas.openxmlformats.org/officeDocument/2006/relationships/hyperlink" Target="#'HISTOGRAMA PLANEJADO'!A1"/><Relationship Id="rId13" Type="http://schemas.openxmlformats.org/officeDocument/2006/relationships/hyperlink" Target="#'CHECKS DA OPERA&#199;&#195;O TAF'!A1"/><Relationship Id="rId3" Type="http://schemas.openxmlformats.org/officeDocument/2006/relationships/chart" Target="../charts/chart3.xml"/><Relationship Id="rId7" Type="http://schemas.openxmlformats.org/officeDocument/2006/relationships/hyperlink" Target="#'00A. CICLO DA OBRA'!A1"/><Relationship Id="rId12" Type="http://schemas.openxmlformats.org/officeDocument/2006/relationships/hyperlink" Target="#'LINHA DE BASE TAF'!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00A. MENU'!A1"/><Relationship Id="rId11" Type="http://schemas.openxmlformats.org/officeDocument/2006/relationships/hyperlink" Target="#'PAUTA DE SEGUNDA TAF'!A1"/><Relationship Id="rId5" Type="http://schemas.openxmlformats.org/officeDocument/2006/relationships/hyperlink" Target="#'CRONOGRAMA PROJECT'!A1"/><Relationship Id="rId10" Type="http://schemas.openxmlformats.org/officeDocument/2006/relationships/hyperlink" Target="#'DASHBOARD BI TAF'!A1"/><Relationship Id="rId4" Type="http://schemas.openxmlformats.org/officeDocument/2006/relationships/chart" Target="../charts/chart4.xml"/><Relationship Id="rId9" Type="http://schemas.openxmlformats.org/officeDocument/2006/relationships/hyperlink" Target="#'FLUXO PROJETADO TAF'!A1"/><Relationship Id="rId14" Type="http://schemas.openxmlformats.org/officeDocument/2006/relationships/hyperlink" Target="#'01. PAINEL'!A1"/></Relationships>
</file>

<file path=xl/drawings/_rels/drawing4.xml.rels><?xml version="1.0" encoding="UTF-8" standalone="yes"?>
<Relationships xmlns="http://schemas.openxmlformats.org/package/2006/relationships"><Relationship Id="rId8" Type="http://schemas.openxmlformats.org/officeDocument/2006/relationships/hyperlink" Target="#'LINHA DE BASE TAF'!A1"/><Relationship Id="rId3" Type="http://schemas.openxmlformats.org/officeDocument/2006/relationships/hyperlink" Target="#'00A. CICLO DA OBRA'!A1"/><Relationship Id="rId7" Type="http://schemas.openxmlformats.org/officeDocument/2006/relationships/hyperlink" Target="#'PAUTA DE SEGUNDA TAF'!A1"/><Relationship Id="rId2" Type="http://schemas.openxmlformats.org/officeDocument/2006/relationships/hyperlink" Target="#'00A. MENU'!A1"/><Relationship Id="rId1" Type="http://schemas.openxmlformats.org/officeDocument/2006/relationships/hyperlink" Target="#'HISTOGRAMA PLANEJADO'!A1"/><Relationship Id="rId6" Type="http://schemas.openxmlformats.org/officeDocument/2006/relationships/hyperlink" Target="#'DASHBOARD BI TAF'!A1"/><Relationship Id="rId5" Type="http://schemas.openxmlformats.org/officeDocument/2006/relationships/hyperlink" Target="#'FLUXO PROJETADO TAF'!A1"/><Relationship Id="rId10" Type="http://schemas.openxmlformats.org/officeDocument/2006/relationships/hyperlink" Target="#'01. PAINEL'!A1"/><Relationship Id="rId4" Type="http://schemas.openxmlformats.org/officeDocument/2006/relationships/hyperlink" Target="#'CRONOGRAMA PROJECT'!A1"/><Relationship Id="rId9" Type="http://schemas.openxmlformats.org/officeDocument/2006/relationships/hyperlink" Target="#'CHECKS DA OPERA&#199;&#195;O TAF'!A1"/></Relationships>
</file>

<file path=xl/drawings/_rels/drawing5.xml.rels><?xml version="1.0" encoding="UTF-8" standalone="yes"?>
<Relationships xmlns="http://schemas.openxmlformats.org/package/2006/relationships"><Relationship Id="rId8" Type="http://schemas.openxmlformats.org/officeDocument/2006/relationships/hyperlink" Target="#'00A. MENU'!A1"/><Relationship Id="rId13" Type="http://schemas.openxmlformats.org/officeDocument/2006/relationships/hyperlink" Target="#'PAUTA DE SEGUNDA TAF'!A1"/><Relationship Id="rId3" Type="http://schemas.openxmlformats.org/officeDocument/2006/relationships/chart" Target="../charts/chart7.xml"/><Relationship Id="rId7" Type="http://schemas.openxmlformats.org/officeDocument/2006/relationships/hyperlink" Target="#'FLUXO PROJETADO TAF'!A1"/><Relationship Id="rId12" Type="http://schemas.openxmlformats.org/officeDocument/2006/relationships/hyperlink" Target="#'DASHBOARD BI TAF'!A1"/><Relationship Id="rId2" Type="http://schemas.openxmlformats.org/officeDocument/2006/relationships/chart" Target="../charts/chart6.xml"/><Relationship Id="rId16" Type="http://schemas.openxmlformats.org/officeDocument/2006/relationships/hyperlink" Target="#'01. PAINEL'!A1"/><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hyperlink" Target="#'HISTOGRAMA PLANEJADO'!A1"/><Relationship Id="rId5" Type="http://schemas.openxmlformats.org/officeDocument/2006/relationships/chart" Target="../charts/chart9.xml"/><Relationship Id="rId15" Type="http://schemas.openxmlformats.org/officeDocument/2006/relationships/hyperlink" Target="#'CHECKS DA OPERA&#199;&#195;O TAF'!A1"/><Relationship Id="rId10" Type="http://schemas.openxmlformats.org/officeDocument/2006/relationships/hyperlink" Target="#'CRONOGRAMA PROJECT'!A1"/><Relationship Id="rId4" Type="http://schemas.openxmlformats.org/officeDocument/2006/relationships/chart" Target="../charts/chart8.xml"/><Relationship Id="rId9" Type="http://schemas.openxmlformats.org/officeDocument/2006/relationships/hyperlink" Target="#'00A. CICLO DA OBRA'!A1"/><Relationship Id="rId14" Type="http://schemas.openxmlformats.org/officeDocument/2006/relationships/hyperlink" Target="#'LINHA DE BASE TAF'!A1"/></Relationships>
</file>

<file path=xl/drawings/_rels/drawing6.xml.rels><?xml version="1.0" encoding="UTF-8" standalone="yes"?>
<Relationships xmlns="http://schemas.openxmlformats.org/package/2006/relationships"><Relationship Id="rId8" Type="http://schemas.openxmlformats.org/officeDocument/2006/relationships/hyperlink" Target="#'LINHA DE BASE TAF'!A1"/><Relationship Id="rId3" Type="http://schemas.openxmlformats.org/officeDocument/2006/relationships/hyperlink" Target="#'00A. CICLO DA OBRA'!A1"/><Relationship Id="rId7" Type="http://schemas.openxmlformats.org/officeDocument/2006/relationships/hyperlink" Target="#'PAUTA DE SEGUNDA TAF'!A1"/><Relationship Id="rId2" Type="http://schemas.openxmlformats.org/officeDocument/2006/relationships/hyperlink" Target="#'00A. MENU'!A1"/><Relationship Id="rId1" Type="http://schemas.openxmlformats.org/officeDocument/2006/relationships/hyperlink" Target="#'DASHBOARD BI TAF'!A1"/><Relationship Id="rId6" Type="http://schemas.openxmlformats.org/officeDocument/2006/relationships/hyperlink" Target="#'FLUXO PROJETADO TAF'!A1"/><Relationship Id="rId5" Type="http://schemas.openxmlformats.org/officeDocument/2006/relationships/hyperlink" Target="#'HISTOGRAMA PLANEJADO'!A1"/><Relationship Id="rId10" Type="http://schemas.openxmlformats.org/officeDocument/2006/relationships/hyperlink" Target="#'01. PAINEL'!A1"/><Relationship Id="rId4" Type="http://schemas.openxmlformats.org/officeDocument/2006/relationships/hyperlink" Target="#'CRONOGRAMA PROJECT'!A1"/><Relationship Id="rId9" Type="http://schemas.openxmlformats.org/officeDocument/2006/relationships/hyperlink" Target="#'CHECKS DA OPERA&#199;&#195;O TAF'!A1"/></Relationships>
</file>

<file path=xl/drawings/_rels/drawing7.xml.rels><?xml version="1.0" encoding="UTF-8" standalone="yes"?>
<Relationships xmlns="http://schemas.openxmlformats.org/package/2006/relationships"><Relationship Id="rId8" Type="http://schemas.openxmlformats.org/officeDocument/2006/relationships/hyperlink" Target="#'LINHA DE BASE TAF'!A1"/><Relationship Id="rId3" Type="http://schemas.openxmlformats.org/officeDocument/2006/relationships/hyperlink" Target="#'00A. CICLO DA OBRA'!A1"/><Relationship Id="rId7" Type="http://schemas.openxmlformats.org/officeDocument/2006/relationships/hyperlink" Target="#'DASHBOARD BI TAF'!A1"/><Relationship Id="rId2" Type="http://schemas.openxmlformats.org/officeDocument/2006/relationships/hyperlink" Target="#'00A. MENU'!A1"/><Relationship Id="rId1" Type="http://schemas.openxmlformats.org/officeDocument/2006/relationships/hyperlink" Target="#'PAUTA DE SEGUNDA TAF'!A1"/><Relationship Id="rId6" Type="http://schemas.openxmlformats.org/officeDocument/2006/relationships/hyperlink" Target="#'FLUXO PROJETADO TAF'!A1"/><Relationship Id="rId5" Type="http://schemas.openxmlformats.org/officeDocument/2006/relationships/hyperlink" Target="#'HISTOGRAMA PLANEJADO'!A1"/><Relationship Id="rId10" Type="http://schemas.openxmlformats.org/officeDocument/2006/relationships/hyperlink" Target="#'01. PAINEL'!A1"/><Relationship Id="rId4" Type="http://schemas.openxmlformats.org/officeDocument/2006/relationships/hyperlink" Target="#'CRONOGRAMA PROJECT'!A1"/><Relationship Id="rId9" Type="http://schemas.openxmlformats.org/officeDocument/2006/relationships/hyperlink" Target="#'CHECKS DA OPERA&#199;&#195;O TAF'!A1"/></Relationships>
</file>

<file path=xl/drawings/_rels/drawing8.xml.rels><?xml version="1.0" encoding="UTF-8" standalone="yes"?>
<Relationships xmlns="http://schemas.openxmlformats.org/package/2006/relationships"><Relationship Id="rId8" Type="http://schemas.openxmlformats.org/officeDocument/2006/relationships/hyperlink" Target="#'PAUTA DE SEGUNDA TAF'!A1"/><Relationship Id="rId3" Type="http://schemas.openxmlformats.org/officeDocument/2006/relationships/hyperlink" Target="#'00A. CICLO DA OBRA'!A1"/><Relationship Id="rId7" Type="http://schemas.openxmlformats.org/officeDocument/2006/relationships/hyperlink" Target="#'DASHBOARD BI TAF'!A1"/><Relationship Id="rId2" Type="http://schemas.openxmlformats.org/officeDocument/2006/relationships/hyperlink" Target="#'00A. MENU'!A1"/><Relationship Id="rId1" Type="http://schemas.openxmlformats.org/officeDocument/2006/relationships/hyperlink" Target="#'LINHA DE BASE TAF'!A1"/><Relationship Id="rId6" Type="http://schemas.openxmlformats.org/officeDocument/2006/relationships/hyperlink" Target="#'FLUXO PROJETADO TAF'!A1"/><Relationship Id="rId5" Type="http://schemas.openxmlformats.org/officeDocument/2006/relationships/hyperlink" Target="#'HISTOGRAMA PLANEJADO'!A1"/><Relationship Id="rId10" Type="http://schemas.openxmlformats.org/officeDocument/2006/relationships/hyperlink" Target="#'01. PAINEL'!A1"/><Relationship Id="rId4" Type="http://schemas.openxmlformats.org/officeDocument/2006/relationships/hyperlink" Target="#'CRONOGRAMA PROJECT'!A1"/><Relationship Id="rId9" Type="http://schemas.openxmlformats.org/officeDocument/2006/relationships/hyperlink" Target="#'CHECKS DA OPERA&#199;&#195;O TAF'!A1"/></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25400</xdr:rowOff>
    </xdr:from>
    <xdr:to>
      <xdr:col>0</xdr:col>
      <xdr:colOff>762000</xdr:colOff>
      <xdr:row>0</xdr:row>
      <xdr:rowOff>279400</xdr:rowOff>
    </xdr:to>
    <xdr:sp macro="" textlink="">
      <xdr:nvSpPr>
        <xdr:cNvPr id="2" name="TAF2_NAV_100">
          <a:hlinkClick xmlns:r="http://schemas.openxmlformats.org/officeDocument/2006/relationships" r:id="rId1" tooltip="CHECKS DA OPERAÇÃO TAF"/>
          <a:extLst>
            <a:ext uri="{FF2B5EF4-FFF2-40B4-BE49-F238E27FC236}">
              <a16:creationId xmlns:a16="http://schemas.microsoft.com/office/drawing/2014/main" id="{BBF9CFBD-DC52-B1BB-D0CC-2EC0437B7E02}"/>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0</xdr:col>
      <xdr:colOff>1689100</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4CBD34FE-5BCE-C118-310E-5EADFBAD1504}"/>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0</xdr:col>
      <xdr:colOff>1727200</xdr:colOff>
      <xdr:row>0</xdr:row>
      <xdr:rowOff>25400</xdr:rowOff>
    </xdr:from>
    <xdr:to>
      <xdr:col>1</xdr:col>
      <xdr:colOff>835025</xdr:colOff>
      <xdr:row>0</xdr:row>
      <xdr:rowOff>279400</xdr:rowOff>
    </xdr:to>
    <xdr:sp macro="" textlink="">
      <xdr:nvSpPr>
        <xdr:cNvPr id="4" name="TAF2_NAV_1">
          <a:hlinkClick xmlns:r="http://schemas.openxmlformats.org/officeDocument/2006/relationships" r:id="rId3" tooltip="00A. CICLO DA OBRA"/>
          <a:extLst>
            <a:ext uri="{FF2B5EF4-FFF2-40B4-BE49-F238E27FC236}">
              <a16:creationId xmlns:a16="http://schemas.microsoft.com/office/drawing/2014/main" id="{4135557B-A6F7-BD4B-6BCC-3BD574F8F8FC}"/>
            </a:ext>
          </a:extLst>
        </xdr:cNvPr>
        <xdr:cNvSpPr/>
      </xdr:nvSpPr>
      <xdr:spPr>
        <a:xfrm>
          <a:off x="17272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CICLO</a:t>
          </a:r>
        </a:p>
      </xdr:txBody>
    </xdr:sp>
    <xdr:clientData/>
  </xdr:twoCellAnchor>
  <xdr:twoCellAnchor>
    <xdr:from>
      <xdr:col>1</xdr:col>
      <xdr:colOff>873125</xdr:colOff>
      <xdr:row>0</xdr:row>
      <xdr:rowOff>25400</xdr:rowOff>
    </xdr:from>
    <xdr:to>
      <xdr:col>1</xdr:col>
      <xdr:colOff>1762125</xdr:colOff>
      <xdr:row>0</xdr:row>
      <xdr:rowOff>279400</xdr:rowOff>
    </xdr:to>
    <xdr:sp macro="" textlink="">
      <xdr:nvSpPr>
        <xdr:cNvPr id="5" name="TAF2_NAV_2">
          <a:hlinkClick xmlns:r="http://schemas.openxmlformats.org/officeDocument/2006/relationships" r:id="rId4" tooltip="CRONOGRAMA PROJECT"/>
          <a:extLst>
            <a:ext uri="{FF2B5EF4-FFF2-40B4-BE49-F238E27FC236}">
              <a16:creationId xmlns:a16="http://schemas.microsoft.com/office/drawing/2014/main" id="{9490EF5A-019B-D9F5-E83E-F5490983B4C7}"/>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1</xdr:col>
      <xdr:colOff>1800225</xdr:colOff>
      <xdr:row>0</xdr:row>
      <xdr:rowOff>25400</xdr:rowOff>
    </xdr:from>
    <xdr:to>
      <xdr:col>1</xdr:col>
      <xdr:colOff>2689225</xdr:colOff>
      <xdr:row>0</xdr:row>
      <xdr:rowOff>279400</xdr:rowOff>
    </xdr:to>
    <xdr:sp macro="" textlink="">
      <xdr:nvSpPr>
        <xdr:cNvPr id="6" name="TAF2_NAV_3">
          <a:hlinkClick xmlns:r="http://schemas.openxmlformats.org/officeDocument/2006/relationships" r:id="rId5" tooltip="HISTOGRAMA PLANEJADO"/>
          <a:extLst>
            <a:ext uri="{FF2B5EF4-FFF2-40B4-BE49-F238E27FC236}">
              <a16:creationId xmlns:a16="http://schemas.microsoft.com/office/drawing/2014/main" id="{5048DE30-550F-51C7-0B19-A5378F6F0EA5}"/>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2</xdr:col>
      <xdr:colOff>12700</xdr:colOff>
      <xdr:row>0</xdr:row>
      <xdr:rowOff>25400</xdr:rowOff>
    </xdr:from>
    <xdr:to>
      <xdr:col>2</xdr:col>
      <xdr:colOff>901700</xdr:colOff>
      <xdr:row>0</xdr:row>
      <xdr:rowOff>279400</xdr:rowOff>
    </xdr:to>
    <xdr:sp macro="" textlink="">
      <xdr:nvSpPr>
        <xdr:cNvPr id="7" name="TAF2_NAV_4">
          <a:hlinkClick xmlns:r="http://schemas.openxmlformats.org/officeDocument/2006/relationships" r:id="rId6" tooltip="FLUXO PROJETADO TAF"/>
          <a:extLst>
            <a:ext uri="{FF2B5EF4-FFF2-40B4-BE49-F238E27FC236}">
              <a16:creationId xmlns:a16="http://schemas.microsoft.com/office/drawing/2014/main" id="{3D46313A-2D11-496F-0FA2-755C7EB88C93}"/>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2</xdr:col>
      <xdr:colOff>939800</xdr:colOff>
      <xdr:row>0</xdr:row>
      <xdr:rowOff>25400</xdr:rowOff>
    </xdr:from>
    <xdr:to>
      <xdr:col>3</xdr:col>
      <xdr:colOff>180975</xdr:colOff>
      <xdr:row>0</xdr:row>
      <xdr:rowOff>279400</xdr:rowOff>
    </xdr:to>
    <xdr:sp macro="" textlink="">
      <xdr:nvSpPr>
        <xdr:cNvPr id="8" name="TAF2_NAV_5">
          <a:hlinkClick xmlns:r="http://schemas.openxmlformats.org/officeDocument/2006/relationships" r:id="rId7" tooltip="DASHBOARD BI TAF"/>
          <a:extLst>
            <a:ext uri="{FF2B5EF4-FFF2-40B4-BE49-F238E27FC236}">
              <a16:creationId xmlns:a16="http://schemas.microsoft.com/office/drawing/2014/main" id="{FEEC6E46-BC9B-2EFA-FEA4-8879BB88619A}"/>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3</xdr:col>
      <xdr:colOff>219075</xdr:colOff>
      <xdr:row>0</xdr:row>
      <xdr:rowOff>25400</xdr:rowOff>
    </xdr:from>
    <xdr:to>
      <xdr:col>3</xdr:col>
      <xdr:colOff>1108075</xdr:colOff>
      <xdr:row>0</xdr:row>
      <xdr:rowOff>279400</xdr:rowOff>
    </xdr:to>
    <xdr:sp macro="" textlink="">
      <xdr:nvSpPr>
        <xdr:cNvPr id="9" name="TAF2_NAV_6">
          <a:hlinkClick xmlns:r="http://schemas.openxmlformats.org/officeDocument/2006/relationships" r:id="rId8" tooltip="PAUTA DE SEGUNDA TAF"/>
          <a:extLst>
            <a:ext uri="{FF2B5EF4-FFF2-40B4-BE49-F238E27FC236}">
              <a16:creationId xmlns:a16="http://schemas.microsoft.com/office/drawing/2014/main" id="{B38A23D1-99F7-D891-D7A3-CE0A935F8EDA}"/>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3</xdr:col>
      <xdr:colOff>1146175</xdr:colOff>
      <xdr:row>0</xdr:row>
      <xdr:rowOff>25400</xdr:rowOff>
    </xdr:from>
    <xdr:to>
      <xdr:col>4</xdr:col>
      <xdr:colOff>387350</xdr:colOff>
      <xdr:row>0</xdr:row>
      <xdr:rowOff>279400</xdr:rowOff>
    </xdr:to>
    <xdr:sp macro="" textlink="">
      <xdr:nvSpPr>
        <xdr:cNvPr id="10" name="TAF2_NAV_7">
          <a:hlinkClick xmlns:r="http://schemas.openxmlformats.org/officeDocument/2006/relationships" r:id="rId9" tooltip="LINHA DE BASE TAF"/>
          <a:extLst>
            <a:ext uri="{FF2B5EF4-FFF2-40B4-BE49-F238E27FC236}">
              <a16:creationId xmlns:a16="http://schemas.microsoft.com/office/drawing/2014/main" id="{9E0FC624-26DB-C4D0-25D7-0990C1CCBE42}"/>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4</xdr:col>
      <xdr:colOff>425450</xdr:colOff>
      <xdr:row>0</xdr:row>
      <xdr:rowOff>25400</xdr:rowOff>
    </xdr:from>
    <xdr:to>
      <xdr:col>4</xdr:col>
      <xdr:colOff>1314450</xdr:colOff>
      <xdr:row>0</xdr:row>
      <xdr:rowOff>279400</xdr:rowOff>
    </xdr:to>
    <xdr:sp macro="" textlink="">
      <xdr:nvSpPr>
        <xdr:cNvPr id="11" name="TAF2_NAV_8">
          <a:hlinkClick xmlns:r="http://schemas.openxmlformats.org/officeDocument/2006/relationships" r:id="rId1" tooltip="CHECKS DA OPERAÇÃO TAF"/>
          <a:extLst>
            <a:ext uri="{FF2B5EF4-FFF2-40B4-BE49-F238E27FC236}">
              <a16:creationId xmlns:a16="http://schemas.microsoft.com/office/drawing/2014/main" id="{5C62A7B6-5ECE-6A8A-3E7E-8E0A1BB118A9}"/>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4</xdr:col>
      <xdr:colOff>1352550</xdr:colOff>
      <xdr:row>0</xdr:row>
      <xdr:rowOff>25400</xdr:rowOff>
    </xdr:from>
    <xdr:to>
      <xdr:col>5</xdr:col>
      <xdr:colOff>460375</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E041B78D-449F-3BAD-CE14-358C4FAED35E}"/>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5</xdr:col>
      <xdr:colOff>498475</xdr:colOff>
      <xdr:row>0</xdr:row>
      <xdr:rowOff>25400</xdr:rowOff>
    </xdr:from>
    <xdr:to>
      <xdr:col>5</xdr:col>
      <xdr:colOff>1235075</xdr:colOff>
      <xdr:row>0</xdr:row>
      <xdr:rowOff>279400</xdr:rowOff>
    </xdr:to>
    <xdr:sp macro="" textlink="">
      <xdr:nvSpPr>
        <xdr:cNvPr id="13" name="TAF2_NAV_101">
          <a:hlinkClick xmlns:r="http://schemas.openxmlformats.org/officeDocument/2006/relationships" r:id="rId4" tooltip="CRONOGRAMA PROJECT"/>
          <a:extLst>
            <a:ext uri="{FF2B5EF4-FFF2-40B4-BE49-F238E27FC236}">
              <a16:creationId xmlns:a16="http://schemas.microsoft.com/office/drawing/2014/main" id="{21D32427-4F0E-B26A-9152-345D58C9EC6B}"/>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25400</xdr:rowOff>
    </xdr:from>
    <xdr:to>
      <xdr:col>1</xdr:col>
      <xdr:colOff>114300</xdr:colOff>
      <xdr:row>0</xdr:row>
      <xdr:rowOff>279400</xdr:rowOff>
    </xdr:to>
    <xdr:sp macro="" textlink="">
      <xdr:nvSpPr>
        <xdr:cNvPr id="2" name="TAF2_NAV_100">
          <a:hlinkClick xmlns:r="http://schemas.openxmlformats.org/officeDocument/2006/relationships" r:id="rId1" tooltip="00A. CICLO DA OBRA"/>
          <a:extLst>
            <a:ext uri="{FF2B5EF4-FFF2-40B4-BE49-F238E27FC236}">
              <a16:creationId xmlns:a16="http://schemas.microsoft.com/office/drawing/2014/main" id="{724CB06C-6276-6885-7823-FE72E559EBE4}"/>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1</xdr:col>
      <xdr:colOff>152400</xdr:colOff>
      <xdr:row>0</xdr:row>
      <xdr:rowOff>25400</xdr:rowOff>
    </xdr:from>
    <xdr:to>
      <xdr:col>2</xdr:col>
      <xdr:colOff>593725</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690CF474-A86B-9C07-B805-C60B0154F293}"/>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2</xdr:col>
      <xdr:colOff>631825</xdr:colOff>
      <xdr:row>0</xdr:row>
      <xdr:rowOff>25400</xdr:rowOff>
    </xdr:from>
    <xdr:to>
      <xdr:col>2</xdr:col>
      <xdr:colOff>1520825</xdr:colOff>
      <xdr:row>0</xdr:row>
      <xdr:rowOff>279400</xdr:rowOff>
    </xdr:to>
    <xdr:sp macro="" textlink="">
      <xdr:nvSpPr>
        <xdr:cNvPr id="4" name="TAF2_NAV_1">
          <a:hlinkClick xmlns:r="http://schemas.openxmlformats.org/officeDocument/2006/relationships" r:id="rId1" tooltip="00A. CICLO DA OBRA"/>
          <a:extLst>
            <a:ext uri="{FF2B5EF4-FFF2-40B4-BE49-F238E27FC236}">
              <a16:creationId xmlns:a16="http://schemas.microsoft.com/office/drawing/2014/main" id="{BFAC2667-534F-17A9-3763-1B9AE4314504}"/>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2</xdr:col>
      <xdr:colOff>1558925</xdr:colOff>
      <xdr:row>0</xdr:row>
      <xdr:rowOff>25400</xdr:rowOff>
    </xdr:from>
    <xdr:to>
      <xdr:col>2</xdr:col>
      <xdr:colOff>2447925</xdr:colOff>
      <xdr:row>0</xdr:row>
      <xdr:rowOff>279400</xdr:rowOff>
    </xdr:to>
    <xdr:sp macro="" textlink="">
      <xdr:nvSpPr>
        <xdr:cNvPr id="5" name="TAF2_NAV_2">
          <a:hlinkClick xmlns:r="http://schemas.openxmlformats.org/officeDocument/2006/relationships" r:id="rId3" tooltip="CRONOGRAMA PROJECT"/>
          <a:extLst>
            <a:ext uri="{FF2B5EF4-FFF2-40B4-BE49-F238E27FC236}">
              <a16:creationId xmlns:a16="http://schemas.microsoft.com/office/drawing/2014/main" id="{7D0CBE9E-CB87-55AD-2C0E-0876C2AA20F4}"/>
            </a:ext>
          </a:extLst>
        </xdr:cNvPr>
        <xdr:cNvSpPr/>
      </xdr:nvSpPr>
      <xdr:spPr>
        <a:xfrm>
          <a:off x="26543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CRONOGRAMA</a:t>
          </a:r>
        </a:p>
      </xdr:txBody>
    </xdr:sp>
    <xdr:clientData/>
  </xdr:twoCellAnchor>
  <xdr:twoCellAnchor>
    <xdr:from>
      <xdr:col>2</xdr:col>
      <xdr:colOff>2486025</xdr:colOff>
      <xdr:row>0</xdr:row>
      <xdr:rowOff>25400</xdr:rowOff>
    </xdr:from>
    <xdr:to>
      <xdr:col>2</xdr:col>
      <xdr:colOff>3375025</xdr:colOff>
      <xdr:row>0</xdr:row>
      <xdr:rowOff>279400</xdr:rowOff>
    </xdr:to>
    <xdr:sp macro="" textlink="">
      <xdr:nvSpPr>
        <xdr:cNvPr id="6" name="TAF2_NAV_3">
          <a:hlinkClick xmlns:r="http://schemas.openxmlformats.org/officeDocument/2006/relationships" r:id="rId4" tooltip="HISTOGRAMA PLANEJADO"/>
          <a:extLst>
            <a:ext uri="{FF2B5EF4-FFF2-40B4-BE49-F238E27FC236}">
              <a16:creationId xmlns:a16="http://schemas.microsoft.com/office/drawing/2014/main" id="{02287501-D40B-4EFE-32F9-622F303326F4}"/>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2</xdr:col>
      <xdr:colOff>3413125</xdr:colOff>
      <xdr:row>0</xdr:row>
      <xdr:rowOff>25400</xdr:rowOff>
    </xdr:from>
    <xdr:to>
      <xdr:col>4</xdr:col>
      <xdr:colOff>73025</xdr:colOff>
      <xdr:row>0</xdr:row>
      <xdr:rowOff>279400</xdr:rowOff>
    </xdr:to>
    <xdr:sp macro="" textlink="">
      <xdr:nvSpPr>
        <xdr:cNvPr id="7" name="TAF2_NAV_4">
          <a:hlinkClick xmlns:r="http://schemas.openxmlformats.org/officeDocument/2006/relationships" r:id="rId5" tooltip="FLUXO PROJETADO TAF"/>
          <a:extLst>
            <a:ext uri="{FF2B5EF4-FFF2-40B4-BE49-F238E27FC236}">
              <a16:creationId xmlns:a16="http://schemas.microsoft.com/office/drawing/2014/main" id="{DDB8F773-7D8B-5B2B-A4F0-143DBEB32143}"/>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4</xdr:col>
      <xdr:colOff>111125</xdr:colOff>
      <xdr:row>0</xdr:row>
      <xdr:rowOff>25400</xdr:rowOff>
    </xdr:from>
    <xdr:to>
      <xdr:col>5</xdr:col>
      <xdr:colOff>285750</xdr:colOff>
      <xdr:row>0</xdr:row>
      <xdr:rowOff>279400</xdr:rowOff>
    </xdr:to>
    <xdr:sp macro="" textlink="">
      <xdr:nvSpPr>
        <xdr:cNvPr id="8" name="TAF2_NAV_5">
          <a:hlinkClick xmlns:r="http://schemas.openxmlformats.org/officeDocument/2006/relationships" r:id="rId6" tooltip="DASHBOARD BI TAF"/>
          <a:extLst>
            <a:ext uri="{FF2B5EF4-FFF2-40B4-BE49-F238E27FC236}">
              <a16:creationId xmlns:a16="http://schemas.microsoft.com/office/drawing/2014/main" id="{10656C06-FC38-3DD3-8F5F-87A2566B19D2}"/>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5</xdr:col>
      <xdr:colOff>323850</xdr:colOff>
      <xdr:row>0</xdr:row>
      <xdr:rowOff>25400</xdr:rowOff>
    </xdr:from>
    <xdr:to>
      <xdr:col>6</xdr:col>
      <xdr:colOff>631825</xdr:colOff>
      <xdr:row>0</xdr:row>
      <xdr:rowOff>279400</xdr:rowOff>
    </xdr:to>
    <xdr:sp macro="" textlink="">
      <xdr:nvSpPr>
        <xdr:cNvPr id="9" name="TAF2_NAV_6">
          <a:hlinkClick xmlns:r="http://schemas.openxmlformats.org/officeDocument/2006/relationships" r:id="rId7" tooltip="PAUTA DE SEGUNDA TAF"/>
          <a:extLst>
            <a:ext uri="{FF2B5EF4-FFF2-40B4-BE49-F238E27FC236}">
              <a16:creationId xmlns:a16="http://schemas.microsoft.com/office/drawing/2014/main" id="{32ED3D4B-E3D5-4A3D-246D-3FB95F5F6BEB}"/>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6</xdr:col>
      <xdr:colOff>669925</xdr:colOff>
      <xdr:row>0</xdr:row>
      <xdr:rowOff>25400</xdr:rowOff>
    </xdr:from>
    <xdr:to>
      <xdr:col>7</xdr:col>
      <xdr:colOff>711200</xdr:colOff>
      <xdr:row>0</xdr:row>
      <xdr:rowOff>279400</xdr:rowOff>
    </xdr:to>
    <xdr:sp macro="" textlink="">
      <xdr:nvSpPr>
        <xdr:cNvPr id="10" name="TAF2_NAV_7">
          <a:hlinkClick xmlns:r="http://schemas.openxmlformats.org/officeDocument/2006/relationships" r:id="rId8" tooltip="LINHA DE BASE TAF"/>
          <a:extLst>
            <a:ext uri="{FF2B5EF4-FFF2-40B4-BE49-F238E27FC236}">
              <a16:creationId xmlns:a16="http://schemas.microsoft.com/office/drawing/2014/main" id="{C04260A7-F9B9-78C4-E2AA-FE7BF23C1E79}"/>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7</xdr:col>
      <xdr:colOff>749300</xdr:colOff>
      <xdr:row>0</xdr:row>
      <xdr:rowOff>25400</xdr:rowOff>
    </xdr:from>
    <xdr:to>
      <xdr:col>8</xdr:col>
      <xdr:colOff>790575</xdr:colOff>
      <xdr:row>0</xdr:row>
      <xdr:rowOff>279400</xdr:rowOff>
    </xdr:to>
    <xdr:sp macro="" textlink="">
      <xdr:nvSpPr>
        <xdr:cNvPr id="11" name="TAF2_NAV_8">
          <a:hlinkClick xmlns:r="http://schemas.openxmlformats.org/officeDocument/2006/relationships" r:id="rId9" tooltip="CHECKS DA OPERAÇÃO TAF"/>
          <a:extLst>
            <a:ext uri="{FF2B5EF4-FFF2-40B4-BE49-F238E27FC236}">
              <a16:creationId xmlns:a16="http://schemas.microsoft.com/office/drawing/2014/main" id="{538EC915-E39D-E909-7310-DAD534B74F10}"/>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8</xdr:col>
      <xdr:colOff>828675</xdr:colOff>
      <xdr:row>0</xdr:row>
      <xdr:rowOff>25400</xdr:rowOff>
    </xdr:from>
    <xdr:to>
      <xdr:col>10</xdr:col>
      <xdr:colOff>222250</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B66D1EF4-DCB3-460D-F3E8-4917073FFF84}"/>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10</xdr:col>
      <xdr:colOff>260350</xdr:colOff>
      <xdr:row>0</xdr:row>
      <xdr:rowOff>25400</xdr:rowOff>
    </xdr:from>
    <xdr:to>
      <xdr:col>11</xdr:col>
      <xdr:colOff>82550</xdr:colOff>
      <xdr:row>0</xdr:row>
      <xdr:rowOff>279400</xdr:rowOff>
    </xdr:to>
    <xdr:sp macro="" textlink="">
      <xdr:nvSpPr>
        <xdr:cNvPr id="13" name="TAF2_NAV_101">
          <a:hlinkClick xmlns:r="http://schemas.openxmlformats.org/officeDocument/2006/relationships" r:id="rId4" tooltip="HISTOGRAMA PLANEJADO"/>
          <a:extLst>
            <a:ext uri="{FF2B5EF4-FFF2-40B4-BE49-F238E27FC236}">
              <a16:creationId xmlns:a16="http://schemas.microsoft.com/office/drawing/2014/main" id="{FD8A8BB0-433A-1254-E427-A9C9863F297A}"/>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5</xdr:row>
      <xdr:rowOff>0</xdr:rowOff>
    </xdr:from>
    <xdr:to>
      <xdr:col>24</xdr:col>
      <xdr:colOff>406400</xdr:colOff>
      <xdr:row>21</xdr:row>
      <xdr:rowOff>136525</xdr:rowOff>
    </xdr:to>
    <xdr:graphicFrame macro="">
      <xdr:nvGraphicFramePr>
        <xdr:cNvPr id="2" name="Gráfico 1">
          <a:extLst>
            <a:ext uri="{FF2B5EF4-FFF2-40B4-BE49-F238E27FC236}">
              <a16:creationId xmlns:a16="http://schemas.microsoft.com/office/drawing/2014/main" id="{9AC47788-AA1B-FEDA-5C26-F34A4FC91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26</xdr:row>
      <xdr:rowOff>0</xdr:rowOff>
    </xdr:from>
    <xdr:to>
      <xdr:col>24</xdr:col>
      <xdr:colOff>406400</xdr:colOff>
      <xdr:row>42</xdr:row>
      <xdr:rowOff>136525</xdr:rowOff>
    </xdr:to>
    <xdr:graphicFrame macro="">
      <xdr:nvGraphicFramePr>
        <xdr:cNvPr id="3" name="Gráfico 2">
          <a:extLst>
            <a:ext uri="{FF2B5EF4-FFF2-40B4-BE49-F238E27FC236}">
              <a16:creationId xmlns:a16="http://schemas.microsoft.com/office/drawing/2014/main" id="{05A978E0-22A0-1476-5771-1E035C5F9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47</xdr:row>
      <xdr:rowOff>0</xdr:rowOff>
    </xdr:from>
    <xdr:to>
      <xdr:col>24</xdr:col>
      <xdr:colOff>406400</xdr:colOff>
      <xdr:row>63</xdr:row>
      <xdr:rowOff>136525</xdr:rowOff>
    </xdr:to>
    <xdr:graphicFrame macro="">
      <xdr:nvGraphicFramePr>
        <xdr:cNvPr id="4" name="Gráfico 3">
          <a:extLst>
            <a:ext uri="{FF2B5EF4-FFF2-40B4-BE49-F238E27FC236}">
              <a16:creationId xmlns:a16="http://schemas.microsoft.com/office/drawing/2014/main" id="{B30FCB1A-BCC0-C239-90AD-6F6F58EF1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104</xdr:row>
      <xdr:rowOff>0</xdr:rowOff>
    </xdr:from>
    <xdr:to>
      <xdr:col>24</xdr:col>
      <xdr:colOff>406400</xdr:colOff>
      <xdr:row>120</xdr:row>
      <xdr:rowOff>136525</xdr:rowOff>
    </xdr:to>
    <xdr:graphicFrame macro="">
      <xdr:nvGraphicFramePr>
        <xdr:cNvPr id="5" name="Gráfico 4">
          <a:extLst>
            <a:ext uri="{FF2B5EF4-FFF2-40B4-BE49-F238E27FC236}">
              <a16:creationId xmlns:a16="http://schemas.microsoft.com/office/drawing/2014/main" id="{D68EF08A-657B-07AE-9234-7BA42F3C8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25400</xdr:colOff>
      <xdr:row>0</xdr:row>
      <xdr:rowOff>25400</xdr:rowOff>
    </xdr:from>
    <xdr:to>
      <xdr:col>0</xdr:col>
      <xdr:colOff>762000</xdr:colOff>
      <xdr:row>0</xdr:row>
      <xdr:rowOff>279400</xdr:rowOff>
    </xdr:to>
    <xdr:sp macro="" textlink="">
      <xdr:nvSpPr>
        <xdr:cNvPr id="6" name="TAF2_NAV_100">
          <a:hlinkClick xmlns:r="http://schemas.openxmlformats.org/officeDocument/2006/relationships" r:id="rId5" tooltip="CRONOGRAMA PROJECT"/>
          <a:extLst>
            <a:ext uri="{FF2B5EF4-FFF2-40B4-BE49-F238E27FC236}">
              <a16:creationId xmlns:a16="http://schemas.microsoft.com/office/drawing/2014/main" id="{00B0B47A-D80D-54C0-DB07-92134173BB3B}"/>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1</xdr:col>
      <xdr:colOff>841375</xdr:colOff>
      <xdr:row>0</xdr:row>
      <xdr:rowOff>279400</xdr:rowOff>
    </xdr:to>
    <xdr:sp macro="" textlink="">
      <xdr:nvSpPr>
        <xdr:cNvPr id="7" name="TAF2_NAV_0">
          <a:hlinkClick xmlns:r="http://schemas.openxmlformats.org/officeDocument/2006/relationships" r:id="rId6" tooltip="00A. MENU"/>
          <a:extLst>
            <a:ext uri="{FF2B5EF4-FFF2-40B4-BE49-F238E27FC236}">
              <a16:creationId xmlns:a16="http://schemas.microsoft.com/office/drawing/2014/main" id="{2CF38751-BAAF-FA09-033E-6351EAB32F42}"/>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1</xdr:col>
      <xdr:colOff>879475</xdr:colOff>
      <xdr:row>0</xdr:row>
      <xdr:rowOff>25400</xdr:rowOff>
    </xdr:from>
    <xdr:to>
      <xdr:col>2</xdr:col>
      <xdr:colOff>787400</xdr:colOff>
      <xdr:row>0</xdr:row>
      <xdr:rowOff>279400</xdr:rowOff>
    </xdr:to>
    <xdr:sp macro="" textlink="">
      <xdr:nvSpPr>
        <xdr:cNvPr id="8" name="TAF2_NAV_1">
          <a:hlinkClick xmlns:r="http://schemas.openxmlformats.org/officeDocument/2006/relationships" r:id="rId7" tooltip="00A. CICLO DA OBRA"/>
          <a:extLst>
            <a:ext uri="{FF2B5EF4-FFF2-40B4-BE49-F238E27FC236}">
              <a16:creationId xmlns:a16="http://schemas.microsoft.com/office/drawing/2014/main" id="{4960089E-2580-3A0B-5267-BB8B66AEC259}"/>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2</xdr:col>
      <xdr:colOff>825500</xdr:colOff>
      <xdr:row>0</xdr:row>
      <xdr:rowOff>25400</xdr:rowOff>
    </xdr:from>
    <xdr:to>
      <xdr:col>3</xdr:col>
      <xdr:colOff>866775</xdr:colOff>
      <xdr:row>0</xdr:row>
      <xdr:rowOff>279400</xdr:rowOff>
    </xdr:to>
    <xdr:sp macro="" textlink="">
      <xdr:nvSpPr>
        <xdr:cNvPr id="9" name="TAF2_NAV_2">
          <a:hlinkClick xmlns:r="http://schemas.openxmlformats.org/officeDocument/2006/relationships" r:id="rId5" tooltip="CRONOGRAMA PROJECT"/>
          <a:extLst>
            <a:ext uri="{FF2B5EF4-FFF2-40B4-BE49-F238E27FC236}">
              <a16:creationId xmlns:a16="http://schemas.microsoft.com/office/drawing/2014/main" id="{DA9E3F4C-4601-FF7D-C71D-718FD9E52CEC}"/>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3</xdr:col>
      <xdr:colOff>904875</xdr:colOff>
      <xdr:row>0</xdr:row>
      <xdr:rowOff>25400</xdr:rowOff>
    </xdr:from>
    <xdr:to>
      <xdr:col>5</xdr:col>
      <xdr:colOff>31750</xdr:colOff>
      <xdr:row>0</xdr:row>
      <xdr:rowOff>279400</xdr:rowOff>
    </xdr:to>
    <xdr:sp macro="" textlink="">
      <xdr:nvSpPr>
        <xdr:cNvPr id="10" name="TAF2_NAV_3">
          <a:hlinkClick xmlns:r="http://schemas.openxmlformats.org/officeDocument/2006/relationships" r:id="rId8" tooltip="HISTOGRAMA PLANEJADO"/>
          <a:extLst>
            <a:ext uri="{FF2B5EF4-FFF2-40B4-BE49-F238E27FC236}">
              <a16:creationId xmlns:a16="http://schemas.microsoft.com/office/drawing/2014/main" id="{E159E127-E671-00E0-C140-C0FA1B2018C4}"/>
            </a:ext>
          </a:extLst>
        </xdr:cNvPr>
        <xdr:cNvSpPr/>
      </xdr:nvSpPr>
      <xdr:spPr>
        <a:xfrm>
          <a:off x="35814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HISTOGRAMA</a:t>
          </a:r>
        </a:p>
      </xdr:txBody>
    </xdr:sp>
    <xdr:clientData/>
  </xdr:twoCellAnchor>
  <xdr:twoCellAnchor>
    <xdr:from>
      <xdr:col>5</xdr:col>
      <xdr:colOff>69850</xdr:colOff>
      <xdr:row>0</xdr:row>
      <xdr:rowOff>25400</xdr:rowOff>
    </xdr:from>
    <xdr:to>
      <xdr:col>5</xdr:col>
      <xdr:colOff>958850</xdr:colOff>
      <xdr:row>0</xdr:row>
      <xdr:rowOff>279400</xdr:rowOff>
    </xdr:to>
    <xdr:sp macro="" textlink="">
      <xdr:nvSpPr>
        <xdr:cNvPr id="11" name="TAF2_NAV_4">
          <a:hlinkClick xmlns:r="http://schemas.openxmlformats.org/officeDocument/2006/relationships" r:id="rId9" tooltip="FLUXO PROJETADO TAF"/>
          <a:extLst>
            <a:ext uri="{FF2B5EF4-FFF2-40B4-BE49-F238E27FC236}">
              <a16:creationId xmlns:a16="http://schemas.microsoft.com/office/drawing/2014/main" id="{FE9811A6-440D-7DA8-CB1E-7DED054288BB}"/>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5</xdr:col>
      <xdr:colOff>996950</xdr:colOff>
      <xdr:row>0</xdr:row>
      <xdr:rowOff>25400</xdr:rowOff>
    </xdr:from>
    <xdr:to>
      <xdr:col>6</xdr:col>
      <xdr:colOff>704850</xdr:colOff>
      <xdr:row>0</xdr:row>
      <xdr:rowOff>279400</xdr:rowOff>
    </xdr:to>
    <xdr:sp macro="" textlink="">
      <xdr:nvSpPr>
        <xdr:cNvPr id="12" name="TAF2_NAV_5">
          <a:hlinkClick xmlns:r="http://schemas.openxmlformats.org/officeDocument/2006/relationships" r:id="rId10" tooltip="DASHBOARD BI TAF"/>
          <a:extLst>
            <a:ext uri="{FF2B5EF4-FFF2-40B4-BE49-F238E27FC236}">
              <a16:creationId xmlns:a16="http://schemas.microsoft.com/office/drawing/2014/main" id="{A6D8C693-1E9B-C47F-720D-4169AC58ED13}"/>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6</xdr:col>
      <xdr:colOff>742950</xdr:colOff>
      <xdr:row>0</xdr:row>
      <xdr:rowOff>25400</xdr:rowOff>
    </xdr:from>
    <xdr:to>
      <xdr:col>7</xdr:col>
      <xdr:colOff>450850</xdr:colOff>
      <xdr:row>0</xdr:row>
      <xdr:rowOff>279400</xdr:rowOff>
    </xdr:to>
    <xdr:sp macro="" textlink="">
      <xdr:nvSpPr>
        <xdr:cNvPr id="13" name="TAF2_NAV_6">
          <a:hlinkClick xmlns:r="http://schemas.openxmlformats.org/officeDocument/2006/relationships" r:id="rId11" tooltip="PAUTA DE SEGUNDA TAF"/>
          <a:extLst>
            <a:ext uri="{FF2B5EF4-FFF2-40B4-BE49-F238E27FC236}">
              <a16:creationId xmlns:a16="http://schemas.microsoft.com/office/drawing/2014/main" id="{BEB6A48B-7778-37F8-F8C8-17423E8C1AA8}"/>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7</xdr:col>
      <xdr:colOff>488950</xdr:colOff>
      <xdr:row>0</xdr:row>
      <xdr:rowOff>25400</xdr:rowOff>
    </xdr:from>
    <xdr:to>
      <xdr:col>8</xdr:col>
      <xdr:colOff>196850</xdr:colOff>
      <xdr:row>0</xdr:row>
      <xdr:rowOff>279400</xdr:rowOff>
    </xdr:to>
    <xdr:sp macro="" textlink="">
      <xdr:nvSpPr>
        <xdr:cNvPr id="14" name="TAF2_NAV_7">
          <a:hlinkClick xmlns:r="http://schemas.openxmlformats.org/officeDocument/2006/relationships" r:id="rId12" tooltip="LINHA DE BASE TAF"/>
          <a:extLst>
            <a:ext uri="{FF2B5EF4-FFF2-40B4-BE49-F238E27FC236}">
              <a16:creationId xmlns:a16="http://schemas.microsoft.com/office/drawing/2014/main" id="{5F56DEFB-86CA-4C4D-D9C2-CA1A31AE9D09}"/>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8</xdr:col>
      <xdr:colOff>234950</xdr:colOff>
      <xdr:row>0</xdr:row>
      <xdr:rowOff>25400</xdr:rowOff>
    </xdr:from>
    <xdr:to>
      <xdr:col>9</xdr:col>
      <xdr:colOff>142875</xdr:colOff>
      <xdr:row>0</xdr:row>
      <xdr:rowOff>279400</xdr:rowOff>
    </xdr:to>
    <xdr:sp macro="" textlink="">
      <xdr:nvSpPr>
        <xdr:cNvPr id="15" name="TAF2_NAV_8">
          <a:hlinkClick xmlns:r="http://schemas.openxmlformats.org/officeDocument/2006/relationships" r:id="rId13" tooltip="CHECKS DA OPERAÇÃO TAF"/>
          <a:extLst>
            <a:ext uri="{FF2B5EF4-FFF2-40B4-BE49-F238E27FC236}">
              <a16:creationId xmlns:a16="http://schemas.microsoft.com/office/drawing/2014/main" id="{0F690992-A02C-3DB2-6CE8-26A031704F77}"/>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9</xdr:col>
      <xdr:colOff>180975</xdr:colOff>
      <xdr:row>0</xdr:row>
      <xdr:rowOff>25400</xdr:rowOff>
    </xdr:from>
    <xdr:to>
      <xdr:col>10</xdr:col>
      <xdr:colOff>222250</xdr:colOff>
      <xdr:row>0</xdr:row>
      <xdr:rowOff>279400</xdr:rowOff>
    </xdr:to>
    <xdr:sp macro="" textlink="">
      <xdr:nvSpPr>
        <xdr:cNvPr id="16" name="TAF2_NAV_9">
          <a:hlinkClick xmlns:r="http://schemas.openxmlformats.org/officeDocument/2006/relationships" r:id="rId14" tooltip="01. PAINEL"/>
          <a:extLst>
            <a:ext uri="{FF2B5EF4-FFF2-40B4-BE49-F238E27FC236}">
              <a16:creationId xmlns:a16="http://schemas.microsoft.com/office/drawing/2014/main" id="{1AAAD764-4884-B3D8-9865-DF1C62051544}"/>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10</xdr:col>
      <xdr:colOff>260350</xdr:colOff>
      <xdr:row>0</xdr:row>
      <xdr:rowOff>25400</xdr:rowOff>
    </xdr:from>
    <xdr:to>
      <xdr:col>10</xdr:col>
      <xdr:colOff>996950</xdr:colOff>
      <xdr:row>0</xdr:row>
      <xdr:rowOff>279400</xdr:rowOff>
    </xdr:to>
    <xdr:sp macro="" textlink="">
      <xdr:nvSpPr>
        <xdr:cNvPr id="17" name="TAF2_NAV_101">
          <a:hlinkClick xmlns:r="http://schemas.openxmlformats.org/officeDocument/2006/relationships" r:id="rId9" tooltip="FLUXO PROJETADO TAF"/>
          <a:extLst>
            <a:ext uri="{FF2B5EF4-FFF2-40B4-BE49-F238E27FC236}">
              <a16:creationId xmlns:a16="http://schemas.microsoft.com/office/drawing/2014/main" id="{F5D98457-7FCF-AAC3-C383-9A1895FF5D5F}"/>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0</xdr:row>
      <xdr:rowOff>25400</xdr:rowOff>
    </xdr:from>
    <xdr:to>
      <xdr:col>0</xdr:col>
      <xdr:colOff>762000</xdr:colOff>
      <xdr:row>0</xdr:row>
      <xdr:rowOff>279400</xdr:rowOff>
    </xdr:to>
    <xdr:sp macro="" textlink="">
      <xdr:nvSpPr>
        <xdr:cNvPr id="2" name="TAF2_NAV_100">
          <a:hlinkClick xmlns:r="http://schemas.openxmlformats.org/officeDocument/2006/relationships" r:id="rId1" tooltip="HISTOGRAMA PLANEJADO"/>
          <a:extLst>
            <a:ext uri="{FF2B5EF4-FFF2-40B4-BE49-F238E27FC236}">
              <a16:creationId xmlns:a16="http://schemas.microsoft.com/office/drawing/2014/main" id="{CE8DFDDA-ABB6-A758-159D-92FA23814498}"/>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0</xdr:col>
      <xdr:colOff>1689100</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24597D36-E4EB-7368-F11E-64C3F66176B6}"/>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0</xdr:col>
      <xdr:colOff>1727200</xdr:colOff>
      <xdr:row>0</xdr:row>
      <xdr:rowOff>25400</xdr:rowOff>
    </xdr:from>
    <xdr:to>
      <xdr:col>0</xdr:col>
      <xdr:colOff>2616200</xdr:colOff>
      <xdr:row>0</xdr:row>
      <xdr:rowOff>279400</xdr:rowOff>
    </xdr:to>
    <xdr:sp macro="" textlink="">
      <xdr:nvSpPr>
        <xdr:cNvPr id="4" name="TAF2_NAV_1">
          <a:hlinkClick xmlns:r="http://schemas.openxmlformats.org/officeDocument/2006/relationships" r:id="rId3" tooltip="00A. CICLO DA OBRA"/>
          <a:extLst>
            <a:ext uri="{FF2B5EF4-FFF2-40B4-BE49-F238E27FC236}">
              <a16:creationId xmlns:a16="http://schemas.microsoft.com/office/drawing/2014/main" id="{7B4E9435-1653-FAC6-400D-F1EB05F815F0}"/>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0</xdr:col>
      <xdr:colOff>2654300</xdr:colOff>
      <xdr:row>0</xdr:row>
      <xdr:rowOff>25400</xdr:rowOff>
    </xdr:from>
    <xdr:to>
      <xdr:col>0</xdr:col>
      <xdr:colOff>3543300</xdr:colOff>
      <xdr:row>0</xdr:row>
      <xdr:rowOff>279400</xdr:rowOff>
    </xdr:to>
    <xdr:sp macro="" textlink="">
      <xdr:nvSpPr>
        <xdr:cNvPr id="5" name="TAF2_NAV_2">
          <a:hlinkClick xmlns:r="http://schemas.openxmlformats.org/officeDocument/2006/relationships" r:id="rId4" tooltip="CRONOGRAMA PROJECT"/>
          <a:extLst>
            <a:ext uri="{FF2B5EF4-FFF2-40B4-BE49-F238E27FC236}">
              <a16:creationId xmlns:a16="http://schemas.microsoft.com/office/drawing/2014/main" id="{D13E219F-7FB9-A7AE-E3F1-9F801D808FF6}"/>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0</xdr:col>
      <xdr:colOff>3581400</xdr:colOff>
      <xdr:row>0</xdr:row>
      <xdr:rowOff>25400</xdr:rowOff>
    </xdr:from>
    <xdr:to>
      <xdr:col>1</xdr:col>
      <xdr:colOff>822325</xdr:colOff>
      <xdr:row>0</xdr:row>
      <xdr:rowOff>279400</xdr:rowOff>
    </xdr:to>
    <xdr:sp macro="" textlink="">
      <xdr:nvSpPr>
        <xdr:cNvPr id="6" name="TAF2_NAV_3">
          <a:hlinkClick xmlns:r="http://schemas.openxmlformats.org/officeDocument/2006/relationships" r:id="rId1" tooltip="HISTOGRAMA PLANEJADO"/>
          <a:extLst>
            <a:ext uri="{FF2B5EF4-FFF2-40B4-BE49-F238E27FC236}">
              <a16:creationId xmlns:a16="http://schemas.microsoft.com/office/drawing/2014/main" id="{2B17B162-DE71-F11E-E05D-04932BD0020A}"/>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1</xdr:col>
      <xdr:colOff>860425</xdr:colOff>
      <xdr:row>0</xdr:row>
      <xdr:rowOff>25400</xdr:rowOff>
    </xdr:from>
    <xdr:to>
      <xdr:col>2</xdr:col>
      <xdr:colOff>234950</xdr:colOff>
      <xdr:row>0</xdr:row>
      <xdr:rowOff>279400</xdr:rowOff>
    </xdr:to>
    <xdr:sp macro="" textlink="">
      <xdr:nvSpPr>
        <xdr:cNvPr id="7" name="TAF2_NAV_4">
          <a:hlinkClick xmlns:r="http://schemas.openxmlformats.org/officeDocument/2006/relationships" r:id="rId5" tooltip="FLUXO PROJETADO TAF"/>
          <a:extLst>
            <a:ext uri="{FF2B5EF4-FFF2-40B4-BE49-F238E27FC236}">
              <a16:creationId xmlns:a16="http://schemas.microsoft.com/office/drawing/2014/main" id="{107CD31D-3762-9296-9868-301A2BBA44DB}"/>
            </a:ext>
          </a:extLst>
        </xdr:cNvPr>
        <xdr:cNvSpPr/>
      </xdr:nvSpPr>
      <xdr:spPr>
        <a:xfrm>
          <a:off x="45085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FLUXO</a:t>
          </a:r>
        </a:p>
      </xdr:txBody>
    </xdr:sp>
    <xdr:clientData/>
  </xdr:twoCellAnchor>
  <xdr:twoCellAnchor>
    <xdr:from>
      <xdr:col>2</xdr:col>
      <xdr:colOff>273050</xdr:colOff>
      <xdr:row>0</xdr:row>
      <xdr:rowOff>25400</xdr:rowOff>
    </xdr:from>
    <xdr:to>
      <xdr:col>3</xdr:col>
      <xdr:colOff>276225</xdr:colOff>
      <xdr:row>0</xdr:row>
      <xdr:rowOff>279400</xdr:rowOff>
    </xdr:to>
    <xdr:sp macro="" textlink="">
      <xdr:nvSpPr>
        <xdr:cNvPr id="8" name="TAF2_NAV_5">
          <a:hlinkClick xmlns:r="http://schemas.openxmlformats.org/officeDocument/2006/relationships" r:id="rId6" tooltip="DASHBOARD BI TAF"/>
          <a:extLst>
            <a:ext uri="{FF2B5EF4-FFF2-40B4-BE49-F238E27FC236}">
              <a16:creationId xmlns:a16="http://schemas.microsoft.com/office/drawing/2014/main" id="{3A95B44C-603C-DC9C-83BF-591D9977C16C}"/>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3</xdr:col>
      <xdr:colOff>314325</xdr:colOff>
      <xdr:row>0</xdr:row>
      <xdr:rowOff>25400</xdr:rowOff>
    </xdr:from>
    <xdr:to>
      <xdr:col>4</xdr:col>
      <xdr:colOff>317500</xdr:colOff>
      <xdr:row>0</xdr:row>
      <xdr:rowOff>279400</xdr:rowOff>
    </xdr:to>
    <xdr:sp macro="" textlink="">
      <xdr:nvSpPr>
        <xdr:cNvPr id="9" name="TAF2_NAV_6">
          <a:hlinkClick xmlns:r="http://schemas.openxmlformats.org/officeDocument/2006/relationships" r:id="rId7" tooltip="PAUTA DE SEGUNDA TAF"/>
          <a:extLst>
            <a:ext uri="{FF2B5EF4-FFF2-40B4-BE49-F238E27FC236}">
              <a16:creationId xmlns:a16="http://schemas.microsoft.com/office/drawing/2014/main" id="{D3E643FB-C6C3-7922-0375-320881649685}"/>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4</xdr:col>
      <xdr:colOff>355600</xdr:colOff>
      <xdr:row>0</xdr:row>
      <xdr:rowOff>25400</xdr:rowOff>
    </xdr:from>
    <xdr:to>
      <xdr:col>5</xdr:col>
      <xdr:colOff>358775</xdr:colOff>
      <xdr:row>0</xdr:row>
      <xdr:rowOff>279400</xdr:rowOff>
    </xdr:to>
    <xdr:sp macro="" textlink="">
      <xdr:nvSpPr>
        <xdr:cNvPr id="10" name="TAF2_NAV_7">
          <a:hlinkClick xmlns:r="http://schemas.openxmlformats.org/officeDocument/2006/relationships" r:id="rId8" tooltip="LINHA DE BASE TAF"/>
          <a:extLst>
            <a:ext uri="{FF2B5EF4-FFF2-40B4-BE49-F238E27FC236}">
              <a16:creationId xmlns:a16="http://schemas.microsoft.com/office/drawing/2014/main" id="{54076402-CBA7-3C7D-05D0-CE18A12F91AB}"/>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5</xdr:col>
      <xdr:colOff>396875</xdr:colOff>
      <xdr:row>0</xdr:row>
      <xdr:rowOff>25400</xdr:rowOff>
    </xdr:from>
    <xdr:to>
      <xdr:col>6</xdr:col>
      <xdr:colOff>400050</xdr:colOff>
      <xdr:row>0</xdr:row>
      <xdr:rowOff>279400</xdr:rowOff>
    </xdr:to>
    <xdr:sp macro="" textlink="">
      <xdr:nvSpPr>
        <xdr:cNvPr id="11" name="TAF2_NAV_8">
          <a:hlinkClick xmlns:r="http://schemas.openxmlformats.org/officeDocument/2006/relationships" r:id="rId9" tooltip="CHECKS DA OPERAÇÃO TAF"/>
          <a:extLst>
            <a:ext uri="{FF2B5EF4-FFF2-40B4-BE49-F238E27FC236}">
              <a16:creationId xmlns:a16="http://schemas.microsoft.com/office/drawing/2014/main" id="{96DEF5DC-EA7C-0B56-EF97-228DEBE0D228}"/>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6</xdr:col>
      <xdr:colOff>438150</xdr:colOff>
      <xdr:row>0</xdr:row>
      <xdr:rowOff>25400</xdr:rowOff>
    </xdr:from>
    <xdr:to>
      <xdr:col>7</xdr:col>
      <xdr:colOff>441325</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E4BF4828-C150-8719-AC41-D6368CB1B272}"/>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7</xdr:col>
      <xdr:colOff>479425</xdr:colOff>
      <xdr:row>0</xdr:row>
      <xdr:rowOff>25400</xdr:rowOff>
    </xdr:from>
    <xdr:to>
      <xdr:col>8</xdr:col>
      <xdr:colOff>330200</xdr:colOff>
      <xdr:row>0</xdr:row>
      <xdr:rowOff>279400</xdr:rowOff>
    </xdr:to>
    <xdr:sp macro="" textlink="">
      <xdr:nvSpPr>
        <xdr:cNvPr id="13" name="TAF2_NAV_101">
          <a:hlinkClick xmlns:r="http://schemas.openxmlformats.org/officeDocument/2006/relationships" r:id="rId6" tooltip="DASHBOARD BI TAF"/>
          <a:extLst>
            <a:ext uri="{FF2B5EF4-FFF2-40B4-BE49-F238E27FC236}">
              <a16:creationId xmlns:a16="http://schemas.microsoft.com/office/drawing/2014/main" id="{A985354D-F284-D46C-E933-94DE4ED64834}"/>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0</xdr:rowOff>
    </xdr:from>
    <xdr:to>
      <xdr:col>8</xdr:col>
      <xdr:colOff>34925</xdr:colOff>
      <xdr:row>27</xdr:row>
      <xdr:rowOff>104775</xdr:rowOff>
    </xdr:to>
    <xdr:graphicFrame macro="">
      <xdr:nvGraphicFramePr>
        <xdr:cNvPr id="2" name="Gráfico 1">
          <a:extLst>
            <a:ext uri="{FF2B5EF4-FFF2-40B4-BE49-F238E27FC236}">
              <a16:creationId xmlns:a16="http://schemas.microsoft.com/office/drawing/2014/main" id="{4A039F97-CB44-FB5D-A084-4A51161A8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111125</xdr:colOff>
      <xdr:row>10</xdr:row>
      <xdr:rowOff>0</xdr:rowOff>
    </xdr:from>
    <xdr:to>
      <xdr:col>17</xdr:col>
      <xdr:colOff>212725</xdr:colOff>
      <xdr:row>27</xdr:row>
      <xdr:rowOff>104775</xdr:rowOff>
    </xdr:to>
    <xdr:graphicFrame macro="">
      <xdr:nvGraphicFramePr>
        <xdr:cNvPr id="3" name="Gráfico 2">
          <a:extLst>
            <a:ext uri="{FF2B5EF4-FFF2-40B4-BE49-F238E27FC236}">
              <a16:creationId xmlns:a16="http://schemas.microsoft.com/office/drawing/2014/main" id="{FC9C5123-C2CE-891A-B3AA-5040D81CC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19050</xdr:rowOff>
    </xdr:from>
    <xdr:to>
      <xdr:col>8</xdr:col>
      <xdr:colOff>34925</xdr:colOff>
      <xdr:row>45</xdr:row>
      <xdr:rowOff>123825</xdr:rowOff>
    </xdr:to>
    <xdr:graphicFrame macro="">
      <xdr:nvGraphicFramePr>
        <xdr:cNvPr id="4" name="Gráfico 3">
          <a:extLst>
            <a:ext uri="{FF2B5EF4-FFF2-40B4-BE49-F238E27FC236}">
              <a16:creationId xmlns:a16="http://schemas.microsoft.com/office/drawing/2014/main" id="{93FC611A-2EAD-2D33-4AF5-E2E979C33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111125</xdr:colOff>
      <xdr:row>28</xdr:row>
      <xdr:rowOff>19050</xdr:rowOff>
    </xdr:from>
    <xdr:to>
      <xdr:col>17</xdr:col>
      <xdr:colOff>212725</xdr:colOff>
      <xdr:row>45</xdr:row>
      <xdr:rowOff>123825</xdr:rowOff>
    </xdr:to>
    <xdr:graphicFrame macro="">
      <xdr:nvGraphicFramePr>
        <xdr:cNvPr id="5" name="Gráfico 4">
          <a:extLst>
            <a:ext uri="{FF2B5EF4-FFF2-40B4-BE49-F238E27FC236}">
              <a16:creationId xmlns:a16="http://schemas.microsoft.com/office/drawing/2014/main" id="{E2D62FD2-8753-8320-2CAF-33F01298D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38100</xdr:rowOff>
    </xdr:from>
    <xdr:to>
      <xdr:col>8</xdr:col>
      <xdr:colOff>34925</xdr:colOff>
      <xdr:row>63</xdr:row>
      <xdr:rowOff>142875</xdr:rowOff>
    </xdr:to>
    <xdr:graphicFrame macro="">
      <xdr:nvGraphicFramePr>
        <xdr:cNvPr id="6" name="Gráfico 5">
          <a:extLst>
            <a:ext uri="{FF2B5EF4-FFF2-40B4-BE49-F238E27FC236}">
              <a16:creationId xmlns:a16="http://schemas.microsoft.com/office/drawing/2014/main" id="{06DD4ADB-B444-2F95-7ADF-113A0988E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111125</xdr:colOff>
      <xdr:row>46</xdr:row>
      <xdr:rowOff>38100</xdr:rowOff>
    </xdr:from>
    <xdr:to>
      <xdr:col>17</xdr:col>
      <xdr:colOff>212725</xdr:colOff>
      <xdr:row>63</xdr:row>
      <xdr:rowOff>142875</xdr:rowOff>
    </xdr:to>
    <xdr:graphicFrame macro="">
      <xdr:nvGraphicFramePr>
        <xdr:cNvPr id="7" name="Gráfico 6">
          <a:extLst>
            <a:ext uri="{FF2B5EF4-FFF2-40B4-BE49-F238E27FC236}">
              <a16:creationId xmlns:a16="http://schemas.microsoft.com/office/drawing/2014/main" id="{4D23ECCC-8BBB-1B57-1C6B-7BFC0B125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25400</xdr:colOff>
      <xdr:row>0</xdr:row>
      <xdr:rowOff>25400</xdr:rowOff>
    </xdr:from>
    <xdr:to>
      <xdr:col>0</xdr:col>
      <xdr:colOff>762000</xdr:colOff>
      <xdr:row>0</xdr:row>
      <xdr:rowOff>279400</xdr:rowOff>
    </xdr:to>
    <xdr:sp macro="" textlink="">
      <xdr:nvSpPr>
        <xdr:cNvPr id="8" name="TAF2_NAV_100">
          <a:hlinkClick xmlns:r="http://schemas.openxmlformats.org/officeDocument/2006/relationships" r:id="rId7" tooltip="FLUXO PROJETADO TAF"/>
          <a:extLst>
            <a:ext uri="{FF2B5EF4-FFF2-40B4-BE49-F238E27FC236}">
              <a16:creationId xmlns:a16="http://schemas.microsoft.com/office/drawing/2014/main" id="{9F11B842-69BA-6F00-B2CC-CC7BCE1435E0}"/>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1</xdr:col>
      <xdr:colOff>508000</xdr:colOff>
      <xdr:row>0</xdr:row>
      <xdr:rowOff>279400</xdr:rowOff>
    </xdr:to>
    <xdr:sp macro="" textlink="">
      <xdr:nvSpPr>
        <xdr:cNvPr id="9" name="TAF2_NAV_0">
          <a:hlinkClick xmlns:r="http://schemas.openxmlformats.org/officeDocument/2006/relationships" r:id="rId8" tooltip="00A. MENU"/>
          <a:extLst>
            <a:ext uri="{FF2B5EF4-FFF2-40B4-BE49-F238E27FC236}">
              <a16:creationId xmlns:a16="http://schemas.microsoft.com/office/drawing/2014/main" id="{83EB5BF0-22AE-EDDF-D785-E990314788BA}"/>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1</xdr:col>
      <xdr:colOff>546100</xdr:colOff>
      <xdr:row>0</xdr:row>
      <xdr:rowOff>25400</xdr:rowOff>
    </xdr:from>
    <xdr:to>
      <xdr:col>2</xdr:col>
      <xdr:colOff>254000</xdr:colOff>
      <xdr:row>0</xdr:row>
      <xdr:rowOff>279400</xdr:rowOff>
    </xdr:to>
    <xdr:sp macro="" textlink="">
      <xdr:nvSpPr>
        <xdr:cNvPr id="10" name="TAF2_NAV_1">
          <a:hlinkClick xmlns:r="http://schemas.openxmlformats.org/officeDocument/2006/relationships" r:id="rId9" tooltip="00A. CICLO DA OBRA"/>
          <a:extLst>
            <a:ext uri="{FF2B5EF4-FFF2-40B4-BE49-F238E27FC236}">
              <a16:creationId xmlns:a16="http://schemas.microsoft.com/office/drawing/2014/main" id="{07C915E0-8DAF-77A2-D79C-D9E87A288F3D}"/>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2</xdr:col>
      <xdr:colOff>292100</xdr:colOff>
      <xdr:row>0</xdr:row>
      <xdr:rowOff>25400</xdr:rowOff>
    </xdr:from>
    <xdr:to>
      <xdr:col>3</xdr:col>
      <xdr:colOff>0</xdr:colOff>
      <xdr:row>0</xdr:row>
      <xdr:rowOff>279400</xdr:rowOff>
    </xdr:to>
    <xdr:sp macro="" textlink="">
      <xdr:nvSpPr>
        <xdr:cNvPr id="11" name="TAF2_NAV_2">
          <a:hlinkClick xmlns:r="http://schemas.openxmlformats.org/officeDocument/2006/relationships" r:id="rId10" tooltip="CRONOGRAMA PROJECT"/>
          <a:extLst>
            <a:ext uri="{FF2B5EF4-FFF2-40B4-BE49-F238E27FC236}">
              <a16:creationId xmlns:a16="http://schemas.microsoft.com/office/drawing/2014/main" id="{FEE4FC76-9FCA-A0ED-DE61-ECA064B1D4CA}"/>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3</xdr:col>
      <xdr:colOff>38100</xdr:colOff>
      <xdr:row>0</xdr:row>
      <xdr:rowOff>25400</xdr:rowOff>
    </xdr:from>
    <xdr:to>
      <xdr:col>3</xdr:col>
      <xdr:colOff>927100</xdr:colOff>
      <xdr:row>0</xdr:row>
      <xdr:rowOff>279400</xdr:rowOff>
    </xdr:to>
    <xdr:sp macro="" textlink="">
      <xdr:nvSpPr>
        <xdr:cNvPr id="12" name="TAF2_NAV_3">
          <a:hlinkClick xmlns:r="http://schemas.openxmlformats.org/officeDocument/2006/relationships" r:id="rId11" tooltip="HISTOGRAMA PLANEJADO"/>
          <a:extLst>
            <a:ext uri="{FF2B5EF4-FFF2-40B4-BE49-F238E27FC236}">
              <a16:creationId xmlns:a16="http://schemas.microsoft.com/office/drawing/2014/main" id="{E5CA81D8-84CB-0A6D-5C2A-41FCFD89B29A}"/>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3</xdr:col>
      <xdr:colOff>965200</xdr:colOff>
      <xdr:row>0</xdr:row>
      <xdr:rowOff>25400</xdr:rowOff>
    </xdr:from>
    <xdr:to>
      <xdr:col>4</xdr:col>
      <xdr:colOff>673100</xdr:colOff>
      <xdr:row>0</xdr:row>
      <xdr:rowOff>279400</xdr:rowOff>
    </xdr:to>
    <xdr:sp macro="" textlink="">
      <xdr:nvSpPr>
        <xdr:cNvPr id="13" name="TAF2_NAV_4">
          <a:hlinkClick xmlns:r="http://schemas.openxmlformats.org/officeDocument/2006/relationships" r:id="rId7" tooltip="FLUXO PROJETADO TAF"/>
          <a:extLst>
            <a:ext uri="{FF2B5EF4-FFF2-40B4-BE49-F238E27FC236}">
              <a16:creationId xmlns:a16="http://schemas.microsoft.com/office/drawing/2014/main" id="{3B1CB497-BB8F-8B5D-B803-25696DBB995F}"/>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4</xdr:col>
      <xdr:colOff>711200</xdr:colOff>
      <xdr:row>0</xdr:row>
      <xdr:rowOff>25400</xdr:rowOff>
    </xdr:from>
    <xdr:to>
      <xdr:col>5</xdr:col>
      <xdr:colOff>419100</xdr:colOff>
      <xdr:row>0</xdr:row>
      <xdr:rowOff>279400</xdr:rowOff>
    </xdr:to>
    <xdr:sp macro="" textlink="">
      <xdr:nvSpPr>
        <xdr:cNvPr id="14" name="TAF2_NAV_5">
          <a:hlinkClick xmlns:r="http://schemas.openxmlformats.org/officeDocument/2006/relationships" r:id="rId12" tooltip="DASHBOARD BI TAF"/>
          <a:extLst>
            <a:ext uri="{FF2B5EF4-FFF2-40B4-BE49-F238E27FC236}">
              <a16:creationId xmlns:a16="http://schemas.microsoft.com/office/drawing/2014/main" id="{CC980544-AF20-DD2F-3334-595269FDCAA4}"/>
            </a:ext>
          </a:extLst>
        </xdr:cNvPr>
        <xdr:cNvSpPr/>
      </xdr:nvSpPr>
      <xdr:spPr>
        <a:xfrm>
          <a:off x="54356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DASHBOARD</a:t>
          </a:r>
        </a:p>
      </xdr:txBody>
    </xdr:sp>
    <xdr:clientData/>
  </xdr:twoCellAnchor>
  <xdr:twoCellAnchor>
    <xdr:from>
      <xdr:col>5</xdr:col>
      <xdr:colOff>457200</xdr:colOff>
      <xdr:row>0</xdr:row>
      <xdr:rowOff>25400</xdr:rowOff>
    </xdr:from>
    <xdr:to>
      <xdr:col>6</xdr:col>
      <xdr:colOff>165100</xdr:colOff>
      <xdr:row>0</xdr:row>
      <xdr:rowOff>279400</xdr:rowOff>
    </xdr:to>
    <xdr:sp macro="" textlink="">
      <xdr:nvSpPr>
        <xdr:cNvPr id="15" name="TAF2_NAV_6">
          <a:hlinkClick xmlns:r="http://schemas.openxmlformats.org/officeDocument/2006/relationships" r:id="rId13" tooltip="PAUTA DE SEGUNDA TAF"/>
          <a:extLst>
            <a:ext uri="{FF2B5EF4-FFF2-40B4-BE49-F238E27FC236}">
              <a16:creationId xmlns:a16="http://schemas.microsoft.com/office/drawing/2014/main" id="{7998183D-BE04-1261-3F5F-6C3CEC685FDC}"/>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6</xdr:col>
      <xdr:colOff>203200</xdr:colOff>
      <xdr:row>0</xdr:row>
      <xdr:rowOff>25400</xdr:rowOff>
    </xdr:from>
    <xdr:to>
      <xdr:col>6</xdr:col>
      <xdr:colOff>1092200</xdr:colOff>
      <xdr:row>0</xdr:row>
      <xdr:rowOff>279400</xdr:rowOff>
    </xdr:to>
    <xdr:sp macro="" textlink="">
      <xdr:nvSpPr>
        <xdr:cNvPr id="16" name="TAF2_NAV_7">
          <a:hlinkClick xmlns:r="http://schemas.openxmlformats.org/officeDocument/2006/relationships" r:id="rId14" tooltip="LINHA DE BASE TAF"/>
          <a:extLst>
            <a:ext uri="{FF2B5EF4-FFF2-40B4-BE49-F238E27FC236}">
              <a16:creationId xmlns:a16="http://schemas.microsoft.com/office/drawing/2014/main" id="{9B9C60A6-B07A-1E75-BD2E-D19E2FD287D9}"/>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6</xdr:col>
      <xdr:colOff>1130300</xdr:colOff>
      <xdr:row>0</xdr:row>
      <xdr:rowOff>25400</xdr:rowOff>
    </xdr:from>
    <xdr:to>
      <xdr:col>7</xdr:col>
      <xdr:colOff>838200</xdr:colOff>
      <xdr:row>0</xdr:row>
      <xdr:rowOff>279400</xdr:rowOff>
    </xdr:to>
    <xdr:sp macro="" textlink="">
      <xdr:nvSpPr>
        <xdr:cNvPr id="17" name="TAF2_NAV_8">
          <a:hlinkClick xmlns:r="http://schemas.openxmlformats.org/officeDocument/2006/relationships" r:id="rId15" tooltip="CHECKS DA OPERAÇÃO TAF"/>
          <a:extLst>
            <a:ext uri="{FF2B5EF4-FFF2-40B4-BE49-F238E27FC236}">
              <a16:creationId xmlns:a16="http://schemas.microsoft.com/office/drawing/2014/main" id="{62A76656-2748-B24F-6B0D-657803B4B2CE}"/>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7</xdr:col>
      <xdr:colOff>876300</xdr:colOff>
      <xdr:row>0</xdr:row>
      <xdr:rowOff>25400</xdr:rowOff>
    </xdr:from>
    <xdr:to>
      <xdr:col>8</xdr:col>
      <xdr:colOff>584200</xdr:colOff>
      <xdr:row>0</xdr:row>
      <xdr:rowOff>279400</xdr:rowOff>
    </xdr:to>
    <xdr:sp macro="" textlink="">
      <xdr:nvSpPr>
        <xdr:cNvPr id="18" name="TAF2_NAV_9">
          <a:hlinkClick xmlns:r="http://schemas.openxmlformats.org/officeDocument/2006/relationships" r:id="rId16" tooltip="01. PAINEL"/>
          <a:extLst>
            <a:ext uri="{FF2B5EF4-FFF2-40B4-BE49-F238E27FC236}">
              <a16:creationId xmlns:a16="http://schemas.microsoft.com/office/drawing/2014/main" id="{1783972E-3F93-F78B-82B1-EBB1445D91D3}"/>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8</xdr:col>
      <xdr:colOff>622300</xdr:colOff>
      <xdr:row>0</xdr:row>
      <xdr:rowOff>25400</xdr:rowOff>
    </xdr:from>
    <xdr:to>
      <xdr:col>9</xdr:col>
      <xdr:colOff>444500</xdr:colOff>
      <xdr:row>0</xdr:row>
      <xdr:rowOff>279400</xdr:rowOff>
    </xdr:to>
    <xdr:sp macro="" textlink="">
      <xdr:nvSpPr>
        <xdr:cNvPr id="19" name="TAF2_NAV_101">
          <a:hlinkClick xmlns:r="http://schemas.openxmlformats.org/officeDocument/2006/relationships" r:id="rId13" tooltip="PAUTA DE SEGUNDA TAF"/>
          <a:extLst>
            <a:ext uri="{FF2B5EF4-FFF2-40B4-BE49-F238E27FC236}">
              <a16:creationId xmlns:a16="http://schemas.microsoft.com/office/drawing/2014/main" id="{7ACF006C-EDA1-69E8-9D33-999D01FA5957}"/>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25400</xdr:colOff>
      <xdr:row>0</xdr:row>
      <xdr:rowOff>25400</xdr:rowOff>
    </xdr:from>
    <xdr:to>
      <xdr:col>0</xdr:col>
      <xdr:colOff>762000</xdr:colOff>
      <xdr:row>0</xdr:row>
      <xdr:rowOff>279400</xdr:rowOff>
    </xdr:to>
    <xdr:sp macro="" textlink="">
      <xdr:nvSpPr>
        <xdr:cNvPr id="2" name="TAF2_NAV_100">
          <a:hlinkClick xmlns:r="http://schemas.openxmlformats.org/officeDocument/2006/relationships" r:id="rId1" tooltip="DASHBOARD BI TAF"/>
          <a:extLst>
            <a:ext uri="{FF2B5EF4-FFF2-40B4-BE49-F238E27FC236}">
              <a16:creationId xmlns:a16="http://schemas.microsoft.com/office/drawing/2014/main" id="{B271ED7A-47B8-6089-6348-FA166D093074}"/>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0</xdr:col>
      <xdr:colOff>1689100</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49BBA464-196F-D256-00E7-1DA5AC103686}"/>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0</xdr:col>
      <xdr:colOff>1727200</xdr:colOff>
      <xdr:row>0</xdr:row>
      <xdr:rowOff>25400</xdr:rowOff>
    </xdr:from>
    <xdr:to>
      <xdr:col>0</xdr:col>
      <xdr:colOff>2616200</xdr:colOff>
      <xdr:row>0</xdr:row>
      <xdr:rowOff>279400</xdr:rowOff>
    </xdr:to>
    <xdr:sp macro="" textlink="">
      <xdr:nvSpPr>
        <xdr:cNvPr id="4" name="TAF2_NAV_1">
          <a:hlinkClick xmlns:r="http://schemas.openxmlformats.org/officeDocument/2006/relationships" r:id="rId3" tooltip="00A. CICLO DA OBRA"/>
          <a:extLst>
            <a:ext uri="{FF2B5EF4-FFF2-40B4-BE49-F238E27FC236}">
              <a16:creationId xmlns:a16="http://schemas.microsoft.com/office/drawing/2014/main" id="{BF49091A-3101-138D-F73F-57B14573D4F4}"/>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0</xdr:col>
      <xdr:colOff>2654300</xdr:colOff>
      <xdr:row>0</xdr:row>
      <xdr:rowOff>25400</xdr:rowOff>
    </xdr:from>
    <xdr:to>
      <xdr:col>0</xdr:col>
      <xdr:colOff>3543300</xdr:colOff>
      <xdr:row>0</xdr:row>
      <xdr:rowOff>279400</xdr:rowOff>
    </xdr:to>
    <xdr:sp macro="" textlink="">
      <xdr:nvSpPr>
        <xdr:cNvPr id="5" name="TAF2_NAV_2">
          <a:hlinkClick xmlns:r="http://schemas.openxmlformats.org/officeDocument/2006/relationships" r:id="rId4" tooltip="CRONOGRAMA PROJECT"/>
          <a:extLst>
            <a:ext uri="{FF2B5EF4-FFF2-40B4-BE49-F238E27FC236}">
              <a16:creationId xmlns:a16="http://schemas.microsoft.com/office/drawing/2014/main" id="{B7C78AC1-6033-78FA-FA6F-18CE31843F57}"/>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0</xdr:col>
      <xdr:colOff>3581400</xdr:colOff>
      <xdr:row>0</xdr:row>
      <xdr:rowOff>25400</xdr:rowOff>
    </xdr:from>
    <xdr:to>
      <xdr:col>1</xdr:col>
      <xdr:colOff>288925</xdr:colOff>
      <xdr:row>0</xdr:row>
      <xdr:rowOff>279400</xdr:rowOff>
    </xdr:to>
    <xdr:sp macro="" textlink="">
      <xdr:nvSpPr>
        <xdr:cNvPr id="6" name="TAF2_NAV_3">
          <a:hlinkClick xmlns:r="http://schemas.openxmlformats.org/officeDocument/2006/relationships" r:id="rId5" tooltip="HISTOGRAMA PLANEJADO"/>
          <a:extLst>
            <a:ext uri="{FF2B5EF4-FFF2-40B4-BE49-F238E27FC236}">
              <a16:creationId xmlns:a16="http://schemas.microsoft.com/office/drawing/2014/main" id="{7CAA5998-FFE5-61DB-84EE-2162801499BD}"/>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1</xdr:col>
      <xdr:colOff>327025</xdr:colOff>
      <xdr:row>0</xdr:row>
      <xdr:rowOff>25400</xdr:rowOff>
    </xdr:from>
    <xdr:to>
      <xdr:col>1</xdr:col>
      <xdr:colOff>1216025</xdr:colOff>
      <xdr:row>0</xdr:row>
      <xdr:rowOff>279400</xdr:rowOff>
    </xdr:to>
    <xdr:sp macro="" textlink="">
      <xdr:nvSpPr>
        <xdr:cNvPr id="7" name="TAF2_NAV_4">
          <a:hlinkClick xmlns:r="http://schemas.openxmlformats.org/officeDocument/2006/relationships" r:id="rId6" tooltip="FLUXO PROJETADO TAF"/>
          <a:extLst>
            <a:ext uri="{FF2B5EF4-FFF2-40B4-BE49-F238E27FC236}">
              <a16:creationId xmlns:a16="http://schemas.microsoft.com/office/drawing/2014/main" id="{B7E5468F-805D-BECB-9729-D4EE2CB10E53}"/>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2</xdr:col>
      <xdr:colOff>6350</xdr:colOff>
      <xdr:row>0</xdr:row>
      <xdr:rowOff>25400</xdr:rowOff>
    </xdr:from>
    <xdr:to>
      <xdr:col>2</xdr:col>
      <xdr:colOff>895350</xdr:colOff>
      <xdr:row>0</xdr:row>
      <xdr:rowOff>279400</xdr:rowOff>
    </xdr:to>
    <xdr:sp macro="" textlink="">
      <xdr:nvSpPr>
        <xdr:cNvPr id="8" name="TAF2_NAV_5">
          <a:hlinkClick xmlns:r="http://schemas.openxmlformats.org/officeDocument/2006/relationships" r:id="rId1" tooltip="DASHBOARD BI TAF"/>
          <a:extLst>
            <a:ext uri="{FF2B5EF4-FFF2-40B4-BE49-F238E27FC236}">
              <a16:creationId xmlns:a16="http://schemas.microsoft.com/office/drawing/2014/main" id="{4F759C73-0F74-6F93-1FE5-599185FA14BB}"/>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2</xdr:col>
      <xdr:colOff>933450</xdr:colOff>
      <xdr:row>0</xdr:row>
      <xdr:rowOff>25400</xdr:rowOff>
    </xdr:from>
    <xdr:to>
      <xdr:col>3</xdr:col>
      <xdr:colOff>574675</xdr:colOff>
      <xdr:row>0</xdr:row>
      <xdr:rowOff>279400</xdr:rowOff>
    </xdr:to>
    <xdr:sp macro="" textlink="">
      <xdr:nvSpPr>
        <xdr:cNvPr id="9" name="TAF2_NAV_6">
          <a:hlinkClick xmlns:r="http://schemas.openxmlformats.org/officeDocument/2006/relationships" r:id="rId7" tooltip="PAUTA DE SEGUNDA TAF"/>
          <a:extLst>
            <a:ext uri="{FF2B5EF4-FFF2-40B4-BE49-F238E27FC236}">
              <a16:creationId xmlns:a16="http://schemas.microsoft.com/office/drawing/2014/main" id="{B663B0DD-3186-B52B-E711-0356FB5B17AC}"/>
            </a:ext>
          </a:extLst>
        </xdr:cNvPr>
        <xdr:cNvSpPr/>
      </xdr:nvSpPr>
      <xdr:spPr>
        <a:xfrm>
          <a:off x="63627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PAUTA</a:t>
          </a:r>
        </a:p>
      </xdr:txBody>
    </xdr:sp>
    <xdr:clientData/>
  </xdr:twoCellAnchor>
  <xdr:twoCellAnchor>
    <xdr:from>
      <xdr:col>3</xdr:col>
      <xdr:colOff>612775</xdr:colOff>
      <xdr:row>0</xdr:row>
      <xdr:rowOff>25400</xdr:rowOff>
    </xdr:from>
    <xdr:to>
      <xdr:col>4</xdr:col>
      <xdr:colOff>254000</xdr:colOff>
      <xdr:row>0</xdr:row>
      <xdr:rowOff>279400</xdr:rowOff>
    </xdr:to>
    <xdr:sp macro="" textlink="">
      <xdr:nvSpPr>
        <xdr:cNvPr id="10" name="TAF2_NAV_7">
          <a:hlinkClick xmlns:r="http://schemas.openxmlformats.org/officeDocument/2006/relationships" r:id="rId8" tooltip="LINHA DE BASE TAF"/>
          <a:extLst>
            <a:ext uri="{FF2B5EF4-FFF2-40B4-BE49-F238E27FC236}">
              <a16:creationId xmlns:a16="http://schemas.microsoft.com/office/drawing/2014/main" id="{AC278C44-A74D-4CA2-6E84-E63CF72CD0DD}"/>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4</xdr:col>
      <xdr:colOff>292100</xdr:colOff>
      <xdr:row>0</xdr:row>
      <xdr:rowOff>25400</xdr:rowOff>
    </xdr:from>
    <xdr:to>
      <xdr:col>4</xdr:col>
      <xdr:colOff>1181100</xdr:colOff>
      <xdr:row>0</xdr:row>
      <xdr:rowOff>279400</xdr:rowOff>
    </xdr:to>
    <xdr:sp macro="" textlink="">
      <xdr:nvSpPr>
        <xdr:cNvPr id="11" name="TAF2_NAV_8">
          <a:hlinkClick xmlns:r="http://schemas.openxmlformats.org/officeDocument/2006/relationships" r:id="rId9" tooltip="CHECKS DA OPERAÇÃO TAF"/>
          <a:extLst>
            <a:ext uri="{FF2B5EF4-FFF2-40B4-BE49-F238E27FC236}">
              <a16:creationId xmlns:a16="http://schemas.microsoft.com/office/drawing/2014/main" id="{AC75517A-0B0D-B117-88EF-A994D8CAF6B9}"/>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4</xdr:col>
      <xdr:colOff>1219200</xdr:colOff>
      <xdr:row>0</xdr:row>
      <xdr:rowOff>25400</xdr:rowOff>
    </xdr:from>
    <xdr:to>
      <xdr:col>4</xdr:col>
      <xdr:colOff>2108200</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0EE90F65-38D1-255F-67EE-A5698E44C637}"/>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4</xdr:col>
      <xdr:colOff>2146300</xdr:colOff>
      <xdr:row>0</xdr:row>
      <xdr:rowOff>25400</xdr:rowOff>
    </xdr:from>
    <xdr:to>
      <xdr:col>4</xdr:col>
      <xdr:colOff>2882900</xdr:colOff>
      <xdr:row>0</xdr:row>
      <xdr:rowOff>279400</xdr:rowOff>
    </xdr:to>
    <xdr:sp macro="" textlink="">
      <xdr:nvSpPr>
        <xdr:cNvPr id="13" name="TAF2_NAV_101">
          <a:hlinkClick xmlns:r="http://schemas.openxmlformats.org/officeDocument/2006/relationships" r:id="rId8" tooltip="LINHA DE BASE TAF"/>
          <a:extLst>
            <a:ext uri="{FF2B5EF4-FFF2-40B4-BE49-F238E27FC236}">
              <a16:creationId xmlns:a16="http://schemas.microsoft.com/office/drawing/2014/main" id="{089FE304-780E-019D-CA17-F1B685DE1CEE}"/>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xdr:colOff>
      <xdr:row>0</xdr:row>
      <xdr:rowOff>25400</xdr:rowOff>
    </xdr:from>
    <xdr:to>
      <xdr:col>0</xdr:col>
      <xdr:colOff>762000</xdr:colOff>
      <xdr:row>0</xdr:row>
      <xdr:rowOff>279400</xdr:rowOff>
    </xdr:to>
    <xdr:sp macro="" textlink="">
      <xdr:nvSpPr>
        <xdr:cNvPr id="2" name="TAF2_NAV_100">
          <a:hlinkClick xmlns:r="http://schemas.openxmlformats.org/officeDocument/2006/relationships" r:id="rId1" tooltip="PAUTA DE SEGUNDA TAF"/>
          <a:extLst>
            <a:ext uri="{FF2B5EF4-FFF2-40B4-BE49-F238E27FC236}">
              <a16:creationId xmlns:a16="http://schemas.microsoft.com/office/drawing/2014/main" id="{B00C4D47-FCCF-901B-98D5-277229FDB8C8}"/>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0</xdr:col>
      <xdr:colOff>800100</xdr:colOff>
      <xdr:row>0</xdr:row>
      <xdr:rowOff>25400</xdr:rowOff>
    </xdr:from>
    <xdr:to>
      <xdr:col>0</xdr:col>
      <xdr:colOff>1689100</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C915DCDF-0148-829F-626C-8D5CDFD28EDA}"/>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0</xdr:col>
      <xdr:colOff>1727200</xdr:colOff>
      <xdr:row>0</xdr:row>
      <xdr:rowOff>25400</xdr:rowOff>
    </xdr:from>
    <xdr:to>
      <xdr:col>0</xdr:col>
      <xdr:colOff>2616200</xdr:colOff>
      <xdr:row>0</xdr:row>
      <xdr:rowOff>279400</xdr:rowOff>
    </xdr:to>
    <xdr:sp macro="" textlink="">
      <xdr:nvSpPr>
        <xdr:cNvPr id="4" name="TAF2_NAV_1">
          <a:hlinkClick xmlns:r="http://schemas.openxmlformats.org/officeDocument/2006/relationships" r:id="rId3" tooltip="00A. CICLO DA OBRA"/>
          <a:extLst>
            <a:ext uri="{FF2B5EF4-FFF2-40B4-BE49-F238E27FC236}">
              <a16:creationId xmlns:a16="http://schemas.microsoft.com/office/drawing/2014/main" id="{F95EFF44-5531-8418-2624-CC3144792C17}"/>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0</xdr:col>
      <xdr:colOff>2654300</xdr:colOff>
      <xdr:row>0</xdr:row>
      <xdr:rowOff>25400</xdr:rowOff>
    </xdr:from>
    <xdr:to>
      <xdr:col>1</xdr:col>
      <xdr:colOff>28575</xdr:colOff>
      <xdr:row>0</xdr:row>
      <xdr:rowOff>279400</xdr:rowOff>
    </xdr:to>
    <xdr:sp macro="" textlink="">
      <xdr:nvSpPr>
        <xdr:cNvPr id="5" name="TAF2_NAV_2">
          <a:hlinkClick xmlns:r="http://schemas.openxmlformats.org/officeDocument/2006/relationships" r:id="rId4" tooltip="CRONOGRAMA PROJECT"/>
          <a:extLst>
            <a:ext uri="{FF2B5EF4-FFF2-40B4-BE49-F238E27FC236}">
              <a16:creationId xmlns:a16="http://schemas.microsoft.com/office/drawing/2014/main" id="{68A4A5F7-0643-46B0-E2E5-69633803C74C}"/>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1</xdr:col>
      <xdr:colOff>66675</xdr:colOff>
      <xdr:row>0</xdr:row>
      <xdr:rowOff>25400</xdr:rowOff>
    </xdr:from>
    <xdr:to>
      <xdr:col>1</xdr:col>
      <xdr:colOff>955675</xdr:colOff>
      <xdr:row>0</xdr:row>
      <xdr:rowOff>279400</xdr:rowOff>
    </xdr:to>
    <xdr:sp macro="" textlink="">
      <xdr:nvSpPr>
        <xdr:cNvPr id="6" name="TAF2_NAV_3">
          <a:hlinkClick xmlns:r="http://schemas.openxmlformats.org/officeDocument/2006/relationships" r:id="rId5" tooltip="HISTOGRAMA PLANEJADO"/>
          <a:extLst>
            <a:ext uri="{FF2B5EF4-FFF2-40B4-BE49-F238E27FC236}">
              <a16:creationId xmlns:a16="http://schemas.microsoft.com/office/drawing/2014/main" id="{643F7CF7-CDCA-30FC-77AF-653B997AB822}"/>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1</xdr:col>
      <xdr:colOff>993775</xdr:colOff>
      <xdr:row>0</xdr:row>
      <xdr:rowOff>25400</xdr:rowOff>
    </xdr:from>
    <xdr:to>
      <xdr:col>2</xdr:col>
      <xdr:colOff>501650</xdr:colOff>
      <xdr:row>0</xdr:row>
      <xdr:rowOff>279400</xdr:rowOff>
    </xdr:to>
    <xdr:sp macro="" textlink="">
      <xdr:nvSpPr>
        <xdr:cNvPr id="7" name="TAF2_NAV_4">
          <a:hlinkClick xmlns:r="http://schemas.openxmlformats.org/officeDocument/2006/relationships" r:id="rId6" tooltip="FLUXO PROJETADO TAF"/>
          <a:extLst>
            <a:ext uri="{FF2B5EF4-FFF2-40B4-BE49-F238E27FC236}">
              <a16:creationId xmlns:a16="http://schemas.microsoft.com/office/drawing/2014/main" id="{AFA0175A-0E6E-4D4B-5C92-DB214BBB0A3F}"/>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2</xdr:col>
      <xdr:colOff>539750</xdr:colOff>
      <xdr:row>0</xdr:row>
      <xdr:rowOff>25400</xdr:rowOff>
    </xdr:from>
    <xdr:to>
      <xdr:col>3</xdr:col>
      <xdr:colOff>47625</xdr:colOff>
      <xdr:row>0</xdr:row>
      <xdr:rowOff>279400</xdr:rowOff>
    </xdr:to>
    <xdr:sp macro="" textlink="">
      <xdr:nvSpPr>
        <xdr:cNvPr id="8" name="TAF2_NAV_5">
          <a:hlinkClick xmlns:r="http://schemas.openxmlformats.org/officeDocument/2006/relationships" r:id="rId7" tooltip="DASHBOARD BI TAF"/>
          <a:extLst>
            <a:ext uri="{FF2B5EF4-FFF2-40B4-BE49-F238E27FC236}">
              <a16:creationId xmlns:a16="http://schemas.microsoft.com/office/drawing/2014/main" id="{5C55926D-9392-8305-EE39-36503D2750F1}"/>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3</xdr:col>
      <xdr:colOff>85725</xdr:colOff>
      <xdr:row>0</xdr:row>
      <xdr:rowOff>25400</xdr:rowOff>
    </xdr:from>
    <xdr:to>
      <xdr:col>3</xdr:col>
      <xdr:colOff>974725</xdr:colOff>
      <xdr:row>0</xdr:row>
      <xdr:rowOff>279400</xdr:rowOff>
    </xdr:to>
    <xdr:sp macro="" textlink="">
      <xdr:nvSpPr>
        <xdr:cNvPr id="9" name="TAF2_NAV_6">
          <a:hlinkClick xmlns:r="http://schemas.openxmlformats.org/officeDocument/2006/relationships" r:id="rId1" tooltip="PAUTA DE SEGUNDA TAF"/>
          <a:extLst>
            <a:ext uri="{FF2B5EF4-FFF2-40B4-BE49-F238E27FC236}">
              <a16:creationId xmlns:a16="http://schemas.microsoft.com/office/drawing/2014/main" id="{E75BF1A4-5B82-00F9-B691-94309E4FA3E4}"/>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3</xdr:col>
      <xdr:colOff>1012825</xdr:colOff>
      <xdr:row>0</xdr:row>
      <xdr:rowOff>25400</xdr:rowOff>
    </xdr:from>
    <xdr:to>
      <xdr:col>4</xdr:col>
      <xdr:colOff>787400</xdr:colOff>
      <xdr:row>0</xdr:row>
      <xdr:rowOff>279400</xdr:rowOff>
    </xdr:to>
    <xdr:sp macro="" textlink="">
      <xdr:nvSpPr>
        <xdr:cNvPr id="10" name="TAF2_NAV_7">
          <a:hlinkClick xmlns:r="http://schemas.openxmlformats.org/officeDocument/2006/relationships" r:id="rId8" tooltip="LINHA DE BASE TAF"/>
          <a:extLst>
            <a:ext uri="{FF2B5EF4-FFF2-40B4-BE49-F238E27FC236}">
              <a16:creationId xmlns:a16="http://schemas.microsoft.com/office/drawing/2014/main" id="{DB841EFC-10CF-B00D-0D2C-A1EF3D496ED9}"/>
            </a:ext>
          </a:extLst>
        </xdr:cNvPr>
        <xdr:cNvSpPr/>
      </xdr:nvSpPr>
      <xdr:spPr>
        <a:xfrm>
          <a:off x="72898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BASE</a:t>
          </a:r>
        </a:p>
      </xdr:txBody>
    </xdr:sp>
    <xdr:clientData/>
  </xdr:twoCellAnchor>
  <xdr:twoCellAnchor>
    <xdr:from>
      <xdr:col>4</xdr:col>
      <xdr:colOff>825500</xdr:colOff>
      <xdr:row>0</xdr:row>
      <xdr:rowOff>25400</xdr:rowOff>
    </xdr:from>
    <xdr:to>
      <xdr:col>5</xdr:col>
      <xdr:colOff>600075</xdr:colOff>
      <xdr:row>0</xdr:row>
      <xdr:rowOff>279400</xdr:rowOff>
    </xdr:to>
    <xdr:sp macro="" textlink="">
      <xdr:nvSpPr>
        <xdr:cNvPr id="11" name="TAF2_NAV_8">
          <a:hlinkClick xmlns:r="http://schemas.openxmlformats.org/officeDocument/2006/relationships" r:id="rId9" tooltip="CHECKS DA OPERAÇÃO TAF"/>
          <a:extLst>
            <a:ext uri="{FF2B5EF4-FFF2-40B4-BE49-F238E27FC236}">
              <a16:creationId xmlns:a16="http://schemas.microsoft.com/office/drawing/2014/main" id="{EF0EDF50-FA5D-81CD-9A0D-9329BEDBA921}"/>
            </a:ext>
          </a:extLst>
        </xdr:cNvPr>
        <xdr:cNvSpPr/>
      </xdr:nvSpPr>
      <xdr:spPr>
        <a:xfrm>
          <a:off x="82169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CHECKS</a:t>
          </a:r>
        </a:p>
      </xdr:txBody>
    </xdr:sp>
    <xdr:clientData/>
  </xdr:twoCellAnchor>
  <xdr:twoCellAnchor>
    <xdr:from>
      <xdr:col>5</xdr:col>
      <xdr:colOff>638175</xdr:colOff>
      <xdr:row>0</xdr:row>
      <xdr:rowOff>25400</xdr:rowOff>
    </xdr:from>
    <xdr:to>
      <xdr:col>6</xdr:col>
      <xdr:colOff>412750</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D840DF34-22B2-E7B4-5C08-273F846E2221}"/>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6</xdr:col>
      <xdr:colOff>450850</xdr:colOff>
      <xdr:row>0</xdr:row>
      <xdr:rowOff>25400</xdr:rowOff>
    </xdr:from>
    <xdr:to>
      <xdr:col>7</xdr:col>
      <xdr:colOff>73025</xdr:colOff>
      <xdr:row>0</xdr:row>
      <xdr:rowOff>279400</xdr:rowOff>
    </xdr:to>
    <xdr:sp macro="" textlink="">
      <xdr:nvSpPr>
        <xdr:cNvPr id="13" name="TAF2_NAV_101">
          <a:hlinkClick xmlns:r="http://schemas.openxmlformats.org/officeDocument/2006/relationships" r:id="rId9" tooltip="CHECKS DA OPERAÇÃO TAF"/>
          <a:extLst>
            <a:ext uri="{FF2B5EF4-FFF2-40B4-BE49-F238E27FC236}">
              <a16:creationId xmlns:a16="http://schemas.microsoft.com/office/drawing/2014/main" id="{FFD3692A-20AA-0CD0-C1DA-978ABDE26756}"/>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25400</xdr:colOff>
      <xdr:row>0</xdr:row>
      <xdr:rowOff>25400</xdr:rowOff>
    </xdr:from>
    <xdr:to>
      <xdr:col>1</xdr:col>
      <xdr:colOff>314325</xdr:colOff>
      <xdr:row>0</xdr:row>
      <xdr:rowOff>279400</xdr:rowOff>
    </xdr:to>
    <xdr:sp macro="" textlink="">
      <xdr:nvSpPr>
        <xdr:cNvPr id="2" name="TAF2_NAV_100">
          <a:hlinkClick xmlns:r="http://schemas.openxmlformats.org/officeDocument/2006/relationships" r:id="rId1" tooltip="LINHA DE BASE TAF"/>
          <a:extLst>
            <a:ext uri="{FF2B5EF4-FFF2-40B4-BE49-F238E27FC236}">
              <a16:creationId xmlns:a16="http://schemas.microsoft.com/office/drawing/2014/main" id="{6218B6A1-4431-9473-AE9B-92E9C1C8E137}"/>
            </a:ext>
          </a:extLst>
        </xdr:cNvPr>
        <xdr:cNvSpPr/>
      </xdr:nvSpPr>
      <xdr:spPr>
        <a:xfrm>
          <a:off x="254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 Anterior</a:t>
          </a:r>
        </a:p>
      </xdr:txBody>
    </xdr:sp>
    <xdr:clientData/>
  </xdr:twoCellAnchor>
  <xdr:twoCellAnchor>
    <xdr:from>
      <xdr:col>1</xdr:col>
      <xdr:colOff>352425</xdr:colOff>
      <xdr:row>0</xdr:row>
      <xdr:rowOff>25400</xdr:rowOff>
    </xdr:from>
    <xdr:to>
      <xdr:col>1</xdr:col>
      <xdr:colOff>1241425</xdr:colOff>
      <xdr:row>0</xdr:row>
      <xdr:rowOff>279400</xdr:rowOff>
    </xdr:to>
    <xdr:sp macro="" textlink="">
      <xdr:nvSpPr>
        <xdr:cNvPr id="3" name="TAF2_NAV_0">
          <a:hlinkClick xmlns:r="http://schemas.openxmlformats.org/officeDocument/2006/relationships" r:id="rId2" tooltip="00A. MENU"/>
          <a:extLst>
            <a:ext uri="{FF2B5EF4-FFF2-40B4-BE49-F238E27FC236}">
              <a16:creationId xmlns:a16="http://schemas.microsoft.com/office/drawing/2014/main" id="{8EA72896-BC73-DDD8-1BF3-F5EF6B4FF95F}"/>
            </a:ext>
          </a:extLst>
        </xdr:cNvPr>
        <xdr:cNvSpPr/>
      </xdr:nvSpPr>
      <xdr:spPr>
        <a:xfrm>
          <a:off x="8001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MENU TAF</a:t>
          </a:r>
        </a:p>
      </xdr:txBody>
    </xdr:sp>
    <xdr:clientData/>
  </xdr:twoCellAnchor>
  <xdr:twoCellAnchor>
    <xdr:from>
      <xdr:col>1</xdr:col>
      <xdr:colOff>1279525</xdr:colOff>
      <xdr:row>0</xdr:row>
      <xdr:rowOff>25400</xdr:rowOff>
    </xdr:from>
    <xdr:to>
      <xdr:col>1</xdr:col>
      <xdr:colOff>2168525</xdr:colOff>
      <xdr:row>0</xdr:row>
      <xdr:rowOff>279400</xdr:rowOff>
    </xdr:to>
    <xdr:sp macro="" textlink="">
      <xdr:nvSpPr>
        <xdr:cNvPr id="4" name="TAF2_NAV_1">
          <a:hlinkClick xmlns:r="http://schemas.openxmlformats.org/officeDocument/2006/relationships" r:id="rId3" tooltip="00A. CICLO DA OBRA"/>
          <a:extLst>
            <a:ext uri="{FF2B5EF4-FFF2-40B4-BE49-F238E27FC236}">
              <a16:creationId xmlns:a16="http://schemas.microsoft.com/office/drawing/2014/main" id="{3F12E8B5-0D1D-7518-B27C-13E42193C24E}"/>
            </a:ext>
          </a:extLst>
        </xdr:cNvPr>
        <xdr:cNvSpPr/>
      </xdr:nvSpPr>
      <xdr:spPr>
        <a:xfrm>
          <a:off x="17272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CICLO</a:t>
          </a:r>
        </a:p>
      </xdr:txBody>
    </xdr:sp>
    <xdr:clientData/>
  </xdr:twoCellAnchor>
  <xdr:twoCellAnchor>
    <xdr:from>
      <xdr:col>1</xdr:col>
      <xdr:colOff>2206625</xdr:colOff>
      <xdr:row>0</xdr:row>
      <xdr:rowOff>25400</xdr:rowOff>
    </xdr:from>
    <xdr:to>
      <xdr:col>1</xdr:col>
      <xdr:colOff>3095625</xdr:colOff>
      <xdr:row>0</xdr:row>
      <xdr:rowOff>279400</xdr:rowOff>
    </xdr:to>
    <xdr:sp macro="" textlink="">
      <xdr:nvSpPr>
        <xdr:cNvPr id="5" name="TAF2_NAV_2">
          <a:hlinkClick xmlns:r="http://schemas.openxmlformats.org/officeDocument/2006/relationships" r:id="rId4" tooltip="CRONOGRAMA PROJECT"/>
          <a:extLst>
            <a:ext uri="{FF2B5EF4-FFF2-40B4-BE49-F238E27FC236}">
              <a16:creationId xmlns:a16="http://schemas.microsoft.com/office/drawing/2014/main" id="{CBD7D460-15E8-AE48-4D26-6638A8EA74D9}"/>
            </a:ext>
          </a:extLst>
        </xdr:cNvPr>
        <xdr:cNvSpPr/>
      </xdr:nvSpPr>
      <xdr:spPr>
        <a:xfrm>
          <a:off x="26543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CRONOGRAMA</a:t>
          </a:r>
        </a:p>
      </xdr:txBody>
    </xdr:sp>
    <xdr:clientData/>
  </xdr:twoCellAnchor>
  <xdr:twoCellAnchor>
    <xdr:from>
      <xdr:col>1</xdr:col>
      <xdr:colOff>3133725</xdr:colOff>
      <xdr:row>0</xdr:row>
      <xdr:rowOff>25400</xdr:rowOff>
    </xdr:from>
    <xdr:to>
      <xdr:col>1</xdr:col>
      <xdr:colOff>4022725</xdr:colOff>
      <xdr:row>0</xdr:row>
      <xdr:rowOff>279400</xdr:rowOff>
    </xdr:to>
    <xdr:sp macro="" textlink="">
      <xdr:nvSpPr>
        <xdr:cNvPr id="6" name="TAF2_NAV_3">
          <a:hlinkClick xmlns:r="http://schemas.openxmlformats.org/officeDocument/2006/relationships" r:id="rId5" tooltip="HISTOGRAMA PLANEJADO"/>
          <a:extLst>
            <a:ext uri="{FF2B5EF4-FFF2-40B4-BE49-F238E27FC236}">
              <a16:creationId xmlns:a16="http://schemas.microsoft.com/office/drawing/2014/main" id="{5E18E414-9EA9-1524-E3A2-75DA7EC45752}"/>
            </a:ext>
          </a:extLst>
        </xdr:cNvPr>
        <xdr:cNvSpPr/>
      </xdr:nvSpPr>
      <xdr:spPr>
        <a:xfrm>
          <a:off x="35814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HISTOGRAMA</a:t>
          </a:r>
        </a:p>
      </xdr:txBody>
    </xdr:sp>
    <xdr:clientData/>
  </xdr:twoCellAnchor>
  <xdr:twoCellAnchor>
    <xdr:from>
      <xdr:col>1</xdr:col>
      <xdr:colOff>4060825</xdr:colOff>
      <xdr:row>0</xdr:row>
      <xdr:rowOff>25400</xdr:rowOff>
    </xdr:from>
    <xdr:to>
      <xdr:col>2</xdr:col>
      <xdr:colOff>768350</xdr:colOff>
      <xdr:row>0</xdr:row>
      <xdr:rowOff>279400</xdr:rowOff>
    </xdr:to>
    <xdr:sp macro="" textlink="">
      <xdr:nvSpPr>
        <xdr:cNvPr id="7" name="TAF2_NAV_4">
          <a:hlinkClick xmlns:r="http://schemas.openxmlformats.org/officeDocument/2006/relationships" r:id="rId6" tooltip="FLUXO PROJETADO TAF"/>
          <a:extLst>
            <a:ext uri="{FF2B5EF4-FFF2-40B4-BE49-F238E27FC236}">
              <a16:creationId xmlns:a16="http://schemas.microsoft.com/office/drawing/2014/main" id="{CB4A2550-132A-CBE2-5CE6-6935493A0151}"/>
            </a:ext>
          </a:extLst>
        </xdr:cNvPr>
        <xdr:cNvSpPr/>
      </xdr:nvSpPr>
      <xdr:spPr>
        <a:xfrm>
          <a:off x="45085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FLUXO</a:t>
          </a:r>
        </a:p>
      </xdr:txBody>
    </xdr:sp>
    <xdr:clientData/>
  </xdr:twoCellAnchor>
  <xdr:twoCellAnchor>
    <xdr:from>
      <xdr:col>2</xdr:col>
      <xdr:colOff>806450</xdr:colOff>
      <xdr:row>0</xdr:row>
      <xdr:rowOff>25400</xdr:rowOff>
    </xdr:from>
    <xdr:to>
      <xdr:col>3</xdr:col>
      <xdr:colOff>714375</xdr:colOff>
      <xdr:row>0</xdr:row>
      <xdr:rowOff>279400</xdr:rowOff>
    </xdr:to>
    <xdr:sp macro="" textlink="">
      <xdr:nvSpPr>
        <xdr:cNvPr id="8" name="TAF2_NAV_5">
          <a:hlinkClick xmlns:r="http://schemas.openxmlformats.org/officeDocument/2006/relationships" r:id="rId7" tooltip="DASHBOARD BI TAF"/>
          <a:extLst>
            <a:ext uri="{FF2B5EF4-FFF2-40B4-BE49-F238E27FC236}">
              <a16:creationId xmlns:a16="http://schemas.microsoft.com/office/drawing/2014/main" id="{94D3EBFE-1DAB-FBA5-D9D9-462BC1D8E423}"/>
            </a:ext>
          </a:extLst>
        </xdr:cNvPr>
        <xdr:cNvSpPr/>
      </xdr:nvSpPr>
      <xdr:spPr>
        <a:xfrm>
          <a:off x="54356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DASHBOARD</a:t>
          </a:r>
        </a:p>
      </xdr:txBody>
    </xdr:sp>
    <xdr:clientData/>
  </xdr:twoCellAnchor>
  <xdr:twoCellAnchor>
    <xdr:from>
      <xdr:col>3</xdr:col>
      <xdr:colOff>752475</xdr:colOff>
      <xdr:row>0</xdr:row>
      <xdr:rowOff>25400</xdr:rowOff>
    </xdr:from>
    <xdr:to>
      <xdr:col>4</xdr:col>
      <xdr:colOff>660400</xdr:colOff>
      <xdr:row>0</xdr:row>
      <xdr:rowOff>279400</xdr:rowOff>
    </xdr:to>
    <xdr:sp macro="" textlink="">
      <xdr:nvSpPr>
        <xdr:cNvPr id="9" name="TAF2_NAV_6">
          <a:hlinkClick xmlns:r="http://schemas.openxmlformats.org/officeDocument/2006/relationships" r:id="rId8" tooltip="PAUTA DE SEGUNDA TAF"/>
          <a:extLst>
            <a:ext uri="{FF2B5EF4-FFF2-40B4-BE49-F238E27FC236}">
              <a16:creationId xmlns:a16="http://schemas.microsoft.com/office/drawing/2014/main" id="{EECB63E4-E69F-FF7D-564D-AB63EC38F02D}"/>
            </a:ext>
          </a:extLst>
        </xdr:cNvPr>
        <xdr:cNvSpPr/>
      </xdr:nvSpPr>
      <xdr:spPr>
        <a:xfrm>
          <a:off x="63627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PAUTA</a:t>
          </a:r>
        </a:p>
      </xdr:txBody>
    </xdr:sp>
    <xdr:clientData/>
  </xdr:twoCellAnchor>
  <xdr:twoCellAnchor>
    <xdr:from>
      <xdr:col>4</xdr:col>
      <xdr:colOff>698500</xdr:colOff>
      <xdr:row>0</xdr:row>
      <xdr:rowOff>25400</xdr:rowOff>
    </xdr:from>
    <xdr:to>
      <xdr:col>4</xdr:col>
      <xdr:colOff>1587500</xdr:colOff>
      <xdr:row>0</xdr:row>
      <xdr:rowOff>279400</xdr:rowOff>
    </xdr:to>
    <xdr:sp macro="" textlink="">
      <xdr:nvSpPr>
        <xdr:cNvPr id="10" name="TAF2_NAV_7">
          <a:hlinkClick xmlns:r="http://schemas.openxmlformats.org/officeDocument/2006/relationships" r:id="rId1" tooltip="LINHA DE BASE TAF"/>
          <a:extLst>
            <a:ext uri="{FF2B5EF4-FFF2-40B4-BE49-F238E27FC236}">
              <a16:creationId xmlns:a16="http://schemas.microsoft.com/office/drawing/2014/main" id="{D45BDAEB-9351-3951-5876-D2823C19E4EB}"/>
            </a:ext>
          </a:extLst>
        </xdr:cNvPr>
        <xdr:cNvSpPr/>
      </xdr:nvSpPr>
      <xdr:spPr>
        <a:xfrm>
          <a:off x="72898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BASE</a:t>
          </a:r>
        </a:p>
      </xdr:txBody>
    </xdr:sp>
    <xdr:clientData/>
  </xdr:twoCellAnchor>
  <xdr:twoCellAnchor>
    <xdr:from>
      <xdr:col>4</xdr:col>
      <xdr:colOff>1625600</xdr:colOff>
      <xdr:row>0</xdr:row>
      <xdr:rowOff>25400</xdr:rowOff>
    </xdr:from>
    <xdr:to>
      <xdr:col>4</xdr:col>
      <xdr:colOff>2514600</xdr:colOff>
      <xdr:row>0</xdr:row>
      <xdr:rowOff>279400</xdr:rowOff>
    </xdr:to>
    <xdr:sp macro="" textlink="">
      <xdr:nvSpPr>
        <xdr:cNvPr id="11" name="TAF2_NAV_8">
          <a:hlinkClick xmlns:r="http://schemas.openxmlformats.org/officeDocument/2006/relationships" r:id="rId9" tooltip="CHECKS DA OPERAÇÃO TAF"/>
          <a:extLst>
            <a:ext uri="{FF2B5EF4-FFF2-40B4-BE49-F238E27FC236}">
              <a16:creationId xmlns:a16="http://schemas.microsoft.com/office/drawing/2014/main" id="{DBBAB517-1425-462F-C4A2-9EF776D83CD0}"/>
            </a:ext>
          </a:extLst>
        </xdr:cNvPr>
        <xdr:cNvSpPr/>
      </xdr:nvSpPr>
      <xdr:spPr>
        <a:xfrm>
          <a:off x="8216900" y="25400"/>
          <a:ext cx="889000" cy="254000"/>
        </a:xfrm>
        <a:prstGeom prst="rect">
          <a:avLst/>
        </a:prstGeom>
        <a:solidFill>
          <a:srgbClr val="1F3864"/>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1">
              <a:solidFill>
                <a:srgbClr val="FFFFFF"/>
              </a:solidFill>
            </a:rPr>
            <a:t>CHECKS</a:t>
          </a:r>
        </a:p>
      </xdr:txBody>
    </xdr:sp>
    <xdr:clientData/>
  </xdr:twoCellAnchor>
  <xdr:twoCellAnchor>
    <xdr:from>
      <xdr:col>4</xdr:col>
      <xdr:colOff>2552700</xdr:colOff>
      <xdr:row>0</xdr:row>
      <xdr:rowOff>25400</xdr:rowOff>
    </xdr:from>
    <xdr:to>
      <xdr:col>4</xdr:col>
      <xdr:colOff>3441700</xdr:colOff>
      <xdr:row>0</xdr:row>
      <xdr:rowOff>279400</xdr:rowOff>
    </xdr:to>
    <xdr:sp macro="" textlink="">
      <xdr:nvSpPr>
        <xdr:cNvPr id="12" name="TAF2_NAV_9">
          <a:hlinkClick xmlns:r="http://schemas.openxmlformats.org/officeDocument/2006/relationships" r:id="rId10" tooltip="01. PAINEL"/>
          <a:extLst>
            <a:ext uri="{FF2B5EF4-FFF2-40B4-BE49-F238E27FC236}">
              <a16:creationId xmlns:a16="http://schemas.microsoft.com/office/drawing/2014/main" id="{B7324A88-A520-B642-CD60-C7F5D64F83FF}"/>
            </a:ext>
          </a:extLst>
        </xdr:cNvPr>
        <xdr:cNvSpPr/>
      </xdr:nvSpPr>
      <xdr:spPr>
        <a:xfrm>
          <a:off x="9144000" y="25400"/>
          <a:ext cx="8890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PAINEL</a:t>
          </a:r>
        </a:p>
      </xdr:txBody>
    </xdr:sp>
    <xdr:clientData/>
  </xdr:twoCellAnchor>
  <xdr:twoCellAnchor>
    <xdr:from>
      <xdr:col>4</xdr:col>
      <xdr:colOff>3479800</xdr:colOff>
      <xdr:row>0</xdr:row>
      <xdr:rowOff>25400</xdr:rowOff>
    </xdr:from>
    <xdr:to>
      <xdr:col>4</xdr:col>
      <xdr:colOff>4216400</xdr:colOff>
      <xdr:row>0</xdr:row>
      <xdr:rowOff>279400</xdr:rowOff>
    </xdr:to>
    <xdr:sp macro="" textlink="">
      <xdr:nvSpPr>
        <xdr:cNvPr id="13" name="TAF2_NAV_101">
          <a:hlinkClick xmlns:r="http://schemas.openxmlformats.org/officeDocument/2006/relationships" r:id="rId3" tooltip="00A. CICLO DA OBRA"/>
          <a:extLst>
            <a:ext uri="{FF2B5EF4-FFF2-40B4-BE49-F238E27FC236}">
              <a16:creationId xmlns:a16="http://schemas.microsoft.com/office/drawing/2014/main" id="{E721773E-2A6A-7462-ABC2-A1E995B1C173}"/>
            </a:ext>
          </a:extLst>
        </xdr:cNvPr>
        <xdr:cNvSpPr/>
      </xdr:nvSpPr>
      <xdr:spPr>
        <a:xfrm>
          <a:off x="10071100" y="25400"/>
          <a:ext cx="736600" cy="254000"/>
        </a:xfrm>
        <a:prstGeom prst="rect">
          <a:avLst/>
        </a:prstGeom>
        <a:solidFill>
          <a:srgbClr val="E7E6E6"/>
        </a:solidFill>
        <a:ln w="6350">
          <a:solidFill>
            <a:srgbClr val="A6A6A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 rIns="12700" rtlCol="0" anchor="ctr"/>
        <a:lstStyle/>
        <a:p>
          <a:pPr algn="ctr"/>
          <a:r>
            <a:rPr lang="pt-BR" sz="800" b="0">
              <a:solidFill>
                <a:srgbClr val="1F3864"/>
              </a:solidFill>
            </a:rPr>
            <a:t>Próxima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Drw1"/></Relationships>
</file>

<file path=xl/worksheets/_rels/sheet4.xml.rels><Relationships xmlns="http://schemas.openxmlformats.org/package/2006/relationships"><Relationship Type="http://schemas.openxmlformats.org/officeDocument/2006/relationships/drawing" Target="/xl/drawings/drawing2.xml" Id="rIdDrw1"/></Relationships>
</file>

<file path=xl/worksheets/_rels/sheet5.xml.rels><Relationships xmlns="http://schemas.openxmlformats.org/package/2006/relationships"><Relationship Type="http://schemas.openxmlformats.org/officeDocument/2006/relationships/drawing" Target="/xl/drawings/drawing3.xml" Id="rIdDrw1"/></Relationships>
</file>

<file path=xl/worksheets/_rels/sheet6.xml.rels><Relationships xmlns="http://schemas.openxmlformats.org/package/2006/relationships"><Relationship Type="http://schemas.openxmlformats.org/officeDocument/2006/relationships/drawing" Target="/xl/drawings/drawing4.xml" Id="rIdDrw1"/></Relationships>
</file>

<file path=xl/worksheets/_rels/sheet7.xml.rels><Relationships xmlns="http://schemas.openxmlformats.org/package/2006/relationships"><Relationship Type="http://schemas.openxmlformats.org/officeDocument/2006/relationships/drawing" Target="/xl/drawings/drawing5.xml" Id="rIdDrw1"/></Relationships>
</file>

<file path=xl/worksheets/_rels/sheet8.xml.rels><Relationships xmlns="http://schemas.openxmlformats.org/package/2006/relationships"><Relationship Type="http://schemas.openxmlformats.org/officeDocument/2006/relationships/drawing" Target="/xl/drawings/drawing6.xml" Id="rIdDrw1"/></Relationships>
</file>

<file path=xl/worksheets/_rels/sheet9.xml.rels><Relationships xmlns="http://schemas.openxmlformats.org/package/2006/relationships"><Relationship Type="http://schemas.openxmlformats.org/officeDocument/2006/relationships/drawing" Target="/xl/drawings/drawing7.xml" Id="rIdDrw1"/></Relationships>
</file>

<file path=xl/worksheets/_rels/sheet10.xml.rels><Relationships xmlns="http://schemas.openxmlformats.org/package/2006/relationships"><Relationship Type="http://schemas.openxmlformats.org/officeDocument/2006/relationships/drawing" Target="/xl/drawings/drawing8.xml" Id="rIdDrw1"/></Relationships>
</file>

<file path=xl/worksheets/_rels/sheet1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2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2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2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FF1F3864"/>
    <outlinePr summaryBelow="1" summaryRight="1"/>
    <pageSetUpPr fitToPage="1"/>
  </sheetPr>
  <dimension ref="A1:E16"/>
  <sheetViews>
    <sheetView showGridLines="0" workbookViewId="0">
      <selection activeCell="A1" sqref="A1"/>
    </sheetView>
  </sheetViews>
  <sheetFormatPr baseColWidth="8" defaultRowHeight="15"/>
  <cols>
    <col width="30" customWidth="1" style="71" min="1" max="1"/>
    <col width="110" customWidth="1" style="71" min="2" max="2"/>
  </cols>
  <sheetData>
    <row r="1" ht="26.1" customHeight="1" s="71">
      <c r="A1" s="1" t="inlineStr">
        <is>
          <t>TAF — GESTÃO DA EMPRESA (obras 342, 343 e 281)</t>
        </is>
      </c>
      <c r="B1" s="2" t="n"/>
      <c r="C1" s="2" t="n"/>
      <c r="D1" s="2" t="n"/>
      <c r="E1" s="3" t="inlineStr">
        <is>
          <t>◀ MENU</t>
        </is>
      </c>
    </row>
    <row r="2">
      <c r="A2" s="4" t="inlineStr">
        <is>
          <t>Mesma arquitetura da WCR - GESTÃO DA EMPRESA. Comece pelo 00A. MENU.</t>
        </is>
      </c>
    </row>
    <row r="3"/>
    <row r="4" ht="32.1" customHeight="1" s="71">
      <c r="A4" s="5" t="inlineStr">
        <is>
          <t>O que é</t>
        </is>
      </c>
      <c r="B4" s="6" t="inlineStr">
        <is>
          <t>A gestão da TAF em um arquivo: o que foi contratado (03), o plano de cada obra (04: 342 do estudo REV13, 343 do MOTOR TAF, 281 do cronograma da SANEAGO), o que aconteceu (05 a 08) e a comparação (08A a 12), com o MASTER CHECK no painel.</t>
        </is>
      </c>
    </row>
    <row r="5" ht="32.1" customHeight="1" s="71">
      <c r="A5" s="5" t="inlineStr">
        <is>
          <t>Cores</t>
        </is>
      </c>
      <c r="B5" s="6" t="inlineStr">
        <is>
          <t>Azul = digitar. Preto = fórmula. Verde = vem de outra aba. Amarelo = falta dado ou decisão. Aba verde = dia a dia; cinza = só leitura; âmbar = ajuste eventual.</t>
        </is>
      </c>
    </row>
    <row r="6" ht="32.1" customHeight="1" s="71">
      <c r="A6" s="5" t="inlineStr">
        <is>
          <t>Rotina da segunda</t>
        </is>
      </c>
      <c r="B6" s="6" t="inlineStr">
        <is>
          <t>02 (data de corte) → 05B (apontamento da semana conferido) → 05C (restrições com dono e prazo) → 05A (compromisso da próxima semana, confirmado pelo engenheiro na sexta) → 01A (10 perguntas e 3 luzes) → PAUTA (1 decisão por obra).</t>
        </is>
      </c>
    </row>
    <row r="7" ht="32.1" customHeight="1" s="71">
      <c r="A7" s="5" t="inlineStr">
        <is>
          <t>Fechamento do mês</t>
        </is>
      </c>
      <c r="B7" s="6" t="inlineStr">
        <is>
          <t>06 (BM) → 07 (NF) → 08 (custos pagos) → 08A/08C (desvio e resultado) → 10 (caixa).</t>
        </is>
      </c>
    </row>
    <row r="8" ht="32.1" customHeight="1" s="71">
      <c r="A8" s="5" t="inlineStr">
        <is>
          <t>Plano</t>
        </is>
      </c>
      <c r="B8" s="6" t="inlineStr">
        <is>
          <t>342: plano do estudo REV13 (interno, pasta panorama do projeto), cenário 1 eventograma Anexo VII, copiado em azul na 04 com fonte. 343: MOTOR TAF. Plano novo: copiar de novo na 04 e conferir a 13. CHECKS e a CHECKS DA OPERAÇÃO. 281: cronograma físico-financeiro da SANEAGO (Cronograma FF x Gráficos) na 04, linhas 40 a 50; BMs 1 a 7 na 06; NFs da Medição 02 na 07; custos do consórcio TAF TECNOBOMBAS até maio/2026 na 08D, somados por mês e conta na 08. Obra gerida a 100% do contrato; a parte da TAF fica na 03 (F22). Ainda sem orçamento de custo, por isso margem e caixa da 281 aparecem SEM BASE.</t>
        </is>
      </c>
    </row>
    <row r="9" ht="32.1" customHeight="1" s="71">
      <c r="A9" s="5" t="inlineStr">
        <is>
          <t>Atenção 342</t>
        </is>
      </c>
      <c r="B9" s="6" t="inlineStr">
        <is>
          <t>O plano da 342 é o estudo REV13 sobre o eventograma Anexo VII (UN só mede na conclusão). R$ 993 mil do custo ainda estão sem cotação da TAF (SEM BASE), por isso o resultado aparece como SEM BASE no painel. Resultado e caixa da 342 são números internos.</t>
        </is>
      </c>
    </row>
    <row r="10" ht="32.1" customHeight="1" s="71">
      <c r="A10" s="5" t="inlineStr">
        <is>
          <t>ROTINA — todo dia (engenheiro residente / apontador)</t>
        </is>
      </c>
      <c r="B10" s="6" t="inlineStr">
        <is>
          <t>Lançar o dia na 05B até 9h do dia seguinte: data, obra, frente, pessoas, serviço, quantidade e paradas com motivo. Foto de avanço de cada frente. Comparar o dia com o ritmo-alvo (343: 80 m/dia de PEAD, 10 m/dia de FoFo); se cair 2 dias seguidos, escalar na hora.</t>
        </is>
      </c>
    </row>
    <row r="11" ht="32.1" customHeight="1" s="71">
      <c r="A11" s="5" t="inlineStr">
        <is>
          <t>ROTINA — toda segunda (gerente de contrato, Tiago)</t>
        </is>
      </c>
      <c r="B11" s="6" t="inlineStr">
        <is>
          <t>Sexta: o engenheiro confirma o compromisso da próxima semana na 05A e marca o que cumpriu. Segunda: PPC, efetivo e restrições na 01A; 1 causa por desvio (MO → planejamento → material → equipamento → projeto → cliente); 1 decisão por obra com dono e prazo.</t>
        </is>
      </c>
    </row>
    <row r="12" ht="32.1" customHeight="1" s="71">
      <c r="A12" s="5" t="inlineStr">
        <is>
          <t>ROTINA — todo mês (diretoria, Thadeu)</t>
        </is>
      </c>
      <c r="B12" s="6" t="inlineStr">
        <is>
          <t>01. PAINEL → MASTER CHECK antes de qualquer número. Fechar medição (06/07/08). Medido × previsto do plano (04): desvio &gt; 10% vira pauta. Nunca decidir com número pendente: buscar o dado.</t>
        </is>
      </c>
    </row>
    <row r="13"/>
    <row r="14"/>
    <row r="15"/>
    <row r="16">
      <c r="A16" s="7" t="inlineStr">
        <is>
          <t>ABRIR O MENU</t>
        </is>
      </c>
    </row>
  </sheetData>
  <hyperlinks>
    <hyperlink ref="E1" location="'00A. MENU'!A1" display="◀ MENU"/>
    <hyperlink ref="A16" location="'00A. MENU'!A1" display="ABRIR O MENU"/>
  </hyperlinks>
  <pageMargins left="0.75" right="0.75" top="1" bottom="1" header="0.5" footer="0.5"/>
  <pageSetup orientation="landscape" fitToHeight="0"/>
</worksheet>
</file>

<file path=xl/worksheets/sheet2.xml><?xml version="1.0" encoding="utf-8"?>
<worksheet xmlns="http://schemas.openxmlformats.org/spreadsheetml/2006/main">
  <sheetPr>
    <tabColor rgb="FF1F3864"/>
    <outlinePr summaryBelow="1" summaryRight="1"/>
    <pageSetUpPr fitToPage="1"/>
  </sheetPr>
  <dimension ref="A1:M35"/>
  <sheetViews>
    <sheetView showGridLines="0" topLeftCell="A18" workbookViewId="0">
      <selection activeCell="H31" sqref="H31"/>
    </sheetView>
  </sheetViews>
  <sheetFormatPr baseColWidth="8" defaultRowHeight="15"/>
  <cols>
    <col width="30" customWidth="1" style="71" min="1" max="1"/>
    <col width="17" customWidth="1" style="71" min="2" max="13"/>
  </cols>
  <sheetData>
    <row r="1" ht="26.1" customHeight="1" s="71">
      <c r="A1" s="1" t="inlineStr">
        <is>
          <t>TAF — MENU</t>
        </is>
      </c>
      <c r="B1" s="2" t="n"/>
      <c r="C1" s="2" t="n"/>
      <c r="D1" s="2" t="n"/>
      <c r="E1" s="2" t="n"/>
      <c r="F1" s="2" t="n"/>
      <c r="G1" s="2" t="n"/>
      <c r="H1" s="2" t="n"/>
      <c r="I1" s="2" t="n"/>
      <c r="J1" s="2" t="n"/>
      <c r="K1" s="2" t="n"/>
      <c r="L1" s="2" t="n"/>
      <c r="M1" s="2" t="n"/>
    </row>
    <row r="2">
      <c r="A2" s="4" t="inlineStr">
        <is>
          <t>Clique no botão para ir. Em toda aba, '◀ MENU' (canto superior direito) volta para cá.</t>
        </is>
      </c>
    </row>
    <row r="3"/>
    <row r="4" ht="33.95" customHeight="1" s="71">
      <c r="A4" s="8" t="inlineStr">
        <is>
          <t>VISÃO</t>
        </is>
      </c>
      <c r="B4" s="7" t="inlineStr">
        <is>
          <t>01 PAINEL</t>
        </is>
      </c>
      <c r="D4" s="7" t="inlineStr">
        <is>
          <t>01C PLACAR SEMANAL</t>
        </is>
      </c>
      <c r="F4" s="7" t="inlineStr">
        <is>
          <t>13 CHECKS</t>
        </is>
      </c>
    </row>
    <row r="5"/>
    <row r="6" ht="33.95" customHeight="1" s="71">
      <c r="A6" s="8" t="inlineStr">
        <is>
          <t>CONTRATO E PLANO</t>
        </is>
      </c>
      <c r="B6" s="9" t="inlineStr">
        <is>
          <t>02 PARÂMETROS</t>
        </is>
      </c>
      <c r="D6" s="9" t="inlineStr">
        <is>
          <t>03 CONTRATOS</t>
        </is>
      </c>
      <c r="F6" s="9" t="inlineStr">
        <is>
          <t>04 PLANO DAS OBRAS</t>
        </is>
      </c>
    </row>
    <row r="7"/>
    <row r="8" ht="33.95" customHeight="1" s="71">
      <c r="A8" s="8" t="inlineStr">
        <is>
          <t>DIA A DIA</t>
        </is>
      </c>
      <c r="B8" s="9" t="inlineStr">
        <is>
          <t>05 SEMANAS</t>
        </is>
      </c>
      <c r="D8" s="9" t="inlineStr">
        <is>
          <t>06 MEDIÇÃO (BM)</t>
        </is>
      </c>
      <c r="F8" s="9" t="inlineStr">
        <is>
          <t>07 NF E RECEBIMENTO</t>
        </is>
      </c>
      <c r="H8" s="9" t="inlineStr">
        <is>
          <t>08 CUSTOS</t>
        </is>
      </c>
    </row>
    <row r="9"/>
    <row r="10" ht="33.95" customHeight="1" s="71">
      <c r="A10" s="8" t="inlineStr">
        <is>
          <t>RESULTADO</t>
        </is>
      </c>
      <c r="B10" s="9" t="inlineStr">
        <is>
          <t>08A CUSTO POR OBRA</t>
        </is>
      </c>
      <c r="D10" s="9" t="inlineStr">
        <is>
          <t>08B TODAS AS OBRAS</t>
        </is>
      </c>
      <c r="F10" s="9" t="inlineStr">
        <is>
          <t>08C RESULTADO</t>
        </is>
      </c>
      <c r="H10" s="9" t="inlineStr">
        <is>
          <t>10 CAIXA</t>
        </is>
      </c>
      <c r="J10" s="9" t="inlineStr">
        <is>
          <t>12 EVM</t>
        </is>
      </c>
    </row>
    <row r="11"/>
    <row r="12" ht="33.95" customHeight="1" s="71">
      <c r="A12" s="8" t="inlineStr">
        <is>
          <t>REFERÊNCIA</t>
        </is>
      </c>
      <c r="B12" s="9" t="inlineStr">
        <is>
          <t>00 GUIA</t>
        </is>
      </c>
      <c r="D12" s="9" t="inlineStr">
        <is>
          <t>14 FONTES</t>
        </is>
      </c>
      <c r="F12" s="9" t="inlineStr">
        <is>
          <t>15 CHANGELOG</t>
        </is>
      </c>
    </row>
    <row r="13"/>
    <row r="14">
      <c r="A14" s="10" t="inlineStr">
        <is>
          <t>ROTEIRO DE USO</t>
        </is>
      </c>
      <c r="B14" s="11" t="n"/>
      <c r="C14" s="11" t="n"/>
      <c r="D14" s="11" t="n"/>
      <c r="E14" s="11" t="n"/>
      <c r="F14" s="11" t="n"/>
      <c r="G14" s="11" t="n"/>
      <c r="H14" s="11" t="n"/>
      <c r="I14" s="11" t="n"/>
      <c r="J14" s="11" t="n"/>
      <c r="K14" s="11" t="n"/>
      <c r="L14" s="11" t="n"/>
    </row>
    <row r="15" ht="51.95" customHeight="1" s="71">
      <c r="A15" s="12" t="inlineStr">
        <is>
          <t>TODA SEGUNDA (reunião, 90 min)</t>
        </is>
      </c>
      <c r="B15" s="13" t="inlineStr">
        <is>
          <t>02: mude a data de corte</t>
        </is>
      </c>
      <c r="C15" s="14" t="inlineStr">
        <is>
          <t>→</t>
        </is>
      </c>
      <c r="D15" s="13" t="inlineStr">
        <is>
          <t>05B e 05C: apontamento e restrições</t>
        </is>
      </c>
      <c r="E15" s="14" t="inlineStr">
        <is>
          <t>→</t>
        </is>
      </c>
      <c r="F15" s="13" t="inlineStr">
        <is>
          <t>05A: compromisso da semana</t>
        </is>
      </c>
      <c r="G15" s="14" t="inlineStr">
        <is>
          <t>→</t>
        </is>
      </c>
      <c r="H15" s="13" t="inlineStr">
        <is>
          <t>01A: 10 perguntas e 3 luzes</t>
        </is>
      </c>
      <c r="I15" s="14" t="inlineStr">
        <is>
          <t>→</t>
        </is>
      </c>
      <c r="J15" s="13" t="inlineStr">
        <is>
          <t>PAUTA: 1 decisão por obra</t>
        </is>
      </c>
      <c r="K15" s="14" t="n"/>
    </row>
    <row r="16"/>
    <row r="17" ht="51.95" customHeight="1" s="71">
      <c r="A17" s="12" t="inlineStr">
        <is>
          <t>TODO MÊS (fechamento)</t>
        </is>
      </c>
      <c r="B17" s="13" t="inlineStr">
        <is>
          <t>06: lance o BM</t>
        </is>
      </c>
      <c r="C17" s="14" t="inlineStr">
        <is>
          <t>→</t>
        </is>
      </c>
      <c r="D17" s="13" t="inlineStr">
        <is>
          <t>07: lance a NF</t>
        </is>
      </c>
      <c r="E17" s="14" t="inlineStr">
        <is>
          <t>→</t>
        </is>
      </c>
      <c r="F17" s="13" t="inlineStr">
        <is>
          <t>08: lance os custos pagos</t>
        </is>
      </c>
      <c r="G17" s="14" t="inlineStr">
        <is>
          <t>→</t>
        </is>
      </c>
      <c r="H17" s="13" t="inlineStr">
        <is>
          <t>08A e 08C: desvio e resultado</t>
        </is>
      </c>
      <c r="I17" s="14" t="inlineStr">
        <is>
          <t>→</t>
        </is>
      </c>
      <c r="J17" s="13" t="inlineStr">
        <is>
          <t>10: caixa previsto × real</t>
        </is>
      </c>
      <c r="K17" s="14" t="n"/>
    </row>
    <row r="18"/>
    <row r="19" ht="51.95" customHeight="1" s="71">
      <c r="A19" s="12" t="inlineStr">
        <is>
          <t>QUANDO O PLANO MUDA</t>
        </is>
      </c>
      <c r="B19" s="13" t="inlineStr">
        <is>
          <t>342: estudo novo (pasta panorama) · 343: MOTOR TAF</t>
        </is>
      </c>
      <c r="C19" s="14" t="inlineStr">
        <is>
          <t>→</t>
        </is>
      </c>
      <c r="D19" s="13" t="inlineStr">
        <is>
          <t>343: rodar_taf.py</t>
        </is>
      </c>
      <c r="E19" s="14" t="inlineStr">
        <is>
          <t>→</t>
        </is>
      </c>
      <c r="F19" s="13" t="inlineStr">
        <is>
          <t>copiar na 04 (azul, com fonte)</t>
        </is>
      </c>
      <c r="G19" s="14" t="inlineStr">
        <is>
          <t>→</t>
        </is>
      </c>
      <c r="H19" s="13" t="inlineStr">
        <is>
          <t>13: estudo em uso confere</t>
        </is>
      </c>
      <c r="I19" s="14" t="inlineStr">
        <is>
          <t>→</t>
        </is>
      </c>
      <c r="J19" s="13" t="inlineStr">
        <is>
          <t>04 e 12: plano novo e EVM</t>
        </is>
      </c>
      <c r="K19" s="14" t="n"/>
    </row>
    <row r="20"/>
    <row r="21">
      <c r="A21" s="10" t="inlineStr">
        <is>
          <t>COMO FUNCIONA — da medição ao dinheiro (quem faz)</t>
        </is>
      </c>
      <c r="B21" s="11" t="n"/>
      <c r="C21" s="11" t="n"/>
      <c r="D21" s="11" t="n"/>
      <c r="E21" s="11" t="n"/>
      <c r="F21" s="11" t="n"/>
      <c r="G21" s="11" t="n"/>
      <c r="H21" s="11" t="n"/>
      <c r="I21" s="11" t="n"/>
      <c r="J21" s="11" t="n"/>
      <c r="K21" s="11" t="n"/>
      <c r="L21" s="11" t="n"/>
    </row>
    <row r="22" ht="75.95" customHeight="1" s="71">
      <c r="A22" s="15" t="inlineStr">
        <is>
          <t>Encarregado: executa e aponta</t>
        </is>
      </c>
      <c r="B22" t="inlineStr">
        <is>
          <t>→</t>
        </is>
      </c>
      <c r="C22" s="15" t="inlineStr">
        <is>
          <t>Engenheiro: monta o BM do mês</t>
        </is>
      </c>
      <c r="D22" t="inlineStr">
        <is>
          <t>→</t>
        </is>
      </c>
      <c r="E22" s="16" t="inlineStr">
        <is>
          <t>◆ BM aprovado pelo fiscal?</t>
        </is>
      </c>
      <c r="F22" t="inlineStr">
        <is>
          <t>SIM →</t>
        </is>
      </c>
      <c r="G22" s="15" t="inlineStr">
        <is>
          <t>Administrativo: emite a NF (342: até o último dia útil do mês; 343: protocola no 1º dia útil)</t>
        </is>
      </c>
      <c r="H22" t="inlineStr">
        <is>
          <t>→</t>
        </is>
      </c>
      <c r="I22" s="15" t="inlineStr">
        <is>
          <t>Diretoria: confere o crédito em 30 dias (07)</t>
        </is>
      </c>
    </row>
    <row r="23">
      <c r="E23" s="4" t="inlineStr">
        <is>
          <t>NÃO ↓  corrigir a memória de cálculo e reapresentar (06: situação EM ELABORAÇÃO)</t>
        </is>
      </c>
    </row>
    <row r="24"/>
    <row r="25">
      <c r="A25" s="10" t="inlineStr">
        <is>
          <t>COMO FUNCIONA — do custo ao pagamento</t>
        </is>
      </c>
      <c r="B25" s="11" t="n"/>
      <c r="C25" s="11" t="n"/>
      <c r="D25" s="11" t="n"/>
      <c r="E25" s="11" t="n"/>
      <c r="F25" s="11" t="n"/>
      <c r="G25" s="11" t="n"/>
      <c r="H25" s="11" t="n"/>
      <c r="I25" s="11" t="n"/>
      <c r="J25" s="11" t="n"/>
      <c r="K25" s="11" t="n"/>
      <c r="L25" s="11" t="n"/>
    </row>
    <row r="26" ht="50.1" customHeight="1" s="71">
      <c r="A26" s="15" t="inlineStr">
        <is>
          <t>Compra ou folha</t>
        </is>
      </c>
      <c r="B26" t="inlineStr">
        <is>
          <t>→</t>
        </is>
      </c>
      <c r="C26" s="16" t="inlineStr">
        <is>
          <t>◆ Tem obra e conta?</t>
        </is>
      </c>
      <c r="D26" t="inlineStr">
        <is>
          <t>SIM →</t>
        </is>
      </c>
      <c r="E26" s="15" t="inlineStr">
        <is>
          <t>Administrativo: lança na 08 e paga</t>
        </is>
      </c>
      <c r="F26" t="inlineStr">
        <is>
          <t>→</t>
        </is>
      </c>
      <c r="G26" s="15" t="inlineStr">
        <is>
          <t>Diretoria: lê a 08A (desvio por conta)</t>
        </is>
      </c>
    </row>
    <row r="27">
      <c r="C27" s="4" t="inlineStr">
        <is>
          <t>NÃO ↓  não paga sem obra e conta (13. CHECKS acusa)</t>
        </is>
      </c>
    </row>
    <row r="28"/>
    <row r="29" ht="30" customHeight="1" s="71">
      <c r="A29" s="8" t="inlineStr">
        <is>
          <t>OPERAÇÃO (rev1)</t>
        </is>
      </c>
      <c r="B29" s="213" t="inlineStr">
        <is>
          <t>00A CICLO</t>
        </is>
      </c>
      <c r="D29" s="213" t="inlineStr">
        <is>
          <t>CRONOGRAMA</t>
        </is>
      </c>
      <c r="F29" s="213" t="inlineStr">
        <is>
          <t>HISTOGRAMA</t>
        </is>
      </c>
      <c r="H29" s="213" t="inlineStr">
        <is>
          <t>FLUXO PROJETADO</t>
        </is>
      </c>
    </row>
    <row r="30"/>
    <row r="31" ht="30" customHeight="1" s="71">
      <c r="A31" s="8" t="inlineStr">
        <is>
          <t>OPERAÇÃO (rev1)</t>
        </is>
      </c>
      <c r="B31" s="213" t="inlineStr">
        <is>
          <t>DASHBOARD BI</t>
        </is>
      </c>
      <c r="D31" s="213" t="inlineStr">
        <is>
          <t>PAUTA DE SEGUNDA</t>
        </is>
      </c>
      <c r="F31" s="213" t="inlineStr">
        <is>
          <t>LINHA DE BASE</t>
        </is>
      </c>
      <c r="H31" s="213" t="inlineStr">
        <is>
          <t>CHECKS DA OPERAÇÃO</t>
        </is>
      </c>
    </row>
    <row r="32"/>
    <row r="33" ht="30" customHeight="1" s="71">
      <c r="A33" s="8" t="inlineStr">
        <is>
          <t>GESTÃO (rev2)</t>
        </is>
      </c>
      <c r="B33" s="213" t="inlineStr">
        <is>
          <t>01A GESTÃO DA SEMANA</t>
        </is>
      </c>
      <c r="D33" s="213" t="inlineStr">
        <is>
          <t>05A COMPROMISSO</t>
        </is>
      </c>
      <c r="F33" s="213" t="inlineStr">
        <is>
          <t>05B APONTAMENTO</t>
        </is>
      </c>
      <c r="H33" s="213" t="inlineStr">
        <is>
          <t>05C RESTRIÇÕES</t>
        </is>
      </c>
    </row>
    <row r="34"/>
    <row r="35" ht="30" customHeight="1" s="71">
      <c r="A35" s="8" t="inlineStr">
        <is>
          <t>OBRA 281 (rev3)</t>
        </is>
      </c>
      <c r="B35" s="213" t="inlineStr">
        <is>
          <t>08D LANÇAMENTOS 281</t>
        </is>
      </c>
      <c r="D35" s="213" t="inlineStr">
        <is>
          <t>03 CONTRATOS (281)</t>
        </is>
      </c>
    </row>
  </sheetData>
  <hyperlinks>
    <hyperlink ref="B4" location="'01. PAINEL'!A1" display="01 PAINEL"/>
    <hyperlink ref="D4" location="'01C. PLACAR SEMANAL'!A1" display="01C PLACAR SEMANAL"/>
    <hyperlink ref="F4" location="'13. CHECKS'!A1" display="13 CHECKS"/>
    <hyperlink ref="B6" location="'02. PARÂMETROS'!A1" display="02 PARÂMETROS"/>
    <hyperlink ref="D6" location="'03. CONTRATOS'!A1" display="03 CONTRATOS"/>
    <hyperlink ref="F6" location="'04. PLANO DAS OBRAS'!A1" display="04 PLANO DAS OBRAS"/>
    <hyperlink ref="B8" location="'05. SEMANAS'!A1" display="05 SEMANAS"/>
    <hyperlink ref="D8" location="'06. MEDIÇÃO (BM)'!A1" display="06 MEDIÇÃO (BM)"/>
    <hyperlink ref="F8" location="'07. FATURAMENTO E RECEBIMENTO'!A1" display="07 NF E RECEBIMENTO"/>
    <hyperlink ref="H8" location="'08. CUSTOS'!A1" display="08 CUSTOS"/>
    <hyperlink ref="B10" location="'08A. CUSTO POR OBRA'!A1" display="08A CUSTO POR OBRA"/>
    <hyperlink ref="D10" location="'08B. TODAS AS OBRAS'!A1" display="08B TODAS AS OBRAS"/>
    <hyperlink ref="F10" location="'08C. RESULTADO POR OBRA'!A1" display="08C RESULTADO"/>
    <hyperlink ref="H10" location="'10. CAIXA'!A1" display="10 CAIXA"/>
    <hyperlink ref="J10" location="'12. EVM E CURVA S'!A1" display="12 EVM"/>
    <hyperlink ref="B12" location="'00. GUIA'!A1" display="00 GUIA"/>
    <hyperlink ref="D12" location="'14. FONTES'!A1" display="14 FONTES"/>
    <hyperlink ref="F12" location="'15. CHANGELOG'!A1" display="15 CHANGELOG"/>
    <hyperlink ref="B29" location="'00A. CICLO DA OBRA'!A1" display="00A CICLO"/>
    <hyperlink ref="D29" location="'CRONOGRAMA PROJECT'!A1" display="CRONOGRAMA"/>
    <hyperlink ref="F29" location="'HISTOGRAMA PLANEJADO'!A1" display="HISTOGRAMA"/>
    <hyperlink ref="H29" location="'FLUXO PROJETADO TAF'!A1" display="FLUXO PROJETADO"/>
    <hyperlink ref="B31" location="'DASHBOARD BI TAF'!A1" display="DASHBOARD BI"/>
    <hyperlink ref="D31" location="'PAUTA DE SEGUNDA TAF'!A1" display="PAUTA DE SEGUNDA"/>
    <hyperlink ref="F31" location="'LINHA DE BASE TAF'!A1" display="LINHA DE BASE"/>
    <hyperlink ref="H31" location="'CHECKS DA OPERAÇÃO TAF'!A1" display="CHECKS DA OPERAÇÃO"/>
    <hyperlink ref="B33" location="'01A. GESTÃO DA SEMANA'!A1" display="01A GESTÃO DA SEMANA"/>
    <hyperlink ref="D33" location="'05A. COMPROMISSO DA SEMANA'!A1" display="05A COMPROMISSO"/>
    <hyperlink ref="F33" location="'05B. APONTAMENTO DIÁRIO'!A1" display="05B APONTAMENTO"/>
    <hyperlink ref="H33" location="'05C. RESTRIÇÕES'!A1" display="05C RESTRIÇÕES"/>
    <hyperlink ref="B35" location="'08D. LANÇAMENTOS 281'!A1" display="08D LANÇAMENTOS 281"/>
    <hyperlink ref="D35" location="'03. CONTRATOS'!A1" display="03 CONTRATOS (281)"/>
  </hyperlinks>
  <pageMargins left="0.75" right="0.75" top="1" bottom="1" header="0.5" footer="0.5"/>
  <pageSetup orientation="landscape" fitToHeight="0"/>
</worksheet>
</file>

<file path=xl/worksheets/sheet3.xml><?xml version="1.0" encoding="utf-8"?>
<worksheet xmlns="http://schemas.openxmlformats.org/spreadsheetml/2006/main">
  <sheetPr>
    <tabColor rgb="FF2E8B99"/>
    <outlinePr summaryBelow="1" summaryRight="1"/>
    <pageSetUpPr fitToPage="1"/>
  </sheetPr>
  <dimension ref="A1:G23"/>
  <sheetViews>
    <sheetView showGridLines="0" tabSelected="1" workbookViewId="0">
      <selection activeCell="A1" sqref="A1"/>
    </sheetView>
  </sheetViews>
  <sheetFormatPr baseColWidth="8" defaultRowHeight="12.75"/>
  <cols>
    <col width="26.7109375" customWidth="1" style="73" min="1" max="1"/>
    <col width="40.7109375" customWidth="1" style="73" min="2" max="2"/>
    <col width="24.7109375" customWidth="1" style="73" min="3" max="4"/>
    <col width="26.7109375" customWidth="1" style="73" min="5" max="5"/>
    <col width="62.7109375" customWidth="1" style="73" min="6" max="7"/>
    <col width="9.140625" customWidth="1" style="73" min="8" max="16384"/>
  </cols>
  <sheetData>
    <row r="1" ht="24" customHeight="1" s="71"/>
    <row r="2" ht="20.25" customHeight="1" s="71">
      <c r="A2" s="74" t="inlineStr">
        <is>
          <t>CICLO DA OBRA: do orçamento ao caixa, na ordem</t>
        </is>
      </c>
    </row>
    <row r="3">
      <c r="A3" s="75" t="inlineStr">
        <is>
          <t>Siga a ordem. Cada etapa lê a anterior. As duas últimas colunas mostram a situação de cada obra agora (fórmulas).</t>
        </is>
      </c>
    </row>
    <row r="4"/>
    <row r="5" ht="24" customHeight="1" s="71">
      <c r="A5" s="88" t="inlineStr">
        <is>
          <t>Etapa</t>
        </is>
      </c>
      <c r="B5" s="88" t="inlineStr">
        <is>
          <t>O que responde</t>
        </is>
      </c>
      <c r="C5" s="88" t="inlineStr">
        <is>
          <t>Quem</t>
        </is>
      </c>
      <c r="D5" s="88" t="inlineStr">
        <is>
          <t>Quando</t>
        </is>
      </c>
      <c r="E5" s="88" t="inlineStr">
        <is>
          <t>Onde (clique)</t>
        </is>
      </c>
      <c r="F5" s="88" t="inlineStr">
        <is>
          <t>342 agora</t>
        </is>
      </c>
      <c r="G5" s="88" t="inlineStr">
        <is>
          <t>343 agora</t>
        </is>
      </c>
    </row>
    <row r="6" ht="44.1" customHeight="1" s="71">
      <c r="A6" s="208" t="inlineStr">
        <is>
          <t>1. Viabilidade e orçamento</t>
        </is>
      </c>
      <c r="B6" s="209" t="inlineStr">
        <is>
          <t>A obra cabe no contrato? Qual o custo previsto?</t>
        </is>
      </c>
      <c r="C6" s="209" t="inlineStr">
        <is>
          <t>Diretoria</t>
        </is>
      </c>
      <c r="D6" s="209" t="inlineStr">
        <is>
          <t>Antes de assinar; revisar se o contrato mudar</t>
        </is>
      </c>
      <c r="E6" s="210" t="inlineStr">
        <is>
          <t>FLUXO PROJETADO TAF</t>
        </is>
      </c>
      <c r="F6" s="211" t="str">
        <f>"Contrato R$ "&amp;FIXED('03. CONTRATOS'!$B$8,0)&amp;" · saídas previstas R$ "&amp;FIXED('FLUXO PROJETADO TAF'!$S$32,0)&amp;" · o estudo interno estima resultado após tributos de R$ "&amp;FIXED('FLUXO PROJETADO TAF'!$C$19,0)</f>
        <v>Contrato R$ 3,258,000 · saídas previstas R$ 3,212,459 · o estudo interno estima resultado após tributos de R$ -231,416</v>
      </c>
      <c r="G6" s="211" t="str">
        <f>"Contrato R$ "&amp;FIXED('03. CONTRATOS'!$D$8,0)&amp;" · custo previsto R$ "&amp;FIXED('04. PLANO DAS OBRAS'!$D$30,0)&amp;" · o estudo interno estima resultado após tributos de R$ "&amp;FIXED('04. PLANO DAS OBRAS'!$D$31,0)&amp;IF(AND(ABS(N('04. PLANO DAS OBRAS'!$D$30)-N('04. PLANO DAS OBRAS'!$S$24)-N('13. CHECKS'!$E$16))&gt;1,ABS(N('04. PLANO DAS OBRAS'!$D$30)-N('04. PLANO DAS OBRAS'!$S$24))&gt;1)," (custo sem conferência na 04)",IF(ABS(N('04. PLANO DAS OBRAS'!$D$30)-N('04. PLANO DAS OBRAS'!$S$24))&gt;1," (o caixa ainda não tem R$ "&amp;FIXED(N('04. PLANO DAS OBRAS'!$D$30)-N('04. PLANO DAS OBRAS'!$S$24),0)&amp;" desse custo: 05C R101)",""))</f>
        <v>Contrato R$ 5,226,634 · custo previsto R$ 3,702,036 · o estudo interno estima resultado após tributos de R$ 1,080,334 (o caixa ainda não tem R$ 96,418 desse custo: 05C R101)</v>
      </c>
    </row>
    <row r="7" ht="44.1" customHeight="1" s="71">
      <c r="A7" s="208" t="inlineStr">
        <is>
          <t>2. Cronograma</t>
        </is>
      </c>
      <c r="B7" s="209" t="inlineStr">
        <is>
          <t>Quais etapas, em que datas, em que ordem? O que é crítico?</t>
        </is>
      </c>
      <c r="C7" s="209" t="inlineStr">
        <is>
          <t>Planejador e engenheiro residente</t>
        </is>
      </c>
      <c r="D7" s="209" t="inlineStr">
        <is>
          <t>No início; revisar todo mês</t>
        </is>
      </c>
      <c r="E7" s="210" t="inlineStr">
        <is>
          <t>CRONOGRAMA PROJECT</t>
        </is>
      </c>
      <c r="F7" s="211" t="str">
        <f>"Etapas: "&amp;COUNTIFS('CRONOGRAMA PROJECT'!$B$7:$B$27,"342",'CRONOGRAMA PROJECT'!$BV$7:$BV$27,"Contrato")&amp;" · "&amp;TEXT(DAY(_xlfn.MINIFS('CRONOGRAMA PROJECT'!$D$7:$D$27,'CRONOGRAMA PROJECT'!$BW$7:$BW$27,"342")),"00")&amp;"/"&amp;TEXT(MONTH(_xlfn.MINIFS('CRONOGRAMA PROJECT'!$D$7:$D$27,'CRONOGRAMA PROJECT'!$BW$7:$BW$27,"342")),"00")&amp;"/"&amp;RIGHT(YEAR(_xlfn.MINIFS('CRONOGRAMA PROJECT'!$D$7:$D$27,'CRONOGRAMA PROJECT'!$BW$7:$BW$27,"342")),2)&amp;" a "&amp;TEXT(DAY(_xlfn.MAXIFS('CRONOGRAMA PROJECT'!$E$7:$E$27,'CRONOGRAMA PROJECT'!$BW$7:$BW$27,"342")),"00")&amp;"/"&amp;TEXT(MONTH(_xlfn.MAXIFS('CRONOGRAMA PROJECT'!$E$7:$E$27,'CRONOGRAMA PROJECT'!$BW$7:$BW$27,"342")),"00")&amp;"/"&amp;RIGHT(YEAR(_xlfn.MAXIFS('CRONOGRAMA PROJECT'!$E$7:$E$27,'CRONOGRAMA PROJECT'!$BW$7:$BW$27,"342")),2)&amp;" · sem predecessora: "&amp;COUNTIFS('CRONOGRAMA PROJECT'!$B$7:$B$27,"342",'CRONOGRAMA PROJECT'!$BV$7:$BV$27,"Contrato",'CRONOGRAMA PROJECT'!$G$7:$G$27,"",'CRONOGRAMA PROJECT'!$H$7:$H$27,"",'CRONOGRAMA PROJECT'!$I$7:$I$27,"")</f>
        <v>Etapas: 11 · 03/09/26 a 27/08/27 · sem predecessora: 11</v>
      </c>
      <c r="G7" s="211" t="str">
        <f>"Etapas: "&amp;COUNTIFS('CRONOGRAMA PROJECT'!$B$7:$B$27,"343",'CRONOGRAMA PROJECT'!$BV$7:$BV$27,"Contrato")&amp;" · "&amp;TEXT(DAY(_xlfn.MINIFS('CRONOGRAMA PROJECT'!$D$7:$D$27,'CRONOGRAMA PROJECT'!$BW$7:$BW$27,"343")),"00")&amp;"/"&amp;TEXT(MONTH(_xlfn.MINIFS('CRONOGRAMA PROJECT'!$D$7:$D$27,'CRONOGRAMA PROJECT'!$BW$7:$BW$27,"343")),"00")&amp;"/"&amp;RIGHT(YEAR(_xlfn.MINIFS('CRONOGRAMA PROJECT'!$D$7:$D$27,'CRONOGRAMA PROJECT'!$BW$7:$BW$27,"343")),2)&amp;" a "&amp;TEXT(DAY(_xlfn.MAXIFS('CRONOGRAMA PROJECT'!$E$7:$E$27,'CRONOGRAMA PROJECT'!$BW$7:$BW$27,"343")),"00")&amp;"/"&amp;TEXT(MONTH(_xlfn.MAXIFS('CRONOGRAMA PROJECT'!$E$7:$E$27,'CRONOGRAMA PROJECT'!$BW$7:$BW$27,"343")),"00")&amp;"/"&amp;RIGHT(YEAR(_xlfn.MAXIFS('CRONOGRAMA PROJECT'!$E$7:$E$27,'CRONOGRAMA PROJECT'!$BW$7:$BW$27,"343")),2)&amp;" · sem predecessora: "&amp;COUNTIFS('CRONOGRAMA PROJECT'!$B$7:$B$27,"343",'CRONOGRAMA PROJECT'!$BV$7:$BV$27,"Contrato",'CRONOGRAMA PROJECT'!$G$7:$G$27,"",'CRONOGRAMA PROJECT'!$H$7:$H$27,"",'CRONOGRAMA PROJECT'!$I$7:$I$27,"")</f>
        <v>Etapas: 5 · 01/09/26 a 31/05/27 · sem predecessora: 5</v>
      </c>
    </row>
    <row r="8" ht="44.1" customHeight="1" s="71">
      <c r="A8" s="208" t="inlineStr">
        <is>
          <t>3. Restrições e lookahead</t>
        </is>
      </c>
      <c r="B8" s="209" t="inlineStr">
        <is>
          <t>O que falta para liberar as próximas 6 semanas?</t>
        </is>
      </c>
      <c r="C8" s="209" t="inlineStr">
        <is>
          <t>Engenheiro residente</t>
        </is>
      </c>
      <c r="D8" s="209" t="inlineStr">
        <is>
          <t>Sexta</t>
        </is>
      </c>
      <c r="E8" s="210" t="inlineStr">
        <is>
          <t>PAUTA DE SEGUNDA TAF</t>
        </is>
      </c>
      <c r="F8" s="211" t="str">
        <f>"Começam em 42 dias: "&amp;COUNTIFS('CRONOGRAMA PROJECT'!$B$7:$B$27,"342",'CRONOGRAMA PROJECT'!$BV$7:$BV$27,"Contrato",'CRONOGRAMA PROJECT'!$D$7:$D$27,"&gt;"&amp;DATA_GESTAO,'CRONOGRAMA PROJECT'!$D$7:$D$27,"&lt;="&amp;DATA_GESTAO+42)&amp;" · críticas: "&amp;IF(COUNTIFS('CRONOGRAMA PROJECT'!$B$7:$B$27,"342",'CRONOGRAMA PROJECT'!$N$7:$N$27,"sem rede")=COUNTIFS('CRONOGRAMA PROJECT'!$B$7:$B$27,"342"),"sem rede",COUNTIFS('CRONOGRAMA PROJECT'!$B$7:$B$27,"342",'CRONOGRAMA PROJECT'!$N$7:$N$27,"CRÍTICA")&amp;IF(COUNTIFS('CRONOGRAMA PROJECT'!$B$7:$B$27,"342",'CRONOGRAMA PROJECT'!$N$7:$N$27,"sem rede")&gt;0," ("&amp;COUNTIFS('CRONOGRAMA PROJECT'!$B$7:$B$27,"342",'CRONOGRAMA PROJECT'!$N$7:$N$27,"sem rede")&amp;" sem rede)",""))&amp;" · ocorrências e pendências do cliente: "&amp;IF(COUNTIFS('05. SEMANAS'!$A$5:$A$64,'02. PARÂMETROS'!$B$5,'05. SEMANAS'!$B$5:$B$64,"342")=0,"sem lançamento",'01C. PLACAR SEMANAL'!C11)</f>
        <v>Começam em 42 dias: 5 · críticas: sem rede · ocorrências e pendências do cliente: 56</v>
      </c>
      <c r="G8" s="211" t="str">
        <f>"Começam em 42 dias: "&amp;COUNTIFS('CRONOGRAMA PROJECT'!$B$7:$B$27,"343",'CRONOGRAMA PROJECT'!$BV$7:$BV$27,"Contrato",'CRONOGRAMA PROJECT'!$D$7:$D$27,"&gt;"&amp;DATA_GESTAO,'CRONOGRAMA PROJECT'!$D$7:$D$27,"&lt;="&amp;DATA_GESTAO+42)&amp;" · críticas: "&amp;IF(COUNTIFS('CRONOGRAMA PROJECT'!$B$7:$B$27,"343",'CRONOGRAMA PROJECT'!$N$7:$N$27,"sem rede")=COUNTIFS('CRONOGRAMA PROJECT'!$B$7:$B$27,"343"),"sem rede",COUNTIFS('CRONOGRAMA PROJECT'!$B$7:$B$27,"343",'CRONOGRAMA PROJECT'!$N$7:$N$27,"CRÍTICA")&amp;IF(COUNTIFS('CRONOGRAMA PROJECT'!$B$7:$B$27,"343",'CRONOGRAMA PROJECT'!$N$7:$N$27,"sem rede")&gt;0," ("&amp;COUNTIFS('CRONOGRAMA PROJECT'!$B$7:$B$27,"343",'CRONOGRAMA PROJECT'!$N$7:$N$27,"sem rede")&amp;" sem rede)",""))&amp;" · ocorrências e pendências do cliente: "&amp;IF(COUNTIFS('05. SEMANAS'!$A$5:$A$64,'02. PARÂMETROS'!$B$5,'05. SEMANAS'!$B$5:$B$64,"343")=0,"sem lançamento",'01C. PLACAR SEMANAL'!D11)</f>
        <v>Começam em 42 dias: 0 · críticas: sem rede · ocorrências e pendências do cliente: 11</v>
      </c>
    </row>
    <row r="9" ht="44.1" customHeight="1" s="71">
      <c r="A9" s="208" t="inlineStr">
        <is>
          <t>4. Plano semanal</t>
        </is>
      </c>
      <c r="B9" s="209" t="inlineStr">
        <is>
          <t>Quanto cada equipe promete entregar na semana?</t>
        </is>
      </c>
      <c r="C9" s="209" t="inlineStr">
        <is>
          <t>Engenheiro com encarregados</t>
        </is>
      </c>
      <c r="D9" s="209" t="inlineStr">
        <is>
          <t>Sexta</t>
        </is>
      </c>
      <c r="E9" s="210" t="inlineStr">
        <is>
          <t>05A. COMPROMISSO DA SEMANA</t>
        </is>
      </c>
      <c r="F9" s="211" t="str">
        <f>"PPC da semana: "&amp;IF(COUNTIFS('05. SEMANAS'!$A$5:$A$64,'02. PARÂMETROS'!$B$5,'05. SEMANAS'!$B$5:$B$64,"342")=0,"sem lançamento",TEXT('01C. PLACAR SEMANAL'!C9,"0%"))</f>
        <v>PPC da semana: sem compromisso</v>
      </c>
      <c r="G9" s="211" t="str">
        <f>"PPC da semana: "&amp;IF(COUNTIFS('05. SEMANAS'!$A$5:$A$64,'02. PARÂMETROS'!$B$5,'05. SEMANAS'!$B$5:$B$64,"343")=0,"sem lançamento",TEXT('01C. PLACAR SEMANAL'!D9,"0%"))</f>
        <v>PPC da semana: sem compromisso</v>
      </c>
    </row>
    <row r="10" ht="44.1" customHeight="1" s="71">
      <c r="A10" s="208" t="inlineStr">
        <is>
          <t>5. Controle diário</t>
        </is>
      </c>
      <c r="B10" s="209" t="inlineStr">
        <is>
          <t>O que foi feito hoje, com que gente?</t>
        </is>
      </c>
      <c r="C10" s="209" t="inlineStr">
        <is>
          <t>Encarregado e apontador</t>
        </is>
      </c>
      <c r="D10" s="209" t="inlineStr">
        <is>
          <t>Todo dia</t>
        </is>
      </c>
      <c r="E10" s="210" t="inlineStr">
        <is>
          <t>05B. APONTAMENTO DIÁRIO</t>
        </is>
      </c>
      <c r="F10" s="211" t="str">
        <f>"Apontamentos ÷ dias úteis: "&amp;IF(COUNTIFS('05. SEMANAS'!$A$5:$A$64,'02. PARÂMETROS'!$B$5,'05. SEMANAS'!$B$5:$B$64,"342")=0,"sem lançamento",TEXT('01C. PLACAR SEMANAL'!C10,"0%"))&amp;" · efetivo ÷ previsto: "&amp;IF(COUNTIFS('05. SEMANAS'!$A$5:$A$64,'02. PARÂMETROS'!$B$5,'05. SEMANAS'!$B$5:$B$64,"342")=0,"sem lançamento",TEXT('01C. PLACAR SEMANAL'!C8,"0%"))</f>
        <v>Apontamentos ÷ dias úteis: 0% · efetivo ÷ previsto: sem apontamento</v>
      </c>
      <c r="G10" s="211" t="str">
        <f>"Apontamentos ÷ dias úteis: "&amp;IF(COUNTIFS('05. SEMANAS'!$A$5:$A$64,'02. PARÂMETROS'!$B$5,'05. SEMANAS'!$B$5:$B$64,"343")=0,"sem lançamento",TEXT('01C. PLACAR SEMANAL'!D10,"0%"))&amp;" · efetivo ÷ previsto: "&amp;IF(COUNTIFS('05. SEMANAS'!$A$5:$A$64,'02. PARÂMETROS'!$B$5,'05. SEMANAS'!$B$5:$B$64,"343")=0,"sem lançamento",TEXT('01C. PLACAR SEMANAL'!D8,"0%"))</f>
        <v>Apontamentos ÷ dias úteis: 0% · efetivo ÷ previsto: sem apontamento</v>
      </c>
    </row>
    <row r="11" ht="44.1" customHeight="1" s="71">
      <c r="A11" s="208" t="inlineStr">
        <is>
          <t>6. Histograma</t>
        </is>
      </c>
      <c r="B11" s="209" t="inlineStr">
        <is>
          <t>Quanta gente por mês e por semana, previsto x real?</t>
        </is>
      </c>
      <c r="C11" s="209" t="inlineStr">
        <is>
          <t>Engenheiro residente</t>
        </is>
      </c>
      <c r="D11" s="209" t="inlineStr">
        <is>
          <t>Semanal (olhar)</t>
        </is>
      </c>
      <c r="E11" s="210" t="inlineStr">
        <is>
          <t>HISTOGRAMA PLANEJADO</t>
        </is>
      </c>
      <c r="F11" s="211" t="str">
        <f>"Previsto no mês do corte: pico "&amp;FIXED(INDEX('HISTOGRAMA PLANEJADO'!$B$8:$B$23,MATCH(DATE(YEAR(DATA_GESTAO),MONTH(DATA_GESTAO),1),'HISTOGRAMA PLANEJADO'!$A$8:$A$23,0)),0)&amp;" pessoas · realizado: "&amp;IF(ISNUMBER(INDEX('HISTOGRAMA PLANEJADO'!$I$8:$I$23,MATCH(DATE(YEAR(DATA_GESTAO),MONTH(DATA_GESTAO),1),'HISTOGRAMA PLANEJADO'!$A$8:$A$23,0))),"lançado","sem lançamento")</f>
        <v>Previsto no mês do corte: pico 23 pessoas · realizado: sem lançamento</v>
      </c>
      <c r="G11" s="211" t="str">
        <f>"Previsto no mês do corte: pico "&amp;FIXED(INDEX('HISTOGRAMA PLANEJADO'!$B$29:$B$44,MATCH(DATE(YEAR(DATA_GESTAO),MONTH(DATA_GESTAO),1),'HISTOGRAMA PLANEJADO'!$A$29:$A$44,0)),0)&amp;" pessoas · realizado: "&amp;IF(ISNUMBER(INDEX('HISTOGRAMA PLANEJADO'!$I$29:$I$44,MATCH(DATE(YEAR(DATA_GESTAO),MONTH(DATA_GESTAO),1),'HISTOGRAMA PLANEJADO'!$A$29:$A$44,0))),"lançado","sem lançamento")</f>
        <v>Previsto no mês do corte: pico 11 pessoas · realizado: sem lançamento</v>
      </c>
    </row>
    <row r="12" ht="44.1" customHeight="1" s="71">
      <c r="A12" s="208" t="inlineStr">
        <is>
          <t>7. Medição</t>
        </is>
      </c>
      <c r="B12" s="209" t="inlineStr">
        <is>
          <t>O que foi feito já virou BM e dinheiro?</t>
        </is>
      </c>
      <c r="C12" s="209" t="inlineStr">
        <is>
          <t>Engenheiro e administrativo</t>
        </is>
      </c>
      <c r="D12" s="209" t="inlineStr">
        <is>
          <t>Fechamento do mês</t>
        </is>
      </c>
      <c r="E12" s="210" t="inlineStr">
        <is>
          <t>06. MEDIÇÃO (BM)</t>
        </is>
      </c>
      <c r="F12" s="211" t="str">
        <f>"Medido até o corte: "&amp;IF(COUNTIFS('06. MEDIÇÃO (BM)'!$B$5:$B$44,"342",'06. MEDIÇÃO (BM)'!$G$5:$G$44,"&lt;&gt;")=0,"sem lançamento","R$ "&amp;FIXED('08B. TODAS AS OBRAS'!C5,0)&amp;" ("&amp;TEXT('08B. TODAS AS OBRAS'!D5,"0%")&amp;" do contrato)")&amp;" · previsto até o último BM fechado R$ "&amp;FIXED('08B. TODAS AS OBRAS'!E5,0)</f>
        <v>Medido até o corte: sem lançamento · previsto até o último BM fechado R$ 0</v>
      </c>
      <c r="G12" s="211" t="str">
        <f>"Medido até o corte: "&amp;IF(COUNTIFS('06. MEDIÇÃO (BM)'!$B$5:$B$44,"343",'06. MEDIÇÃO (BM)'!$G$5:$G$44,"&lt;&gt;")=0,"sem lançamento","R$ "&amp;FIXED('08B. TODAS AS OBRAS'!C6,0)&amp;" ("&amp;TEXT('08B. TODAS AS OBRAS'!D6,"0%")&amp;" do contrato)")&amp;" · previsto até o último BM fechado R$ "&amp;FIXED('08B. TODAS AS OBRAS'!E6,0)</f>
        <v>Medido até o corte: sem lançamento · previsto até o último BM fechado R$ 0</v>
      </c>
    </row>
    <row r="13" ht="44.1" customHeight="1" s="71">
      <c r="A13" s="208" t="inlineStr">
        <is>
          <t>8. Custo</t>
        </is>
      </c>
      <c r="B13" s="209" t="inlineStr">
        <is>
          <t>Quanto custou, por obra e mês, contra o previsto?</t>
        </is>
      </c>
      <c r="C13" s="209" t="inlineStr">
        <is>
          <t>Administrativo</t>
        </is>
      </c>
      <c r="D13" s="209" t="inlineStr">
        <is>
          <t>Todo pagamento; fechamento do mês</t>
        </is>
      </c>
      <c r="E13" s="210" t="inlineStr">
        <is>
          <t>08. CUSTOS</t>
        </is>
      </c>
      <c r="F13" s="211" t="str">
        <f>"Custo lançado até o corte: "&amp;IF(COUNTIFS('08. CUSTOS'!$C$5:$C$404,"342",'08. CUSTOS'!$F$5:$F$404,"&lt;&gt;")=0,"sem lançamento","R$ "&amp;FIXED('08B. TODAS AS OBRAS'!G5,0))&amp;" · previsto até o corte R$ "&amp;FIXED('08B. TODAS AS OBRAS'!H5,0)</f>
        <v>Custo lançado até o corte: sem lançamento · previsto até o corte R$ 29,526</v>
      </c>
      <c r="G13" s="211" t="str">
        <f>"Custo lançado até o corte: "&amp;IF(COUNTIFS('08. CUSTOS'!$C$5:$C$404,"343",'08. CUSTOS'!$F$5:$F$404,"&lt;&gt;")=0,"sem lançamento","R$ "&amp;FIXED('08B. TODAS AS OBRAS'!G6,0))&amp;" · previsto até o corte R$ "&amp;FIXED('08B. TODAS AS OBRAS'!H6,0)</f>
        <v>Custo lançado até o corte: sem lançamento · previsto até o corte R$ 820,643</v>
      </c>
    </row>
    <row r="14" ht="44.1" customHeight="1" s="71">
      <c r="A14" s="208" t="inlineStr">
        <is>
          <t>9. Caixa</t>
        </is>
      </c>
      <c r="B14" s="209" t="inlineStr">
        <is>
          <t>Quanto entra e sai; qual o pior saldo e quando?</t>
        </is>
      </c>
      <c r="C14" s="209" t="inlineStr">
        <is>
          <t>Diretoria e administrativo</t>
        </is>
      </c>
      <c r="D14" s="209" t="inlineStr">
        <is>
          <t>Segunda</t>
        </is>
      </c>
      <c r="E14" s="210" t="inlineStr">
        <is>
          <t>FLUXO PROJETADO TAF</t>
        </is>
      </c>
      <c r="F14" s="211" t="str">
        <f>"Pior saldo previsto R$ "&amp;FIXED('FLUXO PROJETADO TAF'!$C$14,0)&amp;" em "&amp;CHOOSE(MONTH('FLUXO PROJETADO TAF'!$C$15),"jan","fev","mar","abr","mai","jun","jul","ago","set","out","nov","dez")&amp;"/"&amp;RIGHT(YEAR('FLUXO PROJETADO TAF'!$C$15),2)&amp;" · capital R$ "&amp;FIXED('FLUXO PROJETADO TAF'!$C$16,0)</f>
        <v>Pior saldo previsto R$ -1,151,142 em fev/27 · capital R$ 1,323,813</v>
      </c>
      <c r="G14" s="211" t="str">
        <f>"Pior saldo previsto R$ "&amp;FIXED('FLUXO PROJETADO TAF'!$D$14,0)&amp;" em "&amp;CHOOSE(MONTH('FLUXO PROJETADO TAF'!$D$15),"jan","fev","mar","abr","mai","jun","jul","ago","set","out","nov","dez")&amp;"/"&amp;RIGHT(YEAR('FLUXO PROJETADO TAF'!$D$15),2)&amp;" · capital R$ "&amp;FIXED('FLUXO PROJETADO TAF'!$D$16,0)</f>
        <v>Pior saldo previsto R$ -1,401,326 em nov/26 · capital R$ 1,611,524</v>
      </c>
    </row>
    <row r="15" ht="44.1" customHeight="1" s="71">
      <c r="A15" s="208" t="inlineStr">
        <is>
          <t>10. Placar</t>
        </is>
      </c>
      <c r="B15" s="209" t="inlineStr">
        <is>
          <t>Cumprimos? IDP, custo, PPC, adoção do apontamento.</t>
        </is>
      </c>
      <c r="C15" s="209" t="inlineStr">
        <is>
          <t>Diretoria</t>
        </is>
      </c>
      <c r="D15" s="209" t="inlineStr">
        <is>
          <t>Segunda</t>
        </is>
      </c>
      <c r="E15" s="210" t="inlineStr">
        <is>
          <t>01C. PLACAR SEMANAL</t>
        </is>
      </c>
      <c r="F15" s="211" t="str">
        <f>"IDP: "&amp;IF(COUNTIFS('06. MEDIÇÃO (BM)'!$B$5:$B$44,"342",'06. MEDIÇÃO (BM)'!$G$5:$G$44,"&lt;&gt;")=0,"sem lançamento",IF('08B. TODAS AS OBRAS'!E5=0,"previsto zero",TEXT('08B. TODAS AS OBRAS'!C5/'08B. TODAS AS OBRAS'!E5,"0,00")))&amp;" · custo ÷ previsto: "&amp;IF(COUNTIFS('08. CUSTOS'!$C$5:$C$404,"342",'08. CUSTOS'!$F$5:$F$404,"&lt;&gt;")=0,"sem lançamento",TEXT(IFERROR('08B. TODAS AS OBRAS'!G5/'08B. TODAS AS OBRAS'!H5,0),"0,00"))</f>
        <v>IDP: sem lançamento · custo ÷ previsto: sem lançamento</v>
      </c>
      <c r="G15" s="211" t="str">
        <f>"IDP: "&amp;IF(COUNTIFS('06. MEDIÇÃO (BM)'!$B$5:$B$44,"343",'06. MEDIÇÃO (BM)'!$G$5:$G$44,"&lt;&gt;")=0,"sem lançamento",IF('08B. TODAS AS OBRAS'!E6=0,"previsto zero",TEXT('08B. TODAS AS OBRAS'!C6/'08B. TODAS AS OBRAS'!E6,"0,00")))&amp;" · custo ÷ previsto: "&amp;IF(COUNTIFS('08. CUSTOS'!$C$5:$C$404,"343",'08. CUSTOS'!$F$5:$F$404,"&lt;&gt;")=0,"sem lançamento",TEXT(IFERROR('08B. TODAS AS OBRAS'!G6/'08B. TODAS AS OBRAS'!H6,0),"0,00"))</f>
        <v>IDP: sem lançamento · custo ÷ previsto: sem lançamento</v>
      </c>
    </row>
    <row r="16" ht="44.1" customHeight="1" s="71">
      <c r="A16" s="208" t="inlineStr">
        <is>
          <t>11. Decisão</t>
        </is>
      </c>
      <c r="B16" s="209" t="inlineStr">
        <is>
          <t>Qual a decisão, com dono e prazo?</t>
        </is>
      </c>
      <c r="C16" s="209" t="inlineStr">
        <is>
          <t>Diretoria e engenheiro</t>
        </is>
      </c>
      <c r="D16" s="209" t="inlineStr">
        <is>
          <t>Segunda, 90 minutos</t>
        </is>
      </c>
      <c r="E16" s="210" t="inlineStr">
        <is>
          <t>PAUTA DE SEGUNDA TAF</t>
        </is>
      </c>
      <c r="F16" s="211" t="str">
        <f>"Decisões abertas na pauta (proposta, aberta ou aprovada): "&amp;(COUNTIF('PAUTA DE SEGUNDA TAF'!$D$64:$D$77,"PROPOSTA")+COUNTIF('PAUTA DE SEGUNDA TAF'!$D$64:$D$77,"ABERTA")+COUNTIF('PAUTA DE SEGUNDA TAF'!$D$64:$D$77,"APROVADA"))&amp;" (342, 343 e 281)"</f>
        <v>Decisões abertas na pauta (proposta, aberta ou aprovada): 14 (342, 343 e 281)</v>
      </c>
      <c r="G16" s="211" t="str">
        <f>"Decisões abertas na pauta (proposta, aberta ou aprovada): "&amp;(COUNTIF('PAUTA DE SEGUNDA TAF'!$D$64:$D$77,"PROPOSTA")+COUNTIF('PAUTA DE SEGUNDA TAF'!$D$64:$D$77,"ABERTA")+COUNTIF('PAUTA DE SEGUNDA TAF'!$D$64:$D$77,"APROVADA"))&amp;" (342, 343 e 281)"</f>
        <v>Decisões abertas na pauta (proposta, aberta ou aprovada): 14 (342, 343 e 281)</v>
      </c>
    </row>
    <row r="17"/>
    <row r="18"/>
    <row r="19" ht="15.75" customHeight="1" s="71">
      <c r="A19" s="212" t="inlineStr">
        <is>
          <t>ROTINA</t>
        </is>
      </c>
    </row>
    <row r="20" ht="30" customHeight="1" s="71">
      <c r="A20" s="81" t="inlineStr">
        <is>
          <t>Todo dia</t>
        </is>
      </c>
      <c r="B20" s="173" t="inlineStr">
        <is>
          <t>Encarregado manda o apontamento e a foto; o apontador confere. Escalar se o ritmo cair 2 dias seguidos (roteiros diários por obra).</t>
        </is>
      </c>
    </row>
    <row r="21" ht="30" customHeight="1" s="71">
      <c r="A21" s="81" t="inlineStr">
        <is>
          <t>Sexta</t>
        </is>
      </c>
      <c r="B21" s="173" t="inlineStr">
        <is>
          <t>Engenheiro residente: restrições das próximas 6 semanas na 05C e compromisso da próxima semana confirmado na 05A (o PPC sai sozinho na 05. SEMANAS).</t>
        </is>
      </c>
    </row>
    <row r="22" ht="30" customHeight="1" s="71">
      <c r="A22" s="81" t="inlineStr">
        <is>
          <t>Segunda</t>
        </is>
      </c>
      <c r="B22" s="173" t="inlineStr">
        <is>
          <t>Mudar a data de corte (02), conferir o apontamento da semana (05B), ler as luzes (01A), o placar (01C), a PAUTA DE SEGUNDA TAF e o MASTER CHECK (13). Uma decisão por obra, com dono e prazo.</t>
        </is>
      </c>
    </row>
    <row r="23" ht="30" customHeight="1" s="71">
      <c r="A23" s="81" t="inlineStr">
        <is>
          <t>Fim do mês</t>
        </is>
      </c>
      <c r="B23" s="173" t="inlineStr">
        <is>
          <t>Lançar o BM (06), a NF (07) e os custos pagos (08); lançar o % físico das etapas na coluna J do CRONOGRAMA PROJECT (a 12. EVM calcula o valor agregado a custo); conferir a LINHA DE BASE TAF.</t>
        </is>
      </c>
    </row>
  </sheetData>
  <mergeCells count="4">
    <mergeCell ref="B22:G22"/>
    <mergeCell ref="B21:G21"/>
    <mergeCell ref="B20:G20"/>
    <mergeCell ref="B23:G23"/>
  </mergeCells>
  <hyperlinks>
    <hyperlink ref="E6" location="'FLUXO PROJETADO TAF'!A1" display="FLUXO PROJETADO TAF"/>
    <hyperlink ref="E7" location="'CRONOGRAMA PROJECT'!A1" display="CRONOGRAMA PROJECT"/>
    <hyperlink ref="E8" location="'PAUTA DE SEGUNDA TAF'!A1" display="PAUTA DE SEGUNDA TAF"/>
    <hyperlink ref="E9" location="'05A. COMPROMISSO DA SEMANA'!A1" display="05A. COMPROMISSO DA SEMANA"/>
    <hyperlink ref="E10" location="'05B. APONTAMENTO DIÁRIO'!A1" display="05B. APONTAMENTO DIÁRIO"/>
    <hyperlink ref="E11" location="'HISTOGRAMA PLANEJADO'!A1" display="HISTOGRAMA PLANEJADO"/>
    <hyperlink ref="E12" location="'06. MEDIÇÃO (BM)'!A1" display="06. MEDIÇÃO (BM)"/>
    <hyperlink ref="E13" location="'08. CUSTOS'!A1" display="08. CUSTOS"/>
    <hyperlink ref="E14" location="'FLUXO PROJETADO TAF'!A1" display="FLUXO PROJETADO TAF"/>
    <hyperlink ref="E15" location="'01C. PLACAR SEMANAL'!A1" display="01C. PLACAR SEMANAL"/>
    <hyperlink ref="E16" location="'PAUTA DE SEGUNDA TAF'!A1" display="PAUTA DE SEGUNDA TAF"/>
  </hyperlinks>
  <pageMargins left="0.3888888888888889" right="0.3888888888888889" top="0.3888888888888889" bottom="0.3888888888888889" header="0.31496062" footer="0.31496062"/>
  <pageSetup orientation="landscape" paperSize="8" scale="75"/>
  <drawing xmlns:r="http://schemas.openxmlformats.org/officeDocument/2006/relationships" r:id="rIdDrw1"/>
</worksheet>
</file>

<file path=xl/worksheets/sheet4.xml><?xml version="1.0" encoding="utf-8"?>
<worksheet xmlns="http://schemas.openxmlformats.org/spreadsheetml/2006/main">
  <sheetPr>
    <tabColor rgb="FF2E8B99"/>
    <outlinePr summaryBelow="1" summaryRight="1"/>
    <pageSetUpPr fitToPage="1"/>
  </sheetPr>
  <dimension ref="A1:CA122"/>
  <sheetViews>
    <sheetView showGridLines="0" workbookViewId="0">
      <pane xSplit="3" ySplit="6" topLeftCell="D7" activePane="bottomRight" state="frozen"/>
      <selection pane="topRight" activeCell="D1" sqref="D1"/>
      <selection pane="bottomLeft" activeCell="A7" sqref="A7"/>
      <selection pane="bottomRight" activeCell="A1" sqref="A1"/>
    </sheetView>
  </sheetViews>
  <sheetFormatPr baseColWidth="8" defaultRowHeight="12.75"/>
  <cols>
    <col width="9.7109375" customWidth="1" style="73" min="1" max="1"/>
    <col width="6.7109375" customWidth="1" style="73" min="2" max="2"/>
    <col width="52.7109375" customWidth="1" style="73" min="3" max="3"/>
    <col width="10.7109375" customWidth="1" style="73" min="4" max="5"/>
    <col width="8.7109375" customWidth="1" style="73" min="6" max="6"/>
    <col width="12.7109375" customWidth="1" style="73" min="7" max="9"/>
    <col width="9.7109375" customWidth="1" style="73" min="10" max="10"/>
    <col width="13.7109375" customWidth="1" style="73" min="11" max="12"/>
    <col width="12.7" customWidth="1" style="73" min="13" max="13"/>
    <col width="10.7109375" customWidth="1" style="73" min="14" max="14"/>
    <col width="18.7" customWidth="1" style="73" min="15" max="15"/>
    <col width="26.7109375" customWidth="1" style="73" min="16" max="16"/>
    <col width="3.28515625" customWidth="1" style="73" min="17" max="70"/>
    <col width="2.7109375" customWidth="1" style="73" min="71" max="71"/>
    <col width="11.7109375" customWidth="1" style="73" min="72" max="73"/>
    <col width="10.7109375" customWidth="1" style="73" min="74" max="74"/>
    <col width="8.7109375" customWidth="1" style="73" min="75" max="75"/>
    <col width="11.7109375" customWidth="1" style="73" min="76" max="77"/>
    <col width="13.7109375" customWidth="1" style="73" min="78" max="78"/>
    <col width="14.7109375" customWidth="1" style="73" min="79" max="79"/>
    <col width="9.140625" customWidth="1" style="73" min="80" max="16384"/>
  </cols>
  <sheetData>
    <row r="1" ht="24" customHeight="1" s="71"/>
    <row r="2" ht="20.25" customHeight="1" s="71">
      <c r="A2" s="74" t="inlineStr">
        <is>
          <t>CRONOGRAMA PROJECT: as duas obras, etapa por etapa, com caminho crítico</t>
        </is>
      </c>
    </row>
    <row r="3" ht="38.1" customHeight="1" s="71">
      <c r="A3" s="78" t="inlineStr">
        <is>
          <t>Datas: primeiro e último mês com valor no cronograma (dia 1 do primeiro mês até o último dia do último mês). Predecessoras entre etapas: nenhuma fonte traz; as colunas amarelas G a I ficam para você digitar. Sem elas o caminho crítico não vale (a coluna Situação mostra 'sem rede'). Na tabela de eventos (linha 72), o antecessor da aba 37 do estudo REV13 liga eventos da mesma etapa; os marcos do fim da obra estão na linha 107.</t>
        </is>
      </c>
    </row>
    <row r="4" ht="45.95" customHeight="1" s="71">
      <c r="A4" s="209" t="inlineStr">
        <is>
          <t>Fonte: 342 = eventograma Anexo VII (Eventograma 49/2024): valor de cada evento e datas de execução do plano do estudo REV13 (aba 05), na tabela de eventos da linha 72 em diante. 343 = mesmo arquivo, aba 343 - CRONOGRAMA (cronograma CAESB, Mês 1 = set/26, OS em 01/09/2026). Linhas 343-M = plano do motor, MOTOR TAF\ESTUDOS\TAF 343 CAESB SOBRADINHO - PLANEJAMENTO.xlsx, aba 13 PLANO (27/09/2026 17:51): referência de data, valor e custo; não somam com o contrato.</t>
        </is>
      </c>
      <c r="Q4" s="136">
        <f>IF(AND(TODAY()&gt;=Q$6,TODAY()&lt;=Q$6+6),"▲","")</f>
      </c>
      <c r="R4" s="136">
        <f>IF(AND(TODAY()&gt;=R$6,TODAY()&lt;=R$6+6),"▲","")</f>
      </c>
      <c r="S4" s="136">
        <f>IF(AND(TODAY()&gt;=S$6,TODAY()&lt;=S$6+6),"▲","")</f>
      </c>
      <c r="T4" s="136">
        <f>IF(AND(TODAY()&gt;=T$6,TODAY()&lt;=T$6+6),"▲","")</f>
      </c>
      <c r="U4" s="136">
        <f>IF(AND(TODAY()&gt;=U$6,TODAY()&lt;=U$6+6),"▲","")</f>
      </c>
      <c r="V4" s="136">
        <f>IF(AND(TODAY()&gt;=V$6,TODAY()&lt;=V$6+6),"▲","")</f>
      </c>
      <c r="W4" s="136" t="str">
        <f>IF(AND(TODAY()&gt;=W$6,TODAY()&lt;=W$6+6),"▲","")</f>
        <v>▲</v>
      </c>
      <c r="X4" s="136">
        <f>IF(AND(TODAY()&gt;=X$6,TODAY()&lt;=X$6+6),"▲","")</f>
      </c>
      <c r="Y4" s="136">
        <f>IF(AND(TODAY()&gt;=Y$6,TODAY()&lt;=Y$6+6),"▲","")</f>
      </c>
      <c r="Z4" s="136">
        <f>IF(AND(TODAY()&gt;=Z$6,TODAY()&lt;=Z$6+6),"▲","")</f>
      </c>
      <c r="AA4" s="136">
        <f>IF(AND(TODAY()&gt;=AA$6,TODAY()&lt;=AA$6+6),"▲","")</f>
      </c>
      <c r="AB4" s="136">
        <f>IF(AND(TODAY()&gt;=AB$6,TODAY()&lt;=AB$6+6),"▲","")</f>
      </c>
      <c r="AC4" s="136">
        <f>IF(AND(TODAY()&gt;=AC$6,TODAY()&lt;=AC$6+6),"▲","")</f>
      </c>
      <c r="AD4" s="136">
        <f>IF(AND(TODAY()&gt;=AD$6,TODAY()&lt;=AD$6+6),"▲","")</f>
      </c>
      <c r="AE4" s="136">
        <f>IF(AND(TODAY()&gt;=AE$6,TODAY()&lt;=AE$6+6),"▲","")</f>
      </c>
      <c r="AF4" s="136">
        <f>IF(AND(TODAY()&gt;=AF$6,TODAY()&lt;=AF$6+6),"▲","")</f>
      </c>
      <c r="AG4" s="136">
        <f>IF(AND(TODAY()&gt;=AG$6,TODAY()&lt;=AG$6+6),"▲","")</f>
      </c>
      <c r="AH4" s="136">
        <f>IF(AND(TODAY()&gt;=AH$6,TODAY()&lt;=AH$6+6),"▲","")</f>
      </c>
      <c r="AI4" s="136">
        <f>IF(AND(TODAY()&gt;=AI$6,TODAY()&lt;=AI$6+6),"▲","")</f>
      </c>
      <c r="AJ4" s="136">
        <f>IF(AND(TODAY()&gt;=AJ$6,TODAY()&lt;=AJ$6+6),"▲","")</f>
      </c>
      <c r="AK4" s="136">
        <f>IF(AND(TODAY()&gt;=AK$6,TODAY()&lt;=AK$6+6),"▲","")</f>
      </c>
      <c r="AL4" s="136">
        <f>IF(AND(TODAY()&gt;=AL$6,TODAY()&lt;=AL$6+6),"▲","")</f>
      </c>
      <c r="AM4" s="136">
        <f>IF(AND(TODAY()&gt;=AM$6,TODAY()&lt;=AM$6+6),"▲","")</f>
      </c>
      <c r="AN4" s="136">
        <f>IF(AND(TODAY()&gt;=AN$6,TODAY()&lt;=AN$6+6),"▲","")</f>
      </c>
      <c r="AO4" s="136">
        <f>IF(AND(TODAY()&gt;=AO$6,TODAY()&lt;=AO$6+6),"▲","")</f>
      </c>
      <c r="AP4" s="136">
        <f>IF(AND(TODAY()&gt;=AP$6,TODAY()&lt;=AP$6+6),"▲","")</f>
      </c>
      <c r="AQ4" s="136">
        <f>IF(AND(TODAY()&gt;=AQ$6,TODAY()&lt;=AQ$6+6),"▲","")</f>
      </c>
      <c r="AR4" s="136">
        <f>IF(AND(TODAY()&gt;=AR$6,TODAY()&lt;=AR$6+6),"▲","")</f>
      </c>
      <c r="AS4" s="136">
        <f>IF(AND(TODAY()&gt;=AS$6,TODAY()&lt;=AS$6+6),"▲","")</f>
      </c>
      <c r="AT4" s="136">
        <f>IF(AND(TODAY()&gt;=AT$6,TODAY()&lt;=AT$6+6),"▲","")</f>
      </c>
      <c r="AU4" s="136">
        <f>IF(AND(TODAY()&gt;=AU$6,TODAY()&lt;=AU$6+6),"▲","")</f>
      </c>
      <c r="AV4" s="136">
        <f>IF(AND(TODAY()&gt;=AV$6,TODAY()&lt;=AV$6+6),"▲","")</f>
      </c>
      <c r="AW4" s="136">
        <f>IF(AND(TODAY()&gt;=AW$6,TODAY()&lt;=AW$6+6),"▲","")</f>
      </c>
      <c r="AX4" s="136">
        <f>IF(AND(TODAY()&gt;=AX$6,TODAY()&lt;=AX$6+6),"▲","")</f>
      </c>
      <c r="AY4" s="136">
        <f>IF(AND(TODAY()&gt;=AY$6,TODAY()&lt;=AY$6+6),"▲","")</f>
      </c>
      <c r="AZ4" s="136">
        <f>IF(AND(TODAY()&gt;=AZ$6,TODAY()&lt;=AZ$6+6),"▲","")</f>
      </c>
      <c r="BA4" s="136">
        <f>IF(AND(TODAY()&gt;=BA$6,TODAY()&lt;=BA$6+6),"▲","")</f>
      </c>
      <c r="BB4" s="136">
        <f>IF(AND(TODAY()&gt;=BB$6,TODAY()&lt;=BB$6+6),"▲","")</f>
      </c>
      <c r="BC4" s="136">
        <f>IF(AND(TODAY()&gt;=BC$6,TODAY()&lt;=BC$6+6),"▲","")</f>
      </c>
      <c r="BD4" s="136">
        <f>IF(AND(TODAY()&gt;=BD$6,TODAY()&lt;=BD$6+6),"▲","")</f>
      </c>
      <c r="BE4" s="136">
        <f>IF(AND(TODAY()&gt;=BE$6,TODAY()&lt;=BE$6+6),"▲","")</f>
      </c>
      <c r="BF4" s="136">
        <f>IF(AND(TODAY()&gt;=BF$6,TODAY()&lt;=BF$6+6),"▲","")</f>
      </c>
      <c r="BG4" s="136">
        <f>IF(AND(TODAY()&gt;=BG$6,TODAY()&lt;=BG$6+6),"▲","")</f>
      </c>
      <c r="BH4" s="136">
        <f>IF(AND(TODAY()&gt;=BH$6,TODAY()&lt;=BH$6+6),"▲","")</f>
      </c>
      <c r="BI4" s="136">
        <f>IF(AND(TODAY()&gt;=BI$6,TODAY()&lt;=BI$6+6),"▲","")</f>
      </c>
      <c r="BJ4" s="136">
        <f>IF(AND(TODAY()&gt;=BJ$6,TODAY()&lt;=BJ$6+6),"▲","")</f>
      </c>
      <c r="BK4" s="136">
        <f>IF(AND(TODAY()&gt;=BK$6,TODAY()&lt;=BK$6+6),"▲","")</f>
      </c>
      <c r="BL4" s="136">
        <f>IF(AND(TODAY()&gt;=BL$6,TODAY()&lt;=BL$6+6),"▲","")</f>
      </c>
      <c r="BM4" s="136">
        <f>IF(AND(TODAY()&gt;=BM$6,TODAY()&lt;=BM$6+6),"▲","")</f>
      </c>
      <c r="BN4" s="136">
        <f>IF(AND(TODAY()&gt;=BN$6,TODAY()&lt;=BN$6+6),"▲","")</f>
      </c>
      <c r="BO4" s="136">
        <f>IF(AND(TODAY()&gt;=BO$6,TODAY()&lt;=BO$6+6),"▲","")</f>
      </c>
      <c r="BP4" s="136">
        <f>IF(AND(TODAY()&gt;=BP$6,TODAY()&lt;=BP$6+6),"▲","")</f>
      </c>
      <c r="BQ4" s="136">
        <f>IF(AND(TODAY()&gt;=BQ$6,TODAY()&lt;=BQ$6+6),"▲","")</f>
      </c>
      <c r="BR4" s="136">
        <f>IF(AND(TODAY()&gt;=BR$6,TODAY()&lt;=BR$6+6),"▲","")</f>
      </c>
    </row>
    <row r="5">
      <c r="A5" s="166" t="str">
        <f>"Rede: "&amp;SUMPRODUCT(--($G$7:$I$27&lt;&gt;""))&amp;" predecessoras digitadas · etapas críticas: "&amp;IF(COUNTIF($N$7:$N$27,"sem rede")=ROWS($N$7:$N$27),"sem rede",COUNTIF($N$7:$N$27,"CRÍTICA"))&amp;" · problemas de checagem: "&amp;COUNTIFS($P$7:$P$27,"&lt;&gt;ok")&amp;" · data de gestão (02. PARÂMETROS): "&amp;TEXT(DATA_GESTAO,"dd/mm")&amp;"/"&amp;YEAR(DATA_GESTAO)</f>
        <v>Rede: 0 predecessoras digitadas · etapas críticas: sem rede · problemas de checagem: 0 · data de gestão (02. PARÂMETROS): 16/10/2026</v>
      </c>
      <c r="Q5" s="135">
        <f>IF(AND(DATA_GESTAO&gt;=Q$6,DATA_GESTAO&lt;=Q$6+6),"▼","")</f>
      </c>
      <c r="R5" s="135">
        <f>IF(AND(DATA_GESTAO&gt;=R$6,DATA_GESTAO&lt;=R$6+6),"▼","")</f>
      </c>
      <c r="S5" s="135">
        <f>IF(AND(DATA_GESTAO&gt;=S$6,DATA_GESTAO&lt;=S$6+6),"▼","")</f>
      </c>
      <c r="T5" s="135">
        <f>IF(AND(DATA_GESTAO&gt;=T$6,DATA_GESTAO&lt;=T$6+6),"▼","")</f>
      </c>
      <c r="U5" s="135">
        <f>IF(AND(DATA_GESTAO&gt;=U$6,DATA_GESTAO&lt;=U$6+6),"▼","")</f>
      </c>
      <c r="V5" s="135">
        <f>IF(AND(DATA_GESTAO&gt;=V$6,DATA_GESTAO&lt;=V$6+6),"▼","")</f>
      </c>
      <c r="W5" s="135" t="str">
        <f>IF(AND(DATA_GESTAO&gt;=W$6,DATA_GESTAO&lt;=W$6+6),"▼","")</f>
        <v>▼</v>
      </c>
      <c r="X5" s="135">
        <f>IF(AND(DATA_GESTAO&gt;=X$6,DATA_GESTAO&lt;=X$6+6),"▼","")</f>
      </c>
      <c r="Y5" s="135">
        <f>IF(AND(DATA_GESTAO&gt;=Y$6,DATA_GESTAO&lt;=Y$6+6),"▼","")</f>
      </c>
      <c r="Z5" s="135">
        <f>IF(AND(DATA_GESTAO&gt;=Z$6,DATA_GESTAO&lt;=Z$6+6),"▼","")</f>
      </c>
      <c r="AA5" s="135">
        <f>IF(AND(DATA_GESTAO&gt;=AA$6,DATA_GESTAO&lt;=AA$6+6),"▼","")</f>
      </c>
      <c r="AB5" s="135">
        <f>IF(AND(DATA_GESTAO&gt;=AB$6,DATA_GESTAO&lt;=AB$6+6),"▼","")</f>
      </c>
      <c r="AC5" s="135">
        <f>IF(AND(DATA_GESTAO&gt;=AC$6,DATA_GESTAO&lt;=AC$6+6),"▼","")</f>
      </c>
      <c r="AD5" s="135">
        <f>IF(AND(DATA_GESTAO&gt;=AD$6,DATA_GESTAO&lt;=AD$6+6),"▼","")</f>
      </c>
      <c r="AE5" s="135">
        <f>IF(AND(DATA_GESTAO&gt;=AE$6,DATA_GESTAO&lt;=AE$6+6),"▼","")</f>
      </c>
      <c r="AF5" s="135">
        <f>IF(AND(DATA_GESTAO&gt;=AF$6,DATA_GESTAO&lt;=AF$6+6),"▼","")</f>
      </c>
      <c r="AG5" s="135">
        <f>IF(AND(DATA_GESTAO&gt;=AG$6,DATA_GESTAO&lt;=AG$6+6),"▼","")</f>
      </c>
      <c r="AH5" s="135">
        <f>IF(AND(DATA_GESTAO&gt;=AH$6,DATA_GESTAO&lt;=AH$6+6),"▼","")</f>
      </c>
      <c r="AI5" s="135">
        <f>IF(AND(DATA_GESTAO&gt;=AI$6,DATA_GESTAO&lt;=AI$6+6),"▼","")</f>
      </c>
      <c r="AJ5" s="135">
        <f>IF(AND(DATA_GESTAO&gt;=AJ$6,DATA_GESTAO&lt;=AJ$6+6),"▼","")</f>
      </c>
      <c r="AK5" s="135">
        <f>IF(AND(DATA_GESTAO&gt;=AK$6,DATA_GESTAO&lt;=AK$6+6),"▼","")</f>
      </c>
      <c r="AL5" s="135">
        <f>IF(AND(DATA_GESTAO&gt;=AL$6,DATA_GESTAO&lt;=AL$6+6),"▼","")</f>
      </c>
      <c r="AM5" s="135">
        <f>IF(AND(DATA_GESTAO&gt;=AM$6,DATA_GESTAO&lt;=AM$6+6),"▼","")</f>
      </c>
      <c r="AN5" s="135">
        <f>IF(AND(DATA_GESTAO&gt;=AN$6,DATA_GESTAO&lt;=AN$6+6),"▼","")</f>
      </c>
      <c r="AO5" s="135">
        <f>IF(AND(DATA_GESTAO&gt;=AO$6,DATA_GESTAO&lt;=AO$6+6),"▼","")</f>
      </c>
      <c r="AP5" s="135">
        <f>IF(AND(DATA_GESTAO&gt;=AP$6,DATA_GESTAO&lt;=AP$6+6),"▼","")</f>
      </c>
      <c r="AQ5" s="135">
        <f>IF(AND(DATA_GESTAO&gt;=AQ$6,DATA_GESTAO&lt;=AQ$6+6),"▼","")</f>
      </c>
      <c r="AR5" s="135">
        <f>IF(AND(DATA_GESTAO&gt;=AR$6,DATA_GESTAO&lt;=AR$6+6),"▼","")</f>
      </c>
      <c r="AS5" s="135">
        <f>IF(AND(DATA_GESTAO&gt;=AS$6,DATA_GESTAO&lt;=AS$6+6),"▼","")</f>
      </c>
      <c r="AT5" s="135">
        <f>IF(AND(DATA_GESTAO&gt;=AT$6,DATA_GESTAO&lt;=AT$6+6),"▼","")</f>
      </c>
      <c r="AU5" s="135">
        <f>IF(AND(DATA_GESTAO&gt;=AU$6,DATA_GESTAO&lt;=AU$6+6),"▼","")</f>
      </c>
      <c r="AV5" s="135">
        <f>IF(AND(DATA_GESTAO&gt;=AV$6,DATA_GESTAO&lt;=AV$6+6),"▼","")</f>
      </c>
      <c r="AW5" s="135">
        <f>IF(AND(DATA_GESTAO&gt;=AW$6,DATA_GESTAO&lt;=AW$6+6),"▼","")</f>
      </c>
      <c r="AX5" s="135">
        <f>IF(AND(DATA_GESTAO&gt;=AX$6,DATA_GESTAO&lt;=AX$6+6),"▼","")</f>
      </c>
      <c r="AY5" s="135">
        <f>IF(AND(DATA_GESTAO&gt;=AY$6,DATA_GESTAO&lt;=AY$6+6),"▼","")</f>
      </c>
      <c r="AZ5" s="135">
        <f>IF(AND(DATA_GESTAO&gt;=AZ$6,DATA_GESTAO&lt;=AZ$6+6),"▼","")</f>
      </c>
      <c r="BA5" s="135">
        <f>IF(AND(DATA_GESTAO&gt;=BA$6,DATA_GESTAO&lt;=BA$6+6),"▼","")</f>
      </c>
      <c r="BB5" s="135">
        <f>IF(AND(DATA_GESTAO&gt;=BB$6,DATA_GESTAO&lt;=BB$6+6),"▼","")</f>
      </c>
      <c r="BC5" s="135">
        <f>IF(AND(DATA_GESTAO&gt;=BC$6,DATA_GESTAO&lt;=BC$6+6),"▼","")</f>
      </c>
      <c r="BD5" s="135">
        <f>IF(AND(DATA_GESTAO&gt;=BD$6,DATA_GESTAO&lt;=BD$6+6),"▼","")</f>
      </c>
      <c r="BE5" s="135">
        <f>IF(AND(DATA_GESTAO&gt;=BE$6,DATA_GESTAO&lt;=BE$6+6),"▼","")</f>
      </c>
      <c r="BF5" s="135">
        <f>IF(AND(DATA_GESTAO&gt;=BF$6,DATA_GESTAO&lt;=BF$6+6),"▼","")</f>
      </c>
      <c r="BG5" s="135">
        <f>IF(AND(DATA_GESTAO&gt;=BG$6,DATA_GESTAO&lt;=BG$6+6),"▼","")</f>
      </c>
      <c r="BH5" s="135">
        <f>IF(AND(DATA_GESTAO&gt;=BH$6,DATA_GESTAO&lt;=BH$6+6),"▼","")</f>
      </c>
      <c r="BI5" s="135">
        <f>IF(AND(DATA_GESTAO&gt;=BI$6,DATA_GESTAO&lt;=BI$6+6),"▼","")</f>
      </c>
      <c r="BJ5" s="135">
        <f>IF(AND(DATA_GESTAO&gt;=BJ$6,DATA_GESTAO&lt;=BJ$6+6),"▼","")</f>
      </c>
      <c r="BK5" s="135">
        <f>IF(AND(DATA_GESTAO&gt;=BK$6,DATA_GESTAO&lt;=BK$6+6),"▼","")</f>
      </c>
      <c r="BL5" s="135">
        <f>IF(AND(DATA_GESTAO&gt;=BL$6,DATA_GESTAO&lt;=BL$6+6),"▼","")</f>
      </c>
      <c r="BM5" s="135">
        <f>IF(AND(DATA_GESTAO&gt;=BM$6,DATA_GESTAO&lt;=BM$6+6),"▼","")</f>
      </c>
      <c r="BN5" s="135">
        <f>IF(AND(DATA_GESTAO&gt;=BN$6,DATA_GESTAO&lt;=BN$6+6),"▼","")</f>
      </c>
      <c r="BO5" s="135">
        <f>IF(AND(DATA_GESTAO&gt;=BO$6,DATA_GESTAO&lt;=BO$6+6),"▼","")</f>
      </c>
      <c r="BP5" s="135">
        <f>IF(AND(DATA_GESTAO&gt;=BP$6,DATA_GESTAO&lt;=BP$6+6),"▼","")</f>
      </c>
      <c r="BQ5" s="135">
        <f>IF(AND(DATA_GESTAO&gt;=BQ$6,DATA_GESTAO&lt;=BQ$6+6),"▼","")</f>
      </c>
      <c r="BR5" s="135">
        <f>IF(AND(DATA_GESTAO&gt;=BR$6,DATA_GESTAO&lt;=BR$6+6),"▼","")</f>
      </c>
    </row>
    <row r="6" ht="54" customHeight="1" s="71" thickBot="1">
      <c r="A6" s="88" t="inlineStr">
        <is>
          <t>ID</t>
        </is>
      </c>
      <c r="B6" s="88" t="inlineStr">
        <is>
          <t>Obra</t>
        </is>
      </c>
      <c r="C6" s="88" t="inlineStr">
        <is>
          <t>Etapa</t>
        </is>
      </c>
      <c r="D6" s="88" t="inlineStr">
        <is>
          <t>Início</t>
        </is>
      </c>
      <c r="E6" s="88" t="inlineStr">
        <is>
          <t>Fim</t>
        </is>
      </c>
      <c r="F6" s="88" t="inlineStr">
        <is>
          <t>Duração (dias)</t>
        </is>
      </c>
      <c r="G6" s="88" t="inlineStr">
        <is>
          <t>Predecessora 1</t>
        </is>
      </c>
      <c r="H6" s="88" t="inlineStr">
        <is>
          <t>Predecessora 2</t>
        </is>
      </c>
      <c r="I6" s="88" t="inlineStr">
        <is>
          <t>Predecessora 3</t>
        </is>
      </c>
      <c r="J6" s="88" t="inlineStr">
        <is>
          <t>% físico (lançar do BM)</t>
        </is>
      </c>
      <c r="K6" s="88" t="inlineStr">
        <is>
          <t>Valor da etapa (R$)</t>
        </is>
      </c>
      <c r="L6" s="88" t="inlineStr">
        <is>
          <t>Custo planejado (R$)</t>
        </is>
      </c>
      <c r="M6" s="88" t="inlineStr">
        <is>
          <t>Folga (dias)</t>
        </is>
      </c>
      <c r="N6" s="88" t="inlineStr">
        <is>
          <t>Situação</t>
        </is>
      </c>
      <c r="O6" s="88" t="inlineStr">
        <is>
          <t>Valor medido (R$)</t>
        </is>
      </c>
      <c r="P6" s="88" t="inlineStr">
        <is>
          <t>Checagem</t>
        </is>
      </c>
      <c r="Q6" s="134">
        <f>MIN('03. CONTRATOS'!$B$10,'03. CONTRATOS'!$D$10)-WEEKDAY(MIN('03. CONTRATOS'!$B$10,'03. CONTRATOS'!$D$10),2)+1</f>
        <v>46265.0</v>
      </c>
      <c r="R6" s="134">
        <f>Q6+7</f>
        <v>46272.0</v>
      </c>
      <c r="S6" s="134">
        <f>R6+7</f>
        <v>46279.0</v>
      </c>
      <c r="T6" s="134">
        <f>S6+7</f>
        <v>46286.0</v>
      </c>
      <c r="U6" s="134">
        <f>T6+7</f>
        <v>46293.0</v>
      </c>
      <c r="V6" s="134">
        <f>U6+7</f>
        <v>46300.0</v>
      </c>
      <c r="W6" s="134">
        <f>V6+7</f>
        <v>46307.0</v>
      </c>
      <c r="X6" s="134">
        <f>W6+7</f>
        <v>46314.0</v>
      </c>
      <c r="Y6" s="134">
        <f>X6+7</f>
        <v>46321.0</v>
      </c>
      <c r="Z6" s="134">
        <f>Y6+7</f>
        <v>46328.0</v>
      </c>
      <c r="AA6" s="134">
        <f>Z6+7</f>
        <v>46335.0</v>
      </c>
      <c r="AB6" s="134">
        <f>AA6+7</f>
        <v>46342.0</v>
      </c>
      <c r="AC6" s="134">
        <f>AB6+7</f>
        <v>46349.0</v>
      </c>
      <c r="AD6" s="134">
        <f>AC6+7</f>
        <v>46356.0</v>
      </c>
      <c r="AE6" s="134">
        <f>AD6+7</f>
        <v>46363.0</v>
      </c>
      <c r="AF6" s="134">
        <f>AE6+7</f>
        <v>46370.0</v>
      </c>
      <c r="AG6" s="134">
        <f>AF6+7</f>
        <v>46377.0</v>
      </c>
      <c r="AH6" s="134">
        <f>AG6+7</f>
        <v>46384.0</v>
      </c>
      <c r="AI6" s="134">
        <f>AH6+7</f>
        <v>46391.0</v>
      </c>
      <c r="AJ6" s="134">
        <f>AI6+7</f>
        <v>46398.0</v>
      </c>
      <c r="AK6" s="134">
        <f>AJ6+7</f>
        <v>46405.0</v>
      </c>
      <c r="AL6" s="134">
        <f>AK6+7</f>
        <v>46412.0</v>
      </c>
      <c r="AM6" s="134">
        <f>AL6+7</f>
        <v>46419.0</v>
      </c>
      <c r="AN6" s="134">
        <f>AM6+7</f>
        <v>46426.0</v>
      </c>
      <c r="AO6" s="134">
        <f>AN6+7</f>
        <v>46433.0</v>
      </c>
      <c r="AP6" s="134">
        <f>AO6+7</f>
        <v>46440.0</v>
      </c>
      <c r="AQ6" s="134">
        <f>AP6+7</f>
        <v>46447.0</v>
      </c>
      <c r="AR6" s="134">
        <f>AQ6+7</f>
        <v>46454.0</v>
      </c>
      <c r="AS6" s="134">
        <f>AR6+7</f>
        <v>46461.0</v>
      </c>
      <c r="AT6" s="134">
        <f>AS6+7</f>
        <v>46468.0</v>
      </c>
      <c r="AU6" s="134">
        <f>AT6+7</f>
        <v>46475.0</v>
      </c>
      <c r="AV6" s="134">
        <f>AU6+7</f>
        <v>46482.0</v>
      </c>
      <c r="AW6" s="134">
        <f>AV6+7</f>
        <v>46489.0</v>
      </c>
      <c r="AX6" s="134">
        <f>AW6+7</f>
        <v>46496.0</v>
      </c>
      <c r="AY6" s="134">
        <f>AX6+7</f>
        <v>46503.0</v>
      </c>
      <c r="AZ6" s="134">
        <f>AY6+7</f>
        <v>46510.0</v>
      </c>
      <c r="BA6" s="134">
        <f>AZ6+7</f>
        <v>46517.0</v>
      </c>
      <c r="BB6" s="134">
        <f>BA6+7</f>
        <v>46524.0</v>
      </c>
      <c r="BC6" s="134">
        <f>BB6+7</f>
        <v>46531.0</v>
      </c>
      <c r="BD6" s="134">
        <f>BC6+7</f>
        <v>46538.0</v>
      </c>
      <c r="BE6" s="134">
        <f>BD6+7</f>
        <v>46545.0</v>
      </c>
      <c r="BF6" s="134">
        <f>BE6+7</f>
        <v>46552.0</v>
      </c>
      <c r="BG6" s="134">
        <f>BF6+7</f>
        <v>46559.0</v>
      </c>
      <c r="BH6" s="134">
        <f>BG6+7</f>
        <v>46566.0</v>
      </c>
      <c r="BI6" s="134">
        <f>BH6+7</f>
        <v>46573.0</v>
      </c>
      <c r="BJ6" s="134">
        <f>BI6+7</f>
        <v>46580.0</v>
      </c>
      <c r="BK6" s="134">
        <f>BJ6+7</f>
        <v>46587.0</v>
      </c>
      <c r="BL6" s="134">
        <f>BK6+7</f>
        <v>46594.0</v>
      </c>
      <c r="BM6" s="134">
        <f>BL6+7</f>
        <v>46601.0</v>
      </c>
      <c r="BN6" s="134">
        <f>BM6+7</f>
        <v>46608.0</v>
      </c>
      <c r="BO6" s="134">
        <f>BN6+7</f>
        <v>46615.0</v>
      </c>
      <c r="BP6" s="134">
        <f>BO6+7</f>
        <v>46622.0</v>
      </c>
      <c r="BQ6" s="134">
        <f>BP6+7</f>
        <v>46629.0</v>
      </c>
      <c r="BR6" s="134">
        <f>BQ6+7</f>
        <v>46636.0</v>
      </c>
      <c r="BT6" s="131" t="inlineStr">
        <is>
          <t>Início fixado (fonte)</t>
        </is>
      </c>
      <c r="BU6" s="131" t="inlineStr">
        <is>
          <t>Fim fixado (fonte)</t>
        </is>
      </c>
      <c r="BV6" s="131" t="inlineStr">
        <is>
          <t>Camada</t>
        </is>
      </c>
      <c r="BW6" s="131" t="inlineStr">
        <is>
          <t>Rede</t>
        </is>
      </c>
      <c r="BX6" s="131" t="inlineStr">
        <is>
          <t>Fim tarde</t>
        </is>
      </c>
      <c r="BY6" s="131" t="inlineStr">
        <is>
          <t>Início tarde</t>
        </is>
      </c>
      <c r="BZ6" s="131" t="inlineStr">
        <is>
          <t>Chave (auxiliar)</t>
        </is>
      </c>
      <c r="CA6" s="131" t="inlineStr">
        <is>
          <t>Predecessoras na rede (auxiliar)</t>
        </is>
      </c>
    </row>
    <row r="7">
      <c r="A7" s="153" t="inlineStr">
        <is>
          <t>342-01</t>
        </is>
      </c>
      <c r="B7" s="154" t="n">
        <v>342</v>
      </c>
      <c r="C7" s="155" t="inlineStr">
        <is>
          <t>CANTEIRO DE OBRAS</t>
        </is>
      </c>
      <c r="D7" s="156">
        <f>IF(BT7="","",MAX(BT7,IF($G7="",0,_xlfn.MAXIFS($E$6:$E6,$A$6:$A6,$G7)+1),IF($H7="",0,_xlfn.MAXIFS($E$6:$E6,$A$6:$A6,$H7)+1),IF($I7="",0,_xlfn.MAXIFS($E$6:$E6,$A$6:$A6,$I7)+1)))</f>
        <v>46314.0</v>
      </c>
      <c r="E7" s="156">
        <f>IF(D7="","",D7+F7-1)</f>
        <v>46604.0</v>
      </c>
      <c r="F7" s="157">
        <f>IF(OR(BT7="",BU7=""),"",BU7-BT7+1)</f>
        <v>291</v>
      </c>
      <c r="G7" s="158" t="n"/>
      <c r="H7" s="158" t="n"/>
      <c r="I7" s="159" t="n"/>
      <c r="J7" s="160" t="n"/>
      <c r="K7" s="161">
        <f>$P33</f>
        <v>122394</v>
      </c>
      <c r="L7" s="162" t="inlineStr">
        <is>
          <t>pendente</t>
        </is>
      </c>
      <c r="M7" s="163">
        <f>IF(OR(BX7="",E7=""),"",BX7-E7)</f>
        <v>22</v>
      </c>
      <c r="N7" s="154" t="str">
        <f>IF(M7="","",IF(CA7=0,"sem rede",IF(M7&lt;=0,"CRÍTICA","")))</f>
        <v>sem rede</v>
      </c>
      <c r="O7" s="161">
        <f>IF(OR(J7="",K7=""),"",J7*K7)</f>
      </c>
      <c r="P7" s="155" t="str">
        <f>IF(OR(BT7="",BU7=""),"sem data",IF(OR(AND(G7&lt;&gt;"",COUNTIF($A$7:$A$27,G7)=0),AND(H7&lt;&gt;"",COUNTIF($A$7:$A$27,H7)=0),AND(I7&lt;&gt;"",COUNTIF($A$7:$A$27,I7)=0)),"predecessora inexistente",IF(OR(AND(G7&lt;&gt;"",COUNTIF($A$6:$A6,G7)=0),AND(H7&lt;&gt;"",COUNTIF($A$6:$A6,H7)=0),AND(I7&lt;&gt;"",COUNTIF($A$6:$A6,I7)=0)),"predecessora abaixo da tarefa","ok")))</f>
        <v>ok</v>
      </c>
      <c r="Q7" s="164">
        <f>IF(OR($D7="",$E7=""),"",IF(AND($D7&lt;=Q$6+6,$E7&gt;=Q$6),IF($N7="CRÍTICA","C","P"),""))</f>
      </c>
      <c r="R7" s="164">
        <f>IF(OR($D7="",$E7=""),"",IF(AND($D7&lt;=R$6+6,$E7&gt;=R$6),IF($N7="CRÍTICA","C","P"),""))</f>
      </c>
      <c r="S7" s="164">
        <f>IF(OR($D7="",$E7=""),"",IF(AND($D7&lt;=S$6+6,$E7&gt;=S$6),IF($N7="CRÍTICA","C","P"),""))</f>
      </c>
      <c r="T7" s="164">
        <f>IF(OR($D7="",$E7=""),"",IF(AND($D7&lt;=T$6+6,$E7&gt;=T$6),IF($N7="CRÍTICA","C","P"),""))</f>
      </c>
      <c r="U7" s="164">
        <f>IF(OR($D7="",$E7=""),"",IF(AND($D7&lt;=U$6+6,$E7&gt;=U$6),IF($N7="CRÍTICA","C","P"),""))</f>
      </c>
      <c r="V7" s="164">
        <f>IF(OR($D7="",$E7=""),"",IF(AND($D7&lt;=V$6+6,$E7&gt;=V$6),IF($N7="CRÍTICA","C","P"),""))</f>
      </c>
      <c r="W7" s="164">
        <f>IF(OR($D7="",$E7=""),"",IF(AND($D7&lt;=W$6+6,$E7&gt;=W$6),IF($N7="CRÍTICA","C","P"),""))</f>
      </c>
      <c r="X7" s="164" t="str">
        <f>IF(OR($D7="",$E7=""),"",IF(AND($D7&lt;=X$6+6,$E7&gt;=X$6),IF($N7="CRÍTICA","C","P"),""))</f>
        <v>P</v>
      </c>
      <c r="Y7" s="164" t="str">
        <f>IF(OR($D7="",$E7=""),"",IF(AND($D7&lt;=Y$6+6,$E7&gt;=Y$6),IF($N7="CRÍTICA","C","P"),""))</f>
        <v>P</v>
      </c>
      <c r="Z7" s="164" t="str">
        <f>IF(OR($D7="",$E7=""),"",IF(AND($D7&lt;=Z$6+6,$E7&gt;=Z$6),IF($N7="CRÍTICA","C","P"),""))</f>
        <v>P</v>
      </c>
      <c r="AA7" s="164" t="str">
        <f>IF(OR($D7="",$E7=""),"",IF(AND($D7&lt;=AA$6+6,$E7&gt;=AA$6),IF($N7="CRÍTICA","C","P"),""))</f>
        <v>P</v>
      </c>
      <c r="AB7" s="164" t="str">
        <f>IF(OR($D7="",$E7=""),"",IF(AND($D7&lt;=AB$6+6,$E7&gt;=AB$6),IF($N7="CRÍTICA","C","P"),""))</f>
        <v>P</v>
      </c>
      <c r="AC7" s="164" t="str">
        <f>IF(OR($D7="",$E7=""),"",IF(AND($D7&lt;=AC$6+6,$E7&gt;=AC$6),IF($N7="CRÍTICA","C","P"),""))</f>
        <v>P</v>
      </c>
      <c r="AD7" s="164" t="str">
        <f>IF(OR($D7="",$E7=""),"",IF(AND($D7&lt;=AD$6+6,$E7&gt;=AD$6),IF($N7="CRÍTICA","C","P"),""))</f>
        <v>P</v>
      </c>
      <c r="AE7" s="164" t="str">
        <f>IF(OR($D7="",$E7=""),"",IF(AND($D7&lt;=AE$6+6,$E7&gt;=AE$6),IF($N7="CRÍTICA","C","P"),""))</f>
        <v>P</v>
      </c>
      <c r="AF7" s="164" t="str">
        <f>IF(OR($D7="",$E7=""),"",IF(AND($D7&lt;=AF$6+6,$E7&gt;=AF$6),IF($N7="CRÍTICA","C","P"),""))</f>
        <v>P</v>
      </c>
      <c r="AG7" s="164" t="str">
        <f>IF(OR($D7="",$E7=""),"",IF(AND($D7&lt;=AG$6+6,$E7&gt;=AG$6),IF($N7="CRÍTICA","C","P"),""))</f>
        <v>P</v>
      </c>
      <c r="AH7" s="164" t="str">
        <f>IF(OR($D7="",$E7=""),"",IF(AND($D7&lt;=AH$6+6,$E7&gt;=AH$6),IF($N7="CRÍTICA","C","P"),""))</f>
        <v>P</v>
      </c>
      <c r="AI7" s="164" t="str">
        <f>IF(OR($D7="",$E7=""),"",IF(AND($D7&lt;=AI$6+6,$E7&gt;=AI$6),IF($N7="CRÍTICA","C","P"),""))</f>
        <v>P</v>
      </c>
      <c r="AJ7" s="164" t="str">
        <f>IF(OR($D7="",$E7=""),"",IF(AND($D7&lt;=AJ$6+6,$E7&gt;=AJ$6),IF($N7="CRÍTICA","C","P"),""))</f>
        <v>P</v>
      </c>
      <c r="AK7" s="164" t="str">
        <f>IF(OR($D7="",$E7=""),"",IF(AND($D7&lt;=AK$6+6,$E7&gt;=AK$6),IF($N7="CRÍTICA","C","P"),""))</f>
        <v>P</v>
      </c>
      <c r="AL7" s="164" t="str">
        <f>IF(OR($D7="",$E7=""),"",IF(AND($D7&lt;=AL$6+6,$E7&gt;=AL$6),IF($N7="CRÍTICA","C","P"),""))</f>
        <v>P</v>
      </c>
      <c r="AM7" s="164" t="str">
        <f>IF(OR($D7="",$E7=""),"",IF(AND($D7&lt;=AM$6+6,$E7&gt;=AM$6),IF($N7="CRÍTICA","C","P"),""))</f>
        <v>P</v>
      </c>
      <c r="AN7" s="164" t="str">
        <f>IF(OR($D7="",$E7=""),"",IF(AND($D7&lt;=AN$6+6,$E7&gt;=AN$6),IF($N7="CRÍTICA","C","P"),""))</f>
        <v>P</v>
      </c>
      <c r="AO7" s="164" t="str">
        <f>IF(OR($D7="",$E7=""),"",IF(AND($D7&lt;=AO$6+6,$E7&gt;=AO$6),IF($N7="CRÍTICA","C","P"),""))</f>
        <v>P</v>
      </c>
      <c r="AP7" s="164" t="str">
        <f>IF(OR($D7="",$E7=""),"",IF(AND($D7&lt;=AP$6+6,$E7&gt;=AP$6),IF($N7="CRÍTICA","C","P"),""))</f>
        <v>P</v>
      </c>
      <c r="AQ7" s="164" t="str">
        <f>IF(OR($D7="",$E7=""),"",IF(AND($D7&lt;=AQ$6+6,$E7&gt;=AQ$6),IF($N7="CRÍTICA","C","P"),""))</f>
        <v>P</v>
      </c>
      <c r="AR7" s="164" t="str">
        <f>IF(OR($D7="",$E7=""),"",IF(AND($D7&lt;=AR$6+6,$E7&gt;=AR$6),IF($N7="CRÍTICA","C","P"),""))</f>
        <v>P</v>
      </c>
      <c r="AS7" s="164" t="str">
        <f>IF(OR($D7="",$E7=""),"",IF(AND($D7&lt;=AS$6+6,$E7&gt;=AS$6),IF($N7="CRÍTICA","C","P"),""))</f>
        <v>P</v>
      </c>
      <c r="AT7" s="164" t="str">
        <f>IF(OR($D7="",$E7=""),"",IF(AND($D7&lt;=AT$6+6,$E7&gt;=AT$6),IF($N7="CRÍTICA","C","P"),""))</f>
        <v>P</v>
      </c>
      <c r="AU7" s="164" t="str">
        <f>IF(OR($D7="",$E7=""),"",IF(AND($D7&lt;=AU$6+6,$E7&gt;=AU$6),IF($N7="CRÍTICA","C","P"),""))</f>
        <v>P</v>
      </c>
      <c r="AV7" s="164" t="str">
        <f>IF(OR($D7="",$E7=""),"",IF(AND($D7&lt;=AV$6+6,$E7&gt;=AV$6),IF($N7="CRÍTICA","C","P"),""))</f>
        <v>P</v>
      </c>
      <c r="AW7" s="164" t="str">
        <f>IF(OR($D7="",$E7=""),"",IF(AND($D7&lt;=AW$6+6,$E7&gt;=AW$6),IF($N7="CRÍTICA","C","P"),""))</f>
        <v>P</v>
      </c>
      <c r="AX7" s="164" t="str">
        <f>IF(OR($D7="",$E7=""),"",IF(AND($D7&lt;=AX$6+6,$E7&gt;=AX$6),IF($N7="CRÍTICA","C","P"),""))</f>
        <v>P</v>
      </c>
      <c r="AY7" s="164" t="str">
        <f>IF(OR($D7="",$E7=""),"",IF(AND($D7&lt;=AY$6+6,$E7&gt;=AY$6),IF($N7="CRÍTICA","C","P"),""))</f>
        <v>P</v>
      </c>
      <c r="AZ7" s="164" t="str">
        <f>IF(OR($D7="",$E7=""),"",IF(AND($D7&lt;=AZ$6+6,$E7&gt;=AZ$6),IF($N7="CRÍTICA","C","P"),""))</f>
        <v>P</v>
      </c>
      <c r="BA7" s="164" t="str">
        <f>IF(OR($D7="",$E7=""),"",IF(AND($D7&lt;=BA$6+6,$E7&gt;=BA$6),IF($N7="CRÍTICA","C","P"),""))</f>
        <v>P</v>
      </c>
      <c r="BB7" s="164" t="str">
        <f>IF(OR($D7="",$E7=""),"",IF(AND($D7&lt;=BB$6+6,$E7&gt;=BB$6),IF($N7="CRÍTICA","C","P"),""))</f>
        <v>P</v>
      </c>
      <c r="BC7" s="164" t="str">
        <f>IF(OR($D7="",$E7=""),"",IF(AND($D7&lt;=BC$6+6,$E7&gt;=BC$6),IF($N7="CRÍTICA","C","P"),""))</f>
        <v>P</v>
      </c>
      <c r="BD7" s="164" t="str">
        <f>IF(OR($D7="",$E7=""),"",IF(AND($D7&lt;=BD$6+6,$E7&gt;=BD$6),IF($N7="CRÍTICA","C","P"),""))</f>
        <v>P</v>
      </c>
      <c r="BE7" s="164" t="str">
        <f>IF(OR($D7="",$E7=""),"",IF(AND($D7&lt;=BE$6+6,$E7&gt;=BE$6),IF($N7="CRÍTICA","C","P"),""))</f>
        <v>P</v>
      </c>
      <c r="BF7" s="164" t="str">
        <f>IF(OR($D7="",$E7=""),"",IF(AND($D7&lt;=BF$6+6,$E7&gt;=BF$6),IF($N7="CRÍTICA","C","P"),""))</f>
        <v>P</v>
      </c>
      <c r="BG7" s="164" t="str">
        <f>IF(OR($D7="",$E7=""),"",IF(AND($D7&lt;=BG$6+6,$E7&gt;=BG$6),IF($N7="CRÍTICA","C","P"),""))</f>
        <v>P</v>
      </c>
      <c r="BH7" s="164" t="str">
        <f>IF(OR($D7="",$E7=""),"",IF(AND($D7&lt;=BH$6+6,$E7&gt;=BH$6),IF($N7="CRÍTICA","C","P"),""))</f>
        <v>P</v>
      </c>
      <c r="BI7" s="164" t="str">
        <f>IF(OR($D7="",$E7=""),"",IF(AND($D7&lt;=BI$6+6,$E7&gt;=BI$6),IF($N7="CRÍTICA","C","P"),""))</f>
        <v>P</v>
      </c>
      <c r="BJ7" s="164" t="str">
        <f>IF(OR($D7="",$E7=""),"",IF(AND($D7&lt;=BJ$6+6,$E7&gt;=BJ$6),IF($N7="CRÍTICA","C","P"),""))</f>
        <v>P</v>
      </c>
      <c r="BK7" s="164" t="str">
        <f>IF(OR($D7="",$E7=""),"",IF(AND($D7&lt;=BK$6+6,$E7&gt;=BK$6),IF($N7="CRÍTICA","C","P"),""))</f>
        <v>P</v>
      </c>
      <c r="BL7" s="164" t="str">
        <f>IF(OR($D7="",$E7=""),"",IF(AND($D7&lt;=BL$6+6,$E7&gt;=BL$6),IF($N7="CRÍTICA","C","P"),""))</f>
        <v>P</v>
      </c>
      <c r="BM7" s="164" t="str">
        <f>IF(OR($D7="",$E7=""),"",IF(AND($D7&lt;=BM$6+6,$E7&gt;=BM$6),IF($N7="CRÍTICA","C","P"),""))</f>
        <v>P</v>
      </c>
      <c r="BN7" s="164">
        <f>IF(OR($D7="",$E7=""),"",IF(AND($D7&lt;=BN$6+6,$E7&gt;=BN$6),IF($N7="CRÍTICA","C","P"),""))</f>
      </c>
      <c r="BO7" s="164">
        <f>IF(OR($D7="",$E7=""),"",IF(AND($D7&lt;=BO$6+6,$E7&gt;=BO$6),IF($N7="CRÍTICA","C","P"),""))</f>
      </c>
      <c r="BP7" s="164">
        <f>IF(OR($D7="",$E7=""),"",IF(AND($D7&lt;=BP$6+6,$E7&gt;=BP$6),IF($N7="CRÍTICA","C","P"),""))</f>
      </c>
      <c r="BQ7" s="164">
        <f>IF(OR($D7="",$E7=""),"",IF(AND($D7&lt;=BQ$6+6,$E7&gt;=BQ$6),IF($N7="CRÍTICA","C","P"),""))</f>
      </c>
      <c r="BR7" s="164">
        <f>IF(OR($D7="",$E7=""),"",IF(AND($D7&lt;=BR$6+6,$E7&gt;=BR$6),IF($N7="CRÍTICA","C","P"),""))</f>
      </c>
      <c r="BT7" s="69">
        <f>_xlfn.MINIFS($G$74:$G$103,$D$74:$D$103,$A7)</f>
        <v>46314.0</v>
      </c>
      <c r="BU7" s="69">
        <f>_xlfn.MAXIFS($H$74:$H$103,$D$74:$D$103,$A7)</f>
        <v>46604.0</v>
      </c>
      <c r="BV7" s="73" t="inlineStr">
        <is>
          <t>Contrato</t>
        </is>
      </c>
      <c r="BW7" s="73" t="n">
        <v>342</v>
      </c>
      <c r="BX7" s="127">
        <f>IF(E7="","",IF(COUNTIF($G8:$G$28,$A7)+COUNTIF($H8:$H$28,$A7)+COUNTIF($I8:$I$28,$A7)=0,_xlfn.MAXIFS($E$7:$E$27,$BW$7:$BW$27,$BW7),MIN(IF(COUNTIF($G8:$G$28,$A7)&gt;0,_xlfn.MINIFS($BY8:$BY$28,$G8:$G$28,$A7),99999999),IF(COUNTIF($H8:$H$28,$A7)&gt;0,_xlfn.MINIFS($BY8:$BY$28,$H8:$H$28,$A7),99999999),IF(COUNTIF($I8:$I$28,$A7)&gt;0,_xlfn.MINIFS($BY8:$BY$28,$I8:$I$28,$A7),99999999))-1))</f>
        <v>46626.0</v>
      </c>
      <c r="BY7" s="127">
        <f>IF(BX7="","",BX7-F7+1)</f>
        <v>46336.0</v>
      </c>
      <c r="BZ7" s="140">
        <f>IF(AND(D7&lt;&gt;"",D7&gt;DATA_GESTAO),D7+ROW()/1000000,"")</f>
        <v>46314.000007</v>
      </c>
      <c r="CA7" s="73">
        <f>SUMPRODUCT(($BW$7:$BW$27=$BW7)*($G$7:$I$27&lt;&gt;""))</f>
        <v>0</v>
      </c>
    </row>
    <row r="8">
      <c r="A8" s="81" t="inlineStr">
        <is>
          <t>342-02</t>
        </is>
      </c>
      <c r="B8" s="126" t="n">
        <v>342</v>
      </c>
      <c r="C8" s="73" t="inlineStr">
        <is>
          <t>ADMINISTRAÇÃO LOCAL</t>
        </is>
      </c>
      <c r="D8" s="128">
        <f>IF(BT8="","",MAX(BT8,IF($G8="",0,_xlfn.MAXIFS($E$6:$E7,$A$6:$A7,$G8)+1),IF($H8="",0,_xlfn.MAXIFS($E$6:$E7,$A$6:$A7,$H8)+1),IF($I8="",0,_xlfn.MAXIFS($E$6:$E7,$A$6:$A7,$I8)+1)))</f>
        <v>46314.0</v>
      </c>
      <c r="E8" s="128">
        <f>IF(D8="","",D8+F8-1)</f>
        <v>46604.0</v>
      </c>
      <c r="F8" s="143">
        <f>IF(OR(BT8="",BU8=""),"",BU8-BT8+1)</f>
        <v>291</v>
      </c>
      <c r="G8" s="149" t="n"/>
      <c r="H8" s="149" t="n"/>
      <c r="I8" s="150" t="n"/>
      <c r="J8" s="152" t="n"/>
      <c r="K8" s="145">
        <f>$P34</f>
        <v>479911</v>
      </c>
      <c r="L8" s="141" t="inlineStr">
        <is>
          <t>pendente</t>
        </is>
      </c>
      <c r="M8" s="144">
        <f>IF(OR(BX8="",E8=""),"",BX8-E8)</f>
        <v>22</v>
      </c>
      <c r="N8" s="126" t="str">
        <f>IF(M8="","",IF(CA8=0,"sem rede",IF(M8&lt;=0,"CRÍTICA","")))</f>
        <v>sem rede</v>
      </c>
      <c r="O8" s="145">
        <f>IF(OR(J8="",K8=""),"",J8*K8)</f>
      </c>
      <c r="P8" s="73" t="str">
        <f>IF(OR(BT8="",BU8=""),"sem data",IF(OR(AND(G8&lt;&gt;"",COUNTIF($A$7:$A$27,G8)=0),AND(H8&lt;&gt;"",COUNTIF($A$7:$A$27,H8)=0),AND(I8&lt;&gt;"",COUNTIF($A$7:$A$27,I8)=0)),"predecessora inexistente",IF(OR(AND(G8&lt;&gt;"",COUNTIF($A$6:$A7,G8)=0),AND(H8&lt;&gt;"",COUNTIF($A$6:$A7,H8)=0),AND(I8&lt;&gt;"",COUNTIF($A$6:$A7,I8)=0)),"predecessora abaixo da tarefa","ok")))</f>
        <v>ok</v>
      </c>
      <c r="Q8" s="138">
        <f>IF(OR($D8="",$E8=""),"",IF(AND($D8&lt;=Q$6+6,$E8&gt;=Q$6),IF($N8="CRÍTICA","C","P"),""))</f>
      </c>
      <c r="R8" s="138">
        <f>IF(OR($D8="",$E8=""),"",IF(AND($D8&lt;=R$6+6,$E8&gt;=R$6),IF($N8="CRÍTICA","C","P"),""))</f>
      </c>
      <c r="S8" s="138">
        <f>IF(OR($D8="",$E8=""),"",IF(AND($D8&lt;=S$6+6,$E8&gt;=S$6),IF($N8="CRÍTICA","C","P"),""))</f>
      </c>
      <c r="T8" s="138">
        <f>IF(OR($D8="",$E8=""),"",IF(AND($D8&lt;=T$6+6,$E8&gt;=T$6),IF($N8="CRÍTICA","C","P"),""))</f>
      </c>
      <c r="U8" s="138">
        <f>IF(OR($D8="",$E8=""),"",IF(AND($D8&lt;=U$6+6,$E8&gt;=U$6),IF($N8="CRÍTICA","C","P"),""))</f>
      </c>
      <c r="V8" s="138">
        <f>IF(OR($D8="",$E8=""),"",IF(AND($D8&lt;=V$6+6,$E8&gt;=V$6),IF($N8="CRÍTICA","C","P"),""))</f>
      </c>
      <c r="W8" s="138">
        <f>IF(OR($D8="",$E8=""),"",IF(AND($D8&lt;=W$6+6,$E8&gt;=W$6),IF($N8="CRÍTICA","C","P"),""))</f>
      </c>
      <c r="X8" s="138" t="str">
        <f>IF(OR($D8="",$E8=""),"",IF(AND($D8&lt;=X$6+6,$E8&gt;=X$6),IF($N8="CRÍTICA","C","P"),""))</f>
        <v>P</v>
      </c>
      <c r="Y8" s="138" t="str">
        <f>IF(OR($D8="",$E8=""),"",IF(AND($D8&lt;=Y$6+6,$E8&gt;=Y$6),IF($N8="CRÍTICA","C","P"),""))</f>
        <v>P</v>
      </c>
      <c r="Z8" s="138" t="str">
        <f>IF(OR($D8="",$E8=""),"",IF(AND($D8&lt;=Z$6+6,$E8&gt;=Z$6),IF($N8="CRÍTICA","C","P"),""))</f>
        <v>P</v>
      </c>
      <c r="AA8" s="138" t="str">
        <f>IF(OR($D8="",$E8=""),"",IF(AND($D8&lt;=AA$6+6,$E8&gt;=AA$6),IF($N8="CRÍTICA","C","P"),""))</f>
        <v>P</v>
      </c>
      <c r="AB8" s="138" t="str">
        <f>IF(OR($D8="",$E8=""),"",IF(AND($D8&lt;=AB$6+6,$E8&gt;=AB$6),IF($N8="CRÍTICA","C","P"),""))</f>
        <v>P</v>
      </c>
      <c r="AC8" s="138" t="str">
        <f>IF(OR($D8="",$E8=""),"",IF(AND($D8&lt;=AC$6+6,$E8&gt;=AC$6),IF($N8="CRÍTICA","C","P"),""))</f>
        <v>P</v>
      </c>
      <c r="AD8" s="138" t="str">
        <f>IF(OR($D8="",$E8=""),"",IF(AND($D8&lt;=AD$6+6,$E8&gt;=AD$6),IF($N8="CRÍTICA","C","P"),""))</f>
        <v>P</v>
      </c>
      <c r="AE8" s="138" t="str">
        <f>IF(OR($D8="",$E8=""),"",IF(AND($D8&lt;=AE$6+6,$E8&gt;=AE$6),IF($N8="CRÍTICA","C","P"),""))</f>
        <v>P</v>
      </c>
      <c r="AF8" s="138" t="str">
        <f>IF(OR($D8="",$E8=""),"",IF(AND($D8&lt;=AF$6+6,$E8&gt;=AF$6),IF($N8="CRÍTICA","C","P"),""))</f>
        <v>P</v>
      </c>
      <c r="AG8" s="138" t="str">
        <f>IF(OR($D8="",$E8=""),"",IF(AND($D8&lt;=AG$6+6,$E8&gt;=AG$6),IF($N8="CRÍTICA","C","P"),""))</f>
        <v>P</v>
      </c>
      <c r="AH8" s="138" t="str">
        <f>IF(OR($D8="",$E8=""),"",IF(AND($D8&lt;=AH$6+6,$E8&gt;=AH$6),IF($N8="CRÍTICA","C","P"),""))</f>
        <v>P</v>
      </c>
      <c r="AI8" s="138" t="str">
        <f>IF(OR($D8="",$E8=""),"",IF(AND($D8&lt;=AI$6+6,$E8&gt;=AI$6),IF($N8="CRÍTICA","C","P"),""))</f>
        <v>P</v>
      </c>
      <c r="AJ8" s="138" t="str">
        <f>IF(OR($D8="",$E8=""),"",IF(AND($D8&lt;=AJ$6+6,$E8&gt;=AJ$6),IF($N8="CRÍTICA","C","P"),""))</f>
        <v>P</v>
      </c>
      <c r="AK8" s="138" t="str">
        <f>IF(OR($D8="",$E8=""),"",IF(AND($D8&lt;=AK$6+6,$E8&gt;=AK$6),IF($N8="CRÍTICA","C","P"),""))</f>
        <v>P</v>
      </c>
      <c r="AL8" s="138" t="str">
        <f>IF(OR($D8="",$E8=""),"",IF(AND($D8&lt;=AL$6+6,$E8&gt;=AL$6),IF($N8="CRÍTICA","C","P"),""))</f>
        <v>P</v>
      </c>
      <c r="AM8" s="138" t="str">
        <f>IF(OR($D8="",$E8=""),"",IF(AND($D8&lt;=AM$6+6,$E8&gt;=AM$6),IF($N8="CRÍTICA","C","P"),""))</f>
        <v>P</v>
      </c>
      <c r="AN8" s="138" t="str">
        <f>IF(OR($D8="",$E8=""),"",IF(AND($D8&lt;=AN$6+6,$E8&gt;=AN$6),IF($N8="CRÍTICA","C","P"),""))</f>
        <v>P</v>
      </c>
      <c r="AO8" s="138" t="str">
        <f>IF(OR($D8="",$E8=""),"",IF(AND($D8&lt;=AO$6+6,$E8&gt;=AO$6),IF($N8="CRÍTICA","C","P"),""))</f>
        <v>P</v>
      </c>
      <c r="AP8" s="138" t="str">
        <f>IF(OR($D8="",$E8=""),"",IF(AND($D8&lt;=AP$6+6,$E8&gt;=AP$6),IF($N8="CRÍTICA","C","P"),""))</f>
        <v>P</v>
      </c>
      <c r="AQ8" s="138" t="str">
        <f>IF(OR($D8="",$E8=""),"",IF(AND($D8&lt;=AQ$6+6,$E8&gt;=AQ$6),IF($N8="CRÍTICA","C","P"),""))</f>
        <v>P</v>
      </c>
      <c r="AR8" s="138" t="str">
        <f>IF(OR($D8="",$E8=""),"",IF(AND($D8&lt;=AR$6+6,$E8&gt;=AR$6),IF($N8="CRÍTICA","C","P"),""))</f>
        <v>P</v>
      </c>
      <c r="AS8" s="138" t="str">
        <f>IF(OR($D8="",$E8=""),"",IF(AND($D8&lt;=AS$6+6,$E8&gt;=AS$6),IF($N8="CRÍTICA","C","P"),""))</f>
        <v>P</v>
      </c>
      <c r="AT8" s="138" t="str">
        <f>IF(OR($D8="",$E8=""),"",IF(AND($D8&lt;=AT$6+6,$E8&gt;=AT$6),IF($N8="CRÍTICA","C","P"),""))</f>
        <v>P</v>
      </c>
      <c r="AU8" s="138" t="str">
        <f>IF(OR($D8="",$E8=""),"",IF(AND($D8&lt;=AU$6+6,$E8&gt;=AU$6),IF($N8="CRÍTICA","C","P"),""))</f>
        <v>P</v>
      </c>
      <c r="AV8" s="138" t="str">
        <f>IF(OR($D8="",$E8=""),"",IF(AND($D8&lt;=AV$6+6,$E8&gt;=AV$6),IF($N8="CRÍTICA","C","P"),""))</f>
        <v>P</v>
      </c>
      <c r="AW8" s="138" t="str">
        <f>IF(OR($D8="",$E8=""),"",IF(AND($D8&lt;=AW$6+6,$E8&gt;=AW$6),IF($N8="CRÍTICA","C","P"),""))</f>
        <v>P</v>
      </c>
      <c r="AX8" s="138" t="str">
        <f>IF(OR($D8="",$E8=""),"",IF(AND($D8&lt;=AX$6+6,$E8&gt;=AX$6),IF($N8="CRÍTICA","C","P"),""))</f>
        <v>P</v>
      </c>
      <c r="AY8" s="138" t="str">
        <f>IF(OR($D8="",$E8=""),"",IF(AND($D8&lt;=AY$6+6,$E8&gt;=AY$6),IF($N8="CRÍTICA","C","P"),""))</f>
        <v>P</v>
      </c>
      <c r="AZ8" s="138" t="str">
        <f>IF(OR($D8="",$E8=""),"",IF(AND($D8&lt;=AZ$6+6,$E8&gt;=AZ$6),IF($N8="CRÍTICA","C","P"),""))</f>
        <v>P</v>
      </c>
      <c r="BA8" s="138" t="str">
        <f>IF(OR($D8="",$E8=""),"",IF(AND($D8&lt;=BA$6+6,$E8&gt;=BA$6),IF($N8="CRÍTICA","C","P"),""))</f>
        <v>P</v>
      </c>
      <c r="BB8" s="138" t="str">
        <f>IF(OR($D8="",$E8=""),"",IF(AND($D8&lt;=BB$6+6,$E8&gt;=BB$6),IF($N8="CRÍTICA","C","P"),""))</f>
        <v>P</v>
      </c>
      <c r="BC8" s="138" t="str">
        <f>IF(OR($D8="",$E8=""),"",IF(AND($D8&lt;=BC$6+6,$E8&gt;=BC$6),IF($N8="CRÍTICA","C","P"),""))</f>
        <v>P</v>
      </c>
      <c r="BD8" s="138" t="str">
        <f>IF(OR($D8="",$E8=""),"",IF(AND($D8&lt;=BD$6+6,$E8&gt;=BD$6),IF($N8="CRÍTICA","C","P"),""))</f>
        <v>P</v>
      </c>
      <c r="BE8" s="138" t="str">
        <f>IF(OR($D8="",$E8=""),"",IF(AND($D8&lt;=BE$6+6,$E8&gt;=BE$6),IF($N8="CRÍTICA","C","P"),""))</f>
        <v>P</v>
      </c>
      <c r="BF8" s="138" t="str">
        <f>IF(OR($D8="",$E8=""),"",IF(AND($D8&lt;=BF$6+6,$E8&gt;=BF$6),IF($N8="CRÍTICA","C","P"),""))</f>
        <v>P</v>
      </c>
      <c r="BG8" s="138" t="str">
        <f>IF(OR($D8="",$E8=""),"",IF(AND($D8&lt;=BG$6+6,$E8&gt;=BG$6),IF($N8="CRÍTICA","C","P"),""))</f>
        <v>P</v>
      </c>
      <c r="BH8" s="138" t="str">
        <f>IF(OR($D8="",$E8=""),"",IF(AND($D8&lt;=BH$6+6,$E8&gt;=BH$6),IF($N8="CRÍTICA","C","P"),""))</f>
        <v>P</v>
      </c>
      <c r="BI8" s="138" t="str">
        <f>IF(OR($D8="",$E8=""),"",IF(AND($D8&lt;=BI$6+6,$E8&gt;=BI$6),IF($N8="CRÍTICA","C","P"),""))</f>
        <v>P</v>
      </c>
      <c r="BJ8" s="138" t="str">
        <f>IF(OR($D8="",$E8=""),"",IF(AND($D8&lt;=BJ$6+6,$E8&gt;=BJ$6),IF($N8="CRÍTICA","C","P"),""))</f>
        <v>P</v>
      </c>
      <c r="BK8" s="138" t="str">
        <f>IF(OR($D8="",$E8=""),"",IF(AND($D8&lt;=BK$6+6,$E8&gt;=BK$6),IF($N8="CRÍTICA","C","P"),""))</f>
        <v>P</v>
      </c>
      <c r="BL8" s="138" t="str">
        <f>IF(OR($D8="",$E8=""),"",IF(AND($D8&lt;=BL$6+6,$E8&gt;=BL$6),IF($N8="CRÍTICA","C","P"),""))</f>
        <v>P</v>
      </c>
      <c r="BM8" s="138" t="str">
        <f>IF(OR($D8="",$E8=""),"",IF(AND($D8&lt;=BM$6+6,$E8&gt;=BM$6),IF($N8="CRÍTICA","C","P"),""))</f>
        <v>P</v>
      </c>
      <c r="BN8" s="138">
        <f>IF(OR($D8="",$E8=""),"",IF(AND($D8&lt;=BN$6+6,$E8&gt;=BN$6),IF($N8="CRÍTICA","C","P"),""))</f>
      </c>
      <c r="BO8" s="138">
        <f>IF(OR($D8="",$E8=""),"",IF(AND($D8&lt;=BO$6+6,$E8&gt;=BO$6),IF($N8="CRÍTICA","C","P"),""))</f>
      </c>
      <c r="BP8" s="138">
        <f>IF(OR($D8="",$E8=""),"",IF(AND($D8&lt;=BP$6+6,$E8&gt;=BP$6),IF($N8="CRÍTICA","C","P"),""))</f>
      </c>
      <c r="BQ8" s="138">
        <f>IF(OR($D8="",$E8=""),"",IF(AND($D8&lt;=BQ$6+6,$E8&gt;=BQ$6),IF($N8="CRÍTICA","C","P"),""))</f>
      </c>
      <c r="BR8" s="138">
        <f>IF(OR($D8="",$E8=""),"",IF(AND($D8&lt;=BR$6+6,$E8&gt;=BR$6),IF($N8="CRÍTICA","C","P"),""))</f>
      </c>
      <c r="BT8" s="69">
        <f>_xlfn.MINIFS($G$74:$G$103,$D$74:$D$103,$A8)</f>
        <v>46314.0</v>
      </c>
      <c r="BU8" s="69">
        <f>_xlfn.MAXIFS($H$74:$H$103,$D$74:$D$103,$A8)</f>
        <v>46604.0</v>
      </c>
      <c r="BV8" s="73" t="inlineStr">
        <is>
          <t>Contrato</t>
        </is>
      </c>
      <c r="BW8" s="73" t="n">
        <v>342</v>
      </c>
      <c r="BX8" s="127">
        <f>IF(E8="","",IF(COUNTIF($G9:$G$28,$A8)+COUNTIF($H9:$H$28,$A8)+COUNTIF($I9:$I$28,$A8)=0,_xlfn.MAXIFS($E$7:$E$27,$BW$7:$BW$27,$BW8),MIN(IF(COUNTIF($G9:$G$28,$A8)&gt;0,_xlfn.MINIFS($BY9:$BY$28,$G9:$G$28,$A8),99999999),IF(COUNTIF($H9:$H$28,$A8)&gt;0,_xlfn.MINIFS($BY9:$BY$28,$H9:$H$28,$A8),99999999),IF(COUNTIF($I9:$I$28,$A8)&gt;0,_xlfn.MINIFS($BY9:$BY$28,$I9:$I$28,$A8),99999999))-1))</f>
        <v>46626.0</v>
      </c>
      <c r="BY8" s="127">
        <f>IF(BX8="","",BX8-F8+1)</f>
        <v>46336.0</v>
      </c>
      <c r="BZ8" s="140">
        <f>IF(AND(D8&lt;&gt;"",D8&gt;DATA_GESTAO),D8+ROW()/1000000,"")</f>
        <v>46314.000008</v>
      </c>
      <c r="CA8" s="73">
        <f>SUMPRODUCT(($BW$7:$BW$27=$BW8)*($G$7:$I$27&lt;&gt;""))</f>
        <v>0</v>
      </c>
    </row>
    <row r="9">
      <c r="A9" s="81" t="inlineStr">
        <is>
          <t>342-03</t>
        </is>
      </c>
      <c r="B9" s="126" t="n">
        <v>342</v>
      </c>
      <c r="C9" s="73" t="inlineStr">
        <is>
          <t>TERRAPLANAGEM E DESVIO DE TUBULAÇÃO</t>
        </is>
      </c>
      <c r="D9" s="128">
        <f>IF(BT9="","",MAX(BT9,IF($G9="",0,_xlfn.MAXIFS($E$6:$E8,$A$6:$A8,$G9)+1),IF($H9="",0,_xlfn.MAXIFS($E$6:$E8,$A$6:$A8,$H9)+1),IF($I9="",0,_xlfn.MAXIFS($E$6:$E8,$A$6:$A8,$I9)+1)))</f>
        <v>46314.0</v>
      </c>
      <c r="E9" s="128">
        <f>IF(D9="","",D9+F9-1)</f>
        <v>46325.0</v>
      </c>
      <c r="F9" s="143">
        <f>IF(OR(BT9="",BU9=""),"",BU9-BT9+1)</f>
        <v>12</v>
      </c>
      <c r="G9" s="149" t="n"/>
      <c r="H9" s="149" t="n"/>
      <c r="I9" s="150" t="n"/>
      <c r="J9" s="152" t="n"/>
      <c r="K9" s="145">
        <f>$P35</f>
        <v>131545.55</v>
      </c>
      <c r="L9" s="141" t="inlineStr">
        <is>
          <t>pendente</t>
        </is>
      </c>
      <c r="M9" s="144">
        <f>IF(OR(BX9="",E9=""),"",BX9-E9)</f>
        <v>301</v>
      </c>
      <c r="N9" s="126" t="str">
        <f>IF(M9="","",IF(CA9=0,"sem rede",IF(M9&lt;=0,"CRÍTICA","")))</f>
        <v>sem rede</v>
      </c>
      <c r="O9" s="145">
        <f>IF(OR(J9="",K9=""),"",J9*K9)</f>
      </c>
      <c r="P9" s="73" t="str">
        <f>IF(OR(BT9="",BU9=""),"sem data",IF(OR(AND(G9&lt;&gt;"",COUNTIF($A$7:$A$27,G9)=0),AND(H9&lt;&gt;"",COUNTIF($A$7:$A$27,H9)=0),AND(I9&lt;&gt;"",COUNTIF($A$7:$A$27,I9)=0)),"predecessora inexistente",IF(OR(AND(G9&lt;&gt;"",COUNTIF($A$6:$A8,G9)=0),AND(H9&lt;&gt;"",COUNTIF($A$6:$A8,H9)=0),AND(I9&lt;&gt;"",COUNTIF($A$6:$A8,I9)=0)),"predecessora abaixo da tarefa","ok")))</f>
        <v>ok</v>
      </c>
      <c r="Q9" s="138">
        <f>IF(OR($D9="",$E9=""),"",IF(AND($D9&lt;=Q$6+6,$E9&gt;=Q$6),IF($N9="CRÍTICA","C","P"),""))</f>
      </c>
      <c r="R9" s="138">
        <f>IF(OR($D9="",$E9=""),"",IF(AND($D9&lt;=R$6+6,$E9&gt;=R$6),IF($N9="CRÍTICA","C","P"),""))</f>
      </c>
      <c r="S9" s="138">
        <f>IF(OR($D9="",$E9=""),"",IF(AND($D9&lt;=S$6+6,$E9&gt;=S$6),IF($N9="CRÍTICA","C","P"),""))</f>
      </c>
      <c r="T9" s="138">
        <f>IF(OR($D9="",$E9=""),"",IF(AND($D9&lt;=T$6+6,$E9&gt;=T$6),IF($N9="CRÍTICA","C","P"),""))</f>
      </c>
      <c r="U9" s="138">
        <f>IF(OR($D9="",$E9=""),"",IF(AND($D9&lt;=U$6+6,$E9&gt;=U$6),IF($N9="CRÍTICA","C","P"),""))</f>
      </c>
      <c r="V9" s="138">
        <f>IF(OR($D9="",$E9=""),"",IF(AND($D9&lt;=V$6+6,$E9&gt;=V$6),IF($N9="CRÍTICA","C","P"),""))</f>
      </c>
      <c r="W9" s="138">
        <f>IF(OR($D9="",$E9=""),"",IF(AND($D9&lt;=W$6+6,$E9&gt;=W$6),IF($N9="CRÍTICA","C","P"),""))</f>
      </c>
      <c r="X9" s="138" t="str">
        <f>IF(OR($D9="",$E9=""),"",IF(AND($D9&lt;=X$6+6,$E9&gt;=X$6),IF($N9="CRÍTICA","C","P"),""))</f>
        <v>P</v>
      </c>
      <c r="Y9" s="138" t="str">
        <f>IF(OR($D9="",$E9=""),"",IF(AND($D9&lt;=Y$6+6,$E9&gt;=Y$6),IF($N9="CRÍTICA","C","P"),""))</f>
        <v>P</v>
      </c>
      <c r="Z9" s="138">
        <f>IF(OR($D9="",$E9=""),"",IF(AND($D9&lt;=Z$6+6,$E9&gt;=Z$6),IF($N9="CRÍTICA","C","P"),""))</f>
      </c>
      <c r="AA9" s="138">
        <f>IF(OR($D9="",$E9=""),"",IF(AND($D9&lt;=AA$6+6,$E9&gt;=AA$6),IF($N9="CRÍTICA","C","P"),""))</f>
      </c>
      <c r="AB9" s="138">
        <f>IF(OR($D9="",$E9=""),"",IF(AND($D9&lt;=AB$6+6,$E9&gt;=AB$6),IF($N9="CRÍTICA","C","P"),""))</f>
      </c>
      <c r="AC9" s="138">
        <f>IF(OR($D9="",$E9=""),"",IF(AND($D9&lt;=AC$6+6,$E9&gt;=AC$6),IF($N9="CRÍTICA","C","P"),""))</f>
      </c>
      <c r="AD9" s="138">
        <f>IF(OR($D9="",$E9=""),"",IF(AND($D9&lt;=AD$6+6,$E9&gt;=AD$6),IF($N9="CRÍTICA","C","P"),""))</f>
      </c>
      <c r="AE9" s="138">
        <f>IF(OR($D9="",$E9=""),"",IF(AND($D9&lt;=AE$6+6,$E9&gt;=AE$6),IF($N9="CRÍTICA","C","P"),""))</f>
      </c>
      <c r="AF9" s="138">
        <f>IF(OR($D9="",$E9=""),"",IF(AND($D9&lt;=AF$6+6,$E9&gt;=AF$6),IF($N9="CRÍTICA","C","P"),""))</f>
      </c>
      <c r="AG9" s="138">
        <f>IF(OR($D9="",$E9=""),"",IF(AND($D9&lt;=AG$6+6,$E9&gt;=AG$6),IF($N9="CRÍTICA","C","P"),""))</f>
      </c>
      <c r="AH9" s="138">
        <f>IF(OR($D9="",$E9=""),"",IF(AND($D9&lt;=AH$6+6,$E9&gt;=AH$6),IF($N9="CRÍTICA","C","P"),""))</f>
      </c>
      <c r="AI9" s="138">
        <f>IF(OR($D9="",$E9=""),"",IF(AND($D9&lt;=AI$6+6,$E9&gt;=AI$6),IF($N9="CRÍTICA","C","P"),""))</f>
      </c>
      <c r="AJ9" s="138">
        <f>IF(OR($D9="",$E9=""),"",IF(AND($D9&lt;=AJ$6+6,$E9&gt;=AJ$6),IF($N9="CRÍTICA","C","P"),""))</f>
      </c>
      <c r="AK9" s="138">
        <f>IF(OR($D9="",$E9=""),"",IF(AND($D9&lt;=AK$6+6,$E9&gt;=AK$6),IF($N9="CRÍTICA","C","P"),""))</f>
      </c>
      <c r="AL9" s="138">
        <f>IF(OR($D9="",$E9=""),"",IF(AND($D9&lt;=AL$6+6,$E9&gt;=AL$6),IF($N9="CRÍTICA","C","P"),""))</f>
      </c>
      <c r="AM9" s="138">
        <f>IF(OR($D9="",$E9=""),"",IF(AND($D9&lt;=AM$6+6,$E9&gt;=AM$6),IF($N9="CRÍTICA","C","P"),""))</f>
      </c>
      <c r="AN9" s="138">
        <f>IF(OR($D9="",$E9=""),"",IF(AND($D9&lt;=AN$6+6,$E9&gt;=AN$6),IF($N9="CRÍTICA","C","P"),""))</f>
      </c>
      <c r="AO9" s="138">
        <f>IF(OR($D9="",$E9=""),"",IF(AND($D9&lt;=AO$6+6,$E9&gt;=AO$6),IF($N9="CRÍTICA","C","P"),""))</f>
      </c>
      <c r="AP9" s="138">
        <f>IF(OR($D9="",$E9=""),"",IF(AND($D9&lt;=AP$6+6,$E9&gt;=AP$6),IF($N9="CRÍTICA","C","P"),""))</f>
      </c>
      <c r="AQ9" s="138">
        <f>IF(OR($D9="",$E9=""),"",IF(AND($D9&lt;=AQ$6+6,$E9&gt;=AQ$6),IF($N9="CRÍTICA","C","P"),""))</f>
      </c>
      <c r="AR9" s="138">
        <f>IF(OR($D9="",$E9=""),"",IF(AND($D9&lt;=AR$6+6,$E9&gt;=AR$6),IF($N9="CRÍTICA","C","P"),""))</f>
      </c>
      <c r="AS9" s="138">
        <f>IF(OR($D9="",$E9=""),"",IF(AND($D9&lt;=AS$6+6,$E9&gt;=AS$6),IF($N9="CRÍTICA","C","P"),""))</f>
      </c>
      <c r="AT9" s="138">
        <f>IF(OR($D9="",$E9=""),"",IF(AND($D9&lt;=AT$6+6,$E9&gt;=AT$6),IF($N9="CRÍTICA","C","P"),""))</f>
      </c>
      <c r="AU9" s="138">
        <f>IF(OR($D9="",$E9=""),"",IF(AND($D9&lt;=AU$6+6,$E9&gt;=AU$6),IF($N9="CRÍTICA","C","P"),""))</f>
      </c>
      <c r="AV9" s="138">
        <f>IF(OR($D9="",$E9=""),"",IF(AND($D9&lt;=AV$6+6,$E9&gt;=AV$6),IF($N9="CRÍTICA","C","P"),""))</f>
      </c>
      <c r="AW9" s="138">
        <f>IF(OR($D9="",$E9=""),"",IF(AND($D9&lt;=AW$6+6,$E9&gt;=AW$6),IF($N9="CRÍTICA","C","P"),""))</f>
      </c>
      <c r="AX9" s="138">
        <f>IF(OR($D9="",$E9=""),"",IF(AND($D9&lt;=AX$6+6,$E9&gt;=AX$6),IF($N9="CRÍTICA","C","P"),""))</f>
      </c>
      <c r="AY9" s="138">
        <f>IF(OR($D9="",$E9=""),"",IF(AND($D9&lt;=AY$6+6,$E9&gt;=AY$6),IF($N9="CRÍTICA","C","P"),""))</f>
      </c>
      <c r="AZ9" s="138">
        <f>IF(OR($D9="",$E9=""),"",IF(AND($D9&lt;=AZ$6+6,$E9&gt;=AZ$6),IF($N9="CRÍTICA","C","P"),""))</f>
      </c>
      <c r="BA9" s="138">
        <f>IF(OR($D9="",$E9=""),"",IF(AND($D9&lt;=BA$6+6,$E9&gt;=BA$6),IF($N9="CRÍTICA","C","P"),""))</f>
      </c>
      <c r="BB9" s="138">
        <f>IF(OR($D9="",$E9=""),"",IF(AND($D9&lt;=BB$6+6,$E9&gt;=BB$6),IF($N9="CRÍTICA","C","P"),""))</f>
      </c>
      <c r="BC9" s="138">
        <f>IF(OR($D9="",$E9=""),"",IF(AND($D9&lt;=BC$6+6,$E9&gt;=BC$6),IF($N9="CRÍTICA","C","P"),""))</f>
      </c>
      <c r="BD9" s="138">
        <f>IF(OR($D9="",$E9=""),"",IF(AND($D9&lt;=BD$6+6,$E9&gt;=BD$6),IF($N9="CRÍTICA","C","P"),""))</f>
      </c>
      <c r="BE9" s="138">
        <f>IF(OR($D9="",$E9=""),"",IF(AND($D9&lt;=BE$6+6,$E9&gt;=BE$6),IF($N9="CRÍTICA","C","P"),""))</f>
      </c>
      <c r="BF9" s="138">
        <f>IF(OR($D9="",$E9=""),"",IF(AND($D9&lt;=BF$6+6,$E9&gt;=BF$6),IF($N9="CRÍTICA","C","P"),""))</f>
      </c>
      <c r="BG9" s="138">
        <f>IF(OR($D9="",$E9=""),"",IF(AND($D9&lt;=BG$6+6,$E9&gt;=BG$6),IF($N9="CRÍTICA","C","P"),""))</f>
      </c>
      <c r="BH9" s="138">
        <f>IF(OR($D9="",$E9=""),"",IF(AND($D9&lt;=BH$6+6,$E9&gt;=BH$6),IF($N9="CRÍTICA","C","P"),""))</f>
      </c>
      <c r="BI9" s="138">
        <f>IF(OR($D9="",$E9=""),"",IF(AND($D9&lt;=BI$6+6,$E9&gt;=BI$6),IF($N9="CRÍTICA","C","P"),""))</f>
      </c>
      <c r="BJ9" s="138">
        <f>IF(OR($D9="",$E9=""),"",IF(AND($D9&lt;=BJ$6+6,$E9&gt;=BJ$6),IF($N9="CRÍTICA","C","P"),""))</f>
      </c>
      <c r="BK9" s="138">
        <f>IF(OR($D9="",$E9=""),"",IF(AND($D9&lt;=BK$6+6,$E9&gt;=BK$6),IF($N9="CRÍTICA","C","P"),""))</f>
      </c>
      <c r="BL9" s="138">
        <f>IF(OR($D9="",$E9=""),"",IF(AND($D9&lt;=BL$6+6,$E9&gt;=BL$6),IF($N9="CRÍTICA","C","P"),""))</f>
      </c>
      <c r="BM9" s="138">
        <f>IF(OR($D9="",$E9=""),"",IF(AND($D9&lt;=BM$6+6,$E9&gt;=BM$6),IF($N9="CRÍTICA","C","P"),""))</f>
      </c>
      <c r="BN9" s="138">
        <f>IF(OR($D9="",$E9=""),"",IF(AND($D9&lt;=BN$6+6,$E9&gt;=BN$6),IF($N9="CRÍTICA","C","P"),""))</f>
      </c>
      <c r="BO9" s="138">
        <f>IF(OR($D9="",$E9=""),"",IF(AND($D9&lt;=BO$6+6,$E9&gt;=BO$6),IF($N9="CRÍTICA","C","P"),""))</f>
      </c>
      <c r="BP9" s="138">
        <f>IF(OR($D9="",$E9=""),"",IF(AND($D9&lt;=BP$6+6,$E9&gt;=BP$6),IF($N9="CRÍTICA","C","P"),""))</f>
      </c>
      <c r="BQ9" s="138">
        <f>IF(OR($D9="",$E9=""),"",IF(AND($D9&lt;=BQ$6+6,$E9&gt;=BQ$6),IF($N9="CRÍTICA","C","P"),""))</f>
      </c>
      <c r="BR9" s="138">
        <f>IF(OR($D9="",$E9=""),"",IF(AND($D9&lt;=BR$6+6,$E9&gt;=BR$6),IF($N9="CRÍTICA","C","P"),""))</f>
      </c>
      <c r="BT9" s="69">
        <f>_xlfn.MINIFS($G$74:$G$103,$D$74:$D$103,$A9)</f>
        <v>46314.0</v>
      </c>
      <c r="BU9" s="69">
        <f>_xlfn.MAXIFS($H$74:$H$103,$D$74:$D$103,$A9)</f>
        <v>46325.0</v>
      </c>
      <c r="BV9" s="73" t="inlineStr">
        <is>
          <t>Contrato</t>
        </is>
      </c>
      <c r="BW9" s="73" t="n">
        <v>342</v>
      </c>
      <c r="BX9" s="127">
        <f>IF(E9="","",IF(COUNTIF($G10:$G$28,$A9)+COUNTIF($H10:$H$28,$A9)+COUNTIF($I10:$I$28,$A9)=0,_xlfn.MAXIFS($E$7:$E$27,$BW$7:$BW$27,$BW9),MIN(IF(COUNTIF($G10:$G$28,$A9)&gt;0,_xlfn.MINIFS($BY10:$BY$28,$G10:$G$28,$A9),99999999),IF(COUNTIF($H10:$H$28,$A9)&gt;0,_xlfn.MINIFS($BY10:$BY$28,$H10:$H$28,$A9),99999999),IF(COUNTIF($I10:$I$28,$A9)&gt;0,_xlfn.MINIFS($BY10:$BY$28,$I10:$I$28,$A9),99999999))-1))</f>
        <v>46626.0</v>
      </c>
      <c r="BY9" s="127">
        <f>IF(BX9="","",BX9-F9+1)</f>
        <v>46615.0</v>
      </c>
      <c r="BZ9" s="140">
        <f>IF(AND(D9&lt;&gt;"",D9&gt;DATA_GESTAO),D9+ROW()/1000000,"")</f>
        <v>46314.000009</v>
      </c>
      <c r="CA9" s="73">
        <f>SUMPRODUCT(($BW$7:$BW$27=$BW9)*($G$7:$I$27&lt;&gt;""))</f>
        <v>0</v>
      </c>
    </row>
    <row r="10">
      <c r="A10" s="81" t="inlineStr">
        <is>
          <t>342-04</t>
        </is>
      </c>
      <c r="B10" s="126" t="n">
        <v>342</v>
      </c>
      <c r="C10" s="73" t="inlineStr">
        <is>
          <t>INTERLIGAÇÕES ETA × UTR</t>
        </is>
      </c>
      <c r="D10" s="128">
        <f>IF(BT10="","",MAX(BT10,IF($G10="",0,_xlfn.MAXIFS($E$6:$E9,$A$6:$A9,$G10)+1),IF($H10="",0,_xlfn.MAXIFS($E$6:$E9,$A$6:$A9,$H10)+1),IF($I10="",0,_xlfn.MAXIFS($E$6:$E9,$A$6:$A9,$I10)+1)))</f>
        <v>46358.0</v>
      </c>
      <c r="E10" s="128">
        <f>IF(D10="","",D10+F10-1)</f>
        <v>46380.0</v>
      </c>
      <c r="F10" s="143">
        <f>IF(OR(BT10="",BU10=""),"",BU10-BT10+1)</f>
        <v>23</v>
      </c>
      <c r="G10" s="149" t="n"/>
      <c r="H10" s="149" t="n"/>
      <c r="I10" s="150" t="n"/>
      <c r="J10" s="152" t="n"/>
      <c r="K10" s="145">
        <f>$P36</f>
        <v>334559.95</v>
      </c>
      <c r="L10" s="141" t="inlineStr">
        <is>
          <t>pendente</t>
        </is>
      </c>
      <c r="M10" s="144">
        <f>IF(OR(BX10="",E10=""),"",BX10-E10)</f>
        <v>246</v>
      </c>
      <c r="N10" s="126" t="str">
        <f>IF(M10="","",IF(CA10=0,"sem rede",IF(M10&lt;=0,"CRÍTICA","")))</f>
        <v>sem rede</v>
      </c>
      <c r="O10" s="145">
        <f>IF(OR(J10="",K10=""),"",J10*K10)</f>
      </c>
      <c r="P10" s="73" t="str">
        <f>IF(OR(BT10="",BU10=""),"sem data",IF(OR(AND(G10&lt;&gt;"",COUNTIF($A$7:$A$27,G10)=0),AND(H10&lt;&gt;"",COUNTIF($A$7:$A$27,H10)=0),AND(I10&lt;&gt;"",COUNTIF($A$7:$A$27,I10)=0)),"predecessora inexistente",IF(OR(AND(G10&lt;&gt;"",COUNTIF($A$6:$A9,G10)=0),AND(H10&lt;&gt;"",COUNTIF($A$6:$A9,H10)=0),AND(I10&lt;&gt;"",COUNTIF($A$6:$A9,I10)=0)),"predecessora abaixo da tarefa","ok")))</f>
        <v>ok</v>
      </c>
      <c r="Q10" s="138">
        <f>IF(OR($D10="",$E10=""),"",IF(AND($D10&lt;=Q$6+6,$E10&gt;=Q$6),IF($N10="CRÍTICA","C","P"),""))</f>
      </c>
      <c r="R10" s="138">
        <f>IF(OR($D10="",$E10=""),"",IF(AND($D10&lt;=R$6+6,$E10&gt;=R$6),IF($N10="CRÍTICA","C","P"),""))</f>
      </c>
      <c r="S10" s="138">
        <f>IF(OR($D10="",$E10=""),"",IF(AND($D10&lt;=S$6+6,$E10&gt;=S$6),IF($N10="CRÍTICA","C","P"),""))</f>
      </c>
      <c r="T10" s="138">
        <f>IF(OR($D10="",$E10=""),"",IF(AND($D10&lt;=T$6+6,$E10&gt;=T$6),IF($N10="CRÍTICA","C","P"),""))</f>
      </c>
      <c r="U10" s="138">
        <f>IF(OR($D10="",$E10=""),"",IF(AND($D10&lt;=U$6+6,$E10&gt;=U$6),IF($N10="CRÍTICA","C","P"),""))</f>
      </c>
      <c r="V10" s="138">
        <f>IF(OR($D10="",$E10=""),"",IF(AND($D10&lt;=V$6+6,$E10&gt;=V$6),IF($N10="CRÍTICA","C","P"),""))</f>
      </c>
      <c r="W10" s="138">
        <f>IF(OR($D10="",$E10=""),"",IF(AND($D10&lt;=W$6+6,$E10&gt;=W$6),IF($N10="CRÍTICA","C","P"),""))</f>
      </c>
      <c r="X10" s="138">
        <f>IF(OR($D10="",$E10=""),"",IF(AND($D10&lt;=X$6+6,$E10&gt;=X$6),IF($N10="CRÍTICA","C","P"),""))</f>
      </c>
      <c r="Y10" s="138">
        <f>IF(OR($D10="",$E10=""),"",IF(AND($D10&lt;=Y$6+6,$E10&gt;=Y$6),IF($N10="CRÍTICA","C","P"),""))</f>
      </c>
      <c r="Z10" s="138">
        <f>IF(OR($D10="",$E10=""),"",IF(AND($D10&lt;=Z$6+6,$E10&gt;=Z$6),IF($N10="CRÍTICA","C","P"),""))</f>
      </c>
      <c r="AA10" s="138">
        <f>IF(OR($D10="",$E10=""),"",IF(AND($D10&lt;=AA$6+6,$E10&gt;=AA$6),IF($N10="CRÍTICA","C","P"),""))</f>
      </c>
      <c r="AB10" s="138">
        <f>IF(OR($D10="",$E10=""),"",IF(AND($D10&lt;=AB$6+6,$E10&gt;=AB$6),IF($N10="CRÍTICA","C","P"),""))</f>
      </c>
      <c r="AC10" s="138">
        <f>IF(OR($D10="",$E10=""),"",IF(AND($D10&lt;=AC$6+6,$E10&gt;=AC$6),IF($N10="CRÍTICA","C","P"),""))</f>
      </c>
      <c r="AD10" s="138" t="str">
        <f>IF(OR($D10="",$E10=""),"",IF(AND($D10&lt;=AD$6+6,$E10&gt;=AD$6),IF($N10="CRÍTICA","C","P"),""))</f>
        <v>P</v>
      </c>
      <c r="AE10" s="138" t="str">
        <f>IF(OR($D10="",$E10=""),"",IF(AND($D10&lt;=AE$6+6,$E10&gt;=AE$6),IF($N10="CRÍTICA","C","P"),""))</f>
        <v>P</v>
      </c>
      <c r="AF10" s="138" t="str">
        <f>IF(OR($D10="",$E10=""),"",IF(AND($D10&lt;=AF$6+6,$E10&gt;=AF$6),IF($N10="CRÍTICA","C","P"),""))</f>
        <v>P</v>
      </c>
      <c r="AG10" s="138" t="str">
        <f>IF(OR($D10="",$E10=""),"",IF(AND($D10&lt;=AG$6+6,$E10&gt;=AG$6),IF($N10="CRÍTICA","C","P"),""))</f>
        <v>P</v>
      </c>
      <c r="AH10" s="138">
        <f>IF(OR($D10="",$E10=""),"",IF(AND($D10&lt;=AH$6+6,$E10&gt;=AH$6),IF($N10="CRÍTICA","C","P"),""))</f>
      </c>
      <c r="AI10" s="138">
        <f>IF(OR($D10="",$E10=""),"",IF(AND($D10&lt;=AI$6+6,$E10&gt;=AI$6),IF($N10="CRÍTICA","C","P"),""))</f>
      </c>
      <c r="AJ10" s="138">
        <f>IF(OR($D10="",$E10=""),"",IF(AND($D10&lt;=AJ$6+6,$E10&gt;=AJ$6),IF($N10="CRÍTICA","C","P"),""))</f>
      </c>
      <c r="AK10" s="138">
        <f>IF(OR($D10="",$E10=""),"",IF(AND($D10&lt;=AK$6+6,$E10&gt;=AK$6),IF($N10="CRÍTICA","C","P"),""))</f>
      </c>
      <c r="AL10" s="138">
        <f>IF(OR($D10="",$E10=""),"",IF(AND($D10&lt;=AL$6+6,$E10&gt;=AL$6),IF($N10="CRÍTICA","C","P"),""))</f>
      </c>
      <c r="AM10" s="138">
        <f>IF(OR($D10="",$E10=""),"",IF(AND($D10&lt;=AM$6+6,$E10&gt;=AM$6),IF($N10="CRÍTICA","C","P"),""))</f>
      </c>
      <c r="AN10" s="138">
        <f>IF(OR($D10="",$E10=""),"",IF(AND($D10&lt;=AN$6+6,$E10&gt;=AN$6),IF($N10="CRÍTICA","C","P"),""))</f>
      </c>
      <c r="AO10" s="138">
        <f>IF(OR($D10="",$E10=""),"",IF(AND($D10&lt;=AO$6+6,$E10&gt;=AO$6),IF($N10="CRÍTICA","C","P"),""))</f>
      </c>
      <c r="AP10" s="138">
        <f>IF(OR($D10="",$E10=""),"",IF(AND($D10&lt;=AP$6+6,$E10&gt;=AP$6),IF($N10="CRÍTICA","C","P"),""))</f>
      </c>
      <c r="AQ10" s="138">
        <f>IF(OR($D10="",$E10=""),"",IF(AND($D10&lt;=AQ$6+6,$E10&gt;=AQ$6),IF($N10="CRÍTICA","C","P"),""))</f>
      </c>
      <c r="AR10" s="138">
        <f>IF(OR($D10="",$E10=""),"",IF(AND($D10&lt;=AR$6+6,$E10&gt;=AR$6),IF($N10="CRÍTICA","C","P"),""))</f>
      </c>
      <c r="AS10" s="138">
        <f>IF(OR($D10="",$E10=""),"",IF(AND($D10&lt;=AS$6+6,$E10&gt;=AS$6),IF($N10="CRÍTICA","C","P"),""))</f>
      </c>
      <c r="AT10" s="138">
        <f>IF(OR($D10="",$E10=""),"",IF(AND($D10&lt;=AT$6+6,$E10&gt;=AT$6),IF($N10="CRÍTICA","C","P"),""))</f>
      </c>
      <c r="AU10" s="138">
        <f>IF(OR($D10="",$E10=""),"",IF(AND($D10&lt;=AU$6+6,$E10&gt;=AU$6),IF($N10="CRÍTICA","C","P"),""))</f>
      </c>
      <c r="AV10" s="138">
        <f>IF(OR($D10="",$E10=""),"",IF(AND($D10&lt;=AV$6+6,$E10&gt;=AV$6),IF($N10="CRÍTICA","C","P"),""))</f>
      </c>
      <c r="AW10" s="138">
        <f>IF(OR($D10="",$E10=""),"",IF(AND($D10&lt;=AW$6+6,$E10&gt;=AW$6),IF($N10="CRÍTICA","C","P"),""))</f>
      </c>
      <c r="AX10" s="138">
        <f>IF(OR($D10="",$E10=""),"",IF(AND($D10&lt;=AX$6+6,$E10&gt;=AX$6),IF($N10="CRÍTICA","C","P"),""))</f>
      </c>
      <c r="AY10" s="138">
        <f>IF(OR($D10="",$E10=""),"",IF(AND($D10&lt;=AY$6+6,$E10&gt;=AY$6),IF($N10="CRÍTICA","C","P"),""))</f>
      </c>
      <c r="AZ10" s="138">
        <f>IF(OR($D10="",$E10=""),"",IF(AND($D10&lt;=AZ$6+6,$E10&gt;=AZ$6),IF($N10="CRÍTICA","C","P"),""))</f>
      </c>
      <c r="BA10" s="138">
        <f>IF(OR($D10="",$E10=""),"",IF(AND($D10&lt;=BA$6+6,$E10&gt;=BA$6),IF($N10="CRÍTICA","C","P"),""))</f>
      </c>
      <c r="BB10" s="138">
        <f>IF(OR($D10="",$E10=""),"",IF(AND($D10&lt;=BB$6+6,$E10&gt;=BB$6),IF($N10="CRÍTICA","C","P"),""))</f>
      </c>
      <c r="BC10" s="138">
        <f>IF(OR($D10="",$E10=""),"",IF(AND($D10&lt;=BC$6+6,$E10&gt;=BC$6),IF($N10="CRÍTICA","C","P"),""))</f>
      </c>
      <c r="BD10" s="138">
        <f>IF(OR($D10="",$E10=""),"",IF(AND($D10&lt;=BD$6+6,$E10&gt;=BD$6),IF($N10="CRÍTICA","C","P"),""))</f>
      </c>
      <c r="BE10" s="138">
        <f>IF(OR($D10="",$E10=""),"",IF(AND($D10&lt;=BE$6+6,$E10&gt;=BE$6),IF($N10="CRÍTICA","C","P"),""))</f>
      </c>
      <c r="BF10" s="138">
        <f>IF(OR($D10="",$E10=""),"",IF(AND($D10&lt;=BF$6+6,$E10&gt;=BF$6),IF($N10="CRÍTICA","C","P"),""))</f>
      </c>
      <c r="BG10" s="138">
        <f>IF(OR($D10="",$E10=""),"",IF(AND($D10&lt;=BG$6+6,$E10&gt;=BG$6),IF($N10="CRÍTICA","C","P"),""))</f>
      </c>
      <c r="BH10" s="138">
        <f>IF(OR($D10="",$E10=""),"",IF(AND($D10&lt;=BH$6+6,$E10&gt;=BH$6),IF($N10="CRÍTICA","C","P"),""))</f>
      </c>
      <c r="BI10" s="138">
        <f>IF(OR($D10="",$E10=""),"",IF(AND($D10&lt;=BI$6+6,$E10&gt;=BI$6),IF($N10="CRÍTICA","C","P"),""))</f>
      </c>
      <c r="BJ10" s="138">
        <f>IF(OR($D10="",$E10=""),"",IF(AND($D10&lt;=BJ$6+6,$E10&gt;=BJ$6),IF($N10="CRÍTICA","C","P"),""))</f>
      </c>
      <c r="BK10" s="138">
        <f>IF(OR($D10="",$E10=""),"",IF(AND($D10&lt;=BK$6+6,$E10&gt;=BK$6),IF($N10="CRÍTICA","C","P"),""))</f>
      </c>
      <c r="BL10" s="138">
        <f>IF(OR($D10="",$E10=""),"",IF(AND($D10&lt;=BL$6+6,$E10&gt;=BL$6),IF($N10="CRÍTICA","C","P"),""))</f>
      </c>
      <c r="BM10" s="138">
        <f>IF(OR($D10="",$E10=""),"",IF(AND($D10&lt;=BM$6+6,$E10&gt;=BM$6),IF($N10="CRÍTICA","C","P"),""))</f>
      </c>
      <c r="BN10" s="138">
        <f>IF(OR($D10="",$E10=""),"",IF(AND($D10&lt;=BN$6+6,$E10&gt;=BN$6),IF($N10="CRÍTICA","C","P"),""))</f>
      </c>
      <c r="BO10" s="138">
        <f>IF(OR($D10="",$E10=""),"",IF(AND($D10&lt;=BO$6+6,$E10&gt;=BO$6),IF($N10="CRÍTICA","C","P"),""))</f>
      </c>
      <c r="BP10" s="138">
        <f>IF(OR($D10="",$E10=""),"",IF(AND($D10&lt;=BP$6+6,$E10&gt;=BP$6),IF($N10="CRÍTICA","C","P"),""))</f>
      </c>
      <c r="BQ10" s="138">
        <f>IF(OR($D10="",$E10=""),"",IF(AND($D10&lt;=BQ$6+6,$E10&gt;=BQ$6),IF($N10="CRÍTICA","C","P"),""))</f>
      </c>
      <c r="BR10" s="138">
        <f>IF(OR($D10="",$E10=""),"",IF(AND($D10&lt;=BR$6+6,$E10&gt;=BR$6),IF($N10="CRÍTICA","C","P"),""))</f>
      </c>
      <c r="BT10" s="69">
        <f>_xlfn.MINIFS($G$74:$G$103,$D$74:$D$103,$A10)</f>
        <v>46358.0</v>
      </c>
      <c r="BU10" s="69">
        <f>_xlfn.MAXIFS($H$74:$H$103,$D$74:$D$103,$A10)</f>
        <v>46380.0</v>
      </c>
      <c r="BV10" s="73" t="inlineStr">
        <is>
          <t>Contrato</t>
        </is>
      </c>
      <c r="BW10" s="73" t="n">
        <v>342</v>
      </c>
      <c r="BX10" s="127">
        <f>IF(E10="","",IF(COUNTIF($G11:$G$28,$A10)+COUNTIF($H11:$H$28,$A10)+COUNTIF($I11:$I$28,$A10)=0,_xlfn.MAXIFS($E$7:$E$27,$BW$7:$BW$27,$BW10),MIN(IF(COUNTIF($G11:$G$28,$A10)&gt;0,_xlfn.MINIFS($BY11:$BY$28,$G11:$G$28,$A10),99999999),IF(COUNTIF($H11:$H$28,$A10)&gt;0,_xlfn.MINIFS($BY11:$BY$28,$H11:$H$28,$A10),99999999),IF(COUNTIF($I11:$I$28,$A10)&gt;0,_xlfn.MINIFS($BY11:$BY$28,$I11:$I$28,$A10),99999999))-1))</f>
        <v>46626.0</v>
      </c>
      <c r="BY10" s="127">
        <f>IF(BX10="","",BX10-F10+1)</f>
        <v>46604.0</v>
      </c>
      <c r="BZ10" s="140">
        <f>IF(AND(D10&lt;&gt;"",D10&gt;DATA_GESTAO),D10+ROW()/1000000,"")</f>
        <v>46358.00001</v>
      </c>
      <c r="CA10" s="73">
        <f>SUMPRODUCT(($BW$7:$BW$27=$BW10)*($G$7:$I$27&lt;&gt;""))</f>
        <v>0</v>
      </c>
    </row>
    <row r="11">
      <c r="A11" s="81" t="inlineStr">
        <is>
          <t>342-05</t>
        </is>
      </c>
      <c r="B11" s="126" t="n">
        <v>342</v>
      </c>
      <c r="C11" s="73" t="inlineStr">
        <is>
          <t>INTERLIGAÇÕES LINHA DE RECALQUE UTR × ETA</t>
        </is>
      </c>
      <c r="D11" s="128">
        <f>IF(BT11="","",MAX(BT11,IF($G11="",0,_xlfn.MAXIFS($E$6:$E10,$A$6:$A10,$G11)+1),IF($H11="",0,_xlfn.MAXIFS($E$6:$E10,$A$6:$A10,$H11)+1),IF($I11="",0,_xlfn.MAXIFS($E$6:$E10,$A$6:$A10,$I11)+1)))</f>
        <v>46370.0</v>
      </c>
      <c r="E11" s="128">
        <f>IF(D11="","",D11+F11-1)</f>
        <v>46387.0</v>
      </c>
      <c r="F11" s="143">
        <f>IF(OR(BT11="",BU11=""),"",BU11-BT11+1)</f>
        <v>18</v>
      </c>
      <c r="G11" s="149" t="n"/>
      <c r="H11" s="149" t="n"/>
      <c r="I11" s="150" t="n"/>
      <c r="J11" s="152" t="n"/>
      <c r="K11" s="145">
        <f>$P37</f>
        <v>54857.68</v>
      </c>
      <c r="L11" s="141" t="inlineStr">
        <is>
          <t>pendente</t>
        </is>
      </c>
      <c r="M11" s="144">
        <f>IF(OR(BX11="",E11=""),"",BX11-E11)</f>
        <v>239</v>
      </c>
      <c r="N11" s="126" t="str">
        <f>IF(M11="","",IF(CA11=0,"sem rede",IF(M11&lt;=0,"CRÍTICA","")))</f>
        <v>sem rede</v>
      </c>
      <c r="O11" s="145">
        <f>IF(OR(J11="",K11=""),"",J11*K11)</f>
      </c>
      <c r="P11" s="73" t="str">
        <f>IF(OR(BT11="",BU11=""),"sem data",IF(OR(AND(G11&lt;&gt;"",COUNTIF($A$7:$A$27,G11)=0),AND(H11&lt;&gt;"",COUNTIF($A$7:$A$27,H11)=0),AND(I11&lt;&gt;"",COUNTIF($A$7:$A$27,I11)=0)),"predecessora inexistente",IF(OR(AND(G11&lt;&gt;"",COUNTIF($A$6:$A10,G11)=0),AND(H11&lt;&gt;"",COUNTIF($A$6:$A10,H11)=0),AND(I11&lt;&gt;"",COUNTIF($A$6:$A10,I11)=0)),"predecessora abaixo da tarefa","ok")))</f>
        <v>ok</v>
      </c>
      <c r="Q11" s="138">
        <f>IF(OR($D11="",$E11=""),"",IF(AND($D11&lt;=Q$6+6,$E11&gt;=Q$6),IF($N11="CRÍTICA","C","P"),""))</f>
      </c>
      <c r="R11" s="138">
        <f>IF(OR($D11="",$E11=""),"",IF(AND($D11&lt;=R$6+6,$E11&gt;=R$6),IF($N11="CRÍTICA","C","P"),""))</f>
      </c>
      <c r="S11" s="138">
        <f>IF(OR($D11="",$E11=""),"",IF(AND($D11&lt;=S$6+6,$E11&gt;=S$6),IF($N11="CRÍTICA","C","P"),""))</f>
      </c>
      <c r="T11" s="138">
        <f>IF(OR($D11="",$E11=""),"",IF(AND($D11&lt;=T$6+6,$E11&gt;=T$6),IF($N11="CRÍTICA","C","P"),""))</f>
      </c>
      <c r="U11" s="138">
        <f>IF(OR($D11="",$E11=""),"",IF(AND($D11&lt;=U$6+6,$E11&gt;=U$6),IF($N11="CRÍTICA","C","P"),""))</f>
      </c>
      <c r="V11" s="138">
        <f>IF(OR($D11="",$E11=""),"",IF(AND($D11&lt;=V$6+6,$E11&gt;=V$6),IF($N11="CRÍTICA","C","P"),""))</f>
      </c>
      <c r="W11" s="138">
        <f>IF(OR($D11="",$E11=""),"",IF(AND($D11&lt;=W$6+6,$E11&gt;=W$6),IF($N11="CRÍTICA","C","P"),""))</f>
      </c>
      <c r="X11" s="138">
        <f>IF(OR($D11="",$E11=""),"",IF(AND($D11&lt;=X$6+6,$E11&gt;=X$6),IF($N11="CRÍTICA","C","P"),""))</f>
      </c>
      <c r="Y11" s="138">
        <f>IF(OR($D11="",$E11=""),"",IF(AND($D11&lt;=Y$6+6,$E11&gt;=Y$6),IF($N11="CRÍTICA","C","P"),""))</f>
      </c>
      <c r="Z11" s="138">
        <f>IF(OR($D11="",$E11=""),"",IF(AND($D11&lt;=Z$6+6,$E11&gt;=Z$6),IF($N11="CRÍTICA","C","P"),""))</f>
      </c>
      <c r="AA11" s="138">
        <f>IF(OR($D11="",$E11=""),"",IF(AND($D11&lt;=AA$6+6,$E11&gt;=AA$6),IF($N11="CRÍTICA","C","P"),""))</f>
      </c>
      <c r="AB11" s="138">
        <f>IF(OR($D11="",$E11=""),"",IF(AND($D11&lt;=AB$6+6,$E11&gt;=AB$6),IF($N11="CRÍTICA","C","P"),""))</f>
      </c>
      <c r="AC11" s="138">
        <f>IF(OR($D11="",$E11=""),"",IF(AND($D11&lt;=AC$6+6,$E11&gt;=AC$6),IF($N11="CRÍTICA","C","P"),""))</f>
      </c>
      <c r="AD11" s="138">
        <f>IF(OR($D11="",$E11=""),"",IF(AND($D11&lt;=AD$6+6,$E11&gt;=AD$6),IF($N11="CRÍTICA","C","P"),""))</f>
      </c>
      <c r="AE11" s="138">
        <f>IF(OR($D11="",$E11=""),"",IF(AND($D11&lt;=AE$6+6,$E11&gt;=AE$6),IF($N11="CRÍTICA","C","P"),""))</f>
      </c>
      <c r="AF11" s="138" t="str">
        <f>IF(OR($D11="",$E11=""),"",IF(AND($D11&lt;=AF$6+6,$E11&gt;=AF$6),IF($N11="CRÍTICA","C","P"),""))</f>
        <v>P</v>
      </c>
      <c r="AG11" s="138" t="str">
        <f>IF(OR($D11="",$E11=""),"",IF(AND($D11&lt;=AG$6+6,$E11&gt;=AG$6),IF($N11="CRÍTICA","C","P"),""))</f>
        <v>P</v>
      </c>
      <c r="AH11" s="138" t="str">
        <f>IF(OR($D11="",$E11=""),"",IF(AND($D11&lt;=AH$6+6,$E11&gt;=AH$6),IF($N11="CRÍTICA","C","P"),""))</f>
        <v>P</v>
      </c>
      <c r="AI11" s="138">
        <f>IF(OR($D11="",$E11=""),"",IF(AND($D11&lt;=AI$6+6,$E11&gt;=AI$6),IF($N11="CRÍTICA","C","P"),""))</f>
      </c>
      <c r="AJ11" s="138">
        <f>IF(OR($D11="",$E11=""),"",IF(AND($D11&lt;=AJ$6+6,$E11&gt;=AJ$6),IF($N11="CRÍTICA","C","P"),""))</f>
      </c>
      <c r="AK11" s="138">
        <f>IF(OR($D11="",$E11=""),"",IF(AND($D11&lt;=AK$6+6,$E11&gt;=AK$6),IF($N11="CRÍTICA","C","P"),""))</f>
      </c>
      <c r="AL11" s="138">
        <f>IF(OR($D11="",$E11=""),"",IF(AND($D11&lt;=AL$6+6,$E11&gt;=AL$6),IF($N11="CRÍTICA","C","P"),""))</f>
      </c>
      <c r="AM11" s="138">
        <f>IF(OR($D11="",$E11=""),"",IF(AND($D11&lt;=AM$6+6,$E11&gt;=AM$6),IF($N11="CRÍTICA","C","P"),""))</f>
      </c>
      <c r="AN11" s="138">
        <f>IF(OR($D11="",$E11=""),"",IF(AND($D11&lt;=AN$6+6,$E11&gt;=AN$6),IF($N11="CRÍTICA","C","P"),""))</f>
      </c>
      <c r="AO11" s="138">
        <f>IF(OR($D11="",$E11=""),"",IF(AND($D11&lt;=AO$6+6,$E11&gt;=AO$6),IF($N11="CRÍTICA","C","P"),""))</f>
      </c>
      <c r="AP11" s="138">
        <f>IF(OR($D11="",$E11=""),"",IF(AND($D11&lt;=AP$6+6,$E11&gt;=AP$6),IF($N11="CRÍTICA","C","P"),""))</f>
      </c>
      <c r="AQ11" s="138">
        <f>IF(OR($D11="",$E11=""),"",IF(AND($D11&lt;=AQ$6+6,$E11&gt;=AQ$6),IF($N11="CRÍTICA","C","P"),""))</f>
      </c>
      <c r="AR11" s="138">
        <f>IF(OR($D11="",$E11=""),"",IF(AND($D11&lt;=AR$6+6,$E11&gt;=AR$6),IF($N11="CRÍTICA","C","P"),""))</f>
      </c>
      <c r="AS11" s="138">
        <f>IF(OR($D11="",$E11=""),"",IF(AND($D11&lt;=AS$6+6,$E11&gt;=AS$6),IF($N11="CRÍTICA","C","P"),""))</f>
      </c>
      <c r="AT11" s="138">
        <f>IF(OR($D11="",$E11=""),"",IF(AND($D11&lt;=AT$6+6,$E11&gt;=AT$6),IF($N11="CRÍTICA","C","P"),""))</f>
      </c>
      <c r="AU11" s="138">
        <f>IF(OR($D11="",$E11=""),"",IF(AND($D11&lt;=AU$6+6,$E11&gt;=AU$6),IF($N11="CRÍTICA","C","P"),""))</f>
      </c>
      <c r="AV11" s="138">
        <f>IF(OR($D11="",$E11=""),"",IF(AND($D11&lt;=AV$6+6,$E11&gt;=AV$6),IF($N11="CRÍTICA","C","P"),""))</f>
      </c>
      <c r="AW11" s="138">
        <f>IF(OR($D11="",$E11=""),"",IF(AND($D11&lt;=AW$6+6,$E11&gt;=AW$6),IF($N11="CRÍTICA","C","P"),""))</f>
      </c>
      <c r="AX11" s="138">
        <f>IF(OR($D11="",$E11=""),"",IF(AND($D11&lt;=AX$6+6,$E11&gt;=AX$6),IF($N11="CRÍTICA","C","P"),""))</f>
      </c>
      <c r="AY11" s="138">
        <f>IF(OR($D11="",$E11=""),"",IF(AND($D11&lt;=AY$6+6,$E11&gt;=AY$6),IF($N11="CRÍTICA","C","P"),""))</f>
      </c>
      <c r="AZ11" s="138">
        <f>IF(OR($D11="",$E11=""),"",IF(AND($D11&lt;=AZ$6+6,$E11&gt;=AZ$6),IF($N11="CRÍTICA","C","P"),""))</f>
      </c>
      <c r="BA11" s="138">
        <f>IF(OR($D11="",$E11=""),"",IF(AND($D11&lt;=BA$6+6,$E11&gt;=BA$6),IF($N11="CRÍTICA","C","P"),""))</f>
      </c>
      <c r="BB11" s="138">
        <f>IF(OR($D11="",$E11=""),"",IF(AND($D11&lt;=BB$6+6,$E11&gt;=BB$6),IF($N11="CRÍTICA","C","P"),""))</f>
      </c>
      <c r="BC11" s="138">
        <f>IF(OR($D11="",$E11=""),"",IF(AND($D11&lt;=BC$6+6,$E11&gt;=BC$6),IF($N11="CRÍTICA","C","P"),""))</f>
      </c>
      <c r="BD11" s="138">
        <f>IF(OR($D11="",$E11=""),"",IF(AND($D11&lt;=BD$6+6,$E11&gt;=BD$6),IF($N11="CRÍTICA","C","P"),""))</f>
      </c>
      <c r="BE11" s="138">
        <f>IF(OR($D11="",$E11=""),"",IF(AND($D11&lt;=BE$6+6,$E11&gt;=BE$6),IF($N11="CRÍTICA","C","P"),""))</f>
      </c>
      <c r="BF11" s="138">
        <f>IF(OR($D11="",$E11=""),"",IF(AND($D11&lt;=BF$6+6,$E11&gt;=BF$6),IF($N11="CRÍTICA","C","P"),""))</f>
      </c>
      <c r="BG11" s="138">
        <f>IF(OR($D11="",$E11=""),"",IF(AND($D11&lt;=BG$6+6,$E11&gt;=BG$6),IF($N11="CRÍTICA","C","P"),""))</f>
      </c>
      <c r="BH11" s="138">
        <f>IF(OR($D11="",$E11=""),"",IF(AND($D11&lt;=BH$6+6,$E11&gt;=BH$6),IF($N11="CRÍTICA","C","P"),""))</f>
      </c>
      <c r="BI11" s="138">
        <f>IF(OR($D11="",$E11=""),"",IF(AND($D11&lt;=BI$6+6,$E11&gt;=BI$6),IF($N11="CRÍTICA","C","P"),""))</f>
      </c>
      <c r="BJ11" s="138">
        <f>IF(OR($D11="",$E11=""),"",IF(AND($D11&lt;=BJ$6+6,$E11&gt;=BJ$6),IF($N11="CRÍTICA","C","P"),""))</f>
      </c>
      <c r="BK11" s="138">
        <f>IF(OR($D11="",$E11=""),"",IF(AND($D11&lt;=BK$6+6,$E11&gt;=BK$6),IF($N11="CRÍTICA","C","P"),""))</f>
      </c>
      <c r="BL11" s="138">
        <f>IF(OR($D11="",$E11=""),"",IF(AND($D11&lt;=BL$6+6,$E11&gt;=BL$6),IF($N11="CRÍTICA","C","P"),""))</f>
      </c>
      <c r="BM11" s="138">
        <f>IF(OR($D11="",$E11=""),"",IF(AND($D11&lt;=BM$6+6,$E11&gt;=BM$6),IF($N11="CRÍTICA","C","P"),""))</f>
      </c>
      <c r="BN11" s="138">
        <f>IF(OR($D11="",$E11=""),"",IF(AND($D11&lt;=BN$6+6,$E11&gt;=BN$6),IF($N11="CRÍTICA","C","P"),""))</f>
      </c>
      <c r="BO11" s="138">
        <f>IF(OR($D11="",$E11=""),"",IF(AND($D11&lt;=BO$6+6,$E11&gt;=BO$6),IF($N11="CRÍTICA","C","P"),""))</f>
      </c>
      <c r="BP11" s="138">
        <f>IF(OR($D11="",$E11=""),"",IF(AND($D11&lt;=BP$6+6,$E11&gt;=BP$6),IF($N11="CRÍTICA","C","P"),""))</f>
      </c>
      <c r="BQ11" s="138">
        <f>IF(OR($D11="",$E11=""),"",IF(AND($D11&lt;=BQ$6+6,$E11&gt;=BQ$6),IF($N11="CRÍTICA","C","P"),""))</f>
      </c>
      <c r="BR11" s="138">
        <f>IF(OR($D11="",$E11=""),"",IF(AND($D11&lt;=BR$6+6,$E11&gt;=BR$6),IF($N11="CRÍTICA","C","P"),""))</f>
      </c>
      <c r="BT11" s="69">
        <f>_xlfn.MINIFS($G$74:$G$103,$D$74:$D$103,$A11)</f>
        <v>46370.0</v>
      </c>
      <c r="BU11" s="69">
        <f>_xlfn.MAXIFS($H$74:$H$103,$D$74:$D$103,$A11)</f>
        <v>46387.0</v>
      </c>
      <c r="BV11" s="73" t="inlineStr">
        <is>
          <t>Contrato</t>
        </is>
      </c>
      <c r="BW11" s="73" t="n">
        <v>342</v>
      </c>
      <c r="BX11" s="127">
        <f>IF(E11="","",IF(COUNTIF($G12:$G$28,$A11)+COUNTIF($H12:$H$28,$A11)+COUNTIF($I12:$I$28,$A11)=0,_xlfn.MAXIFS($E$7:$E$27,$BW$7:$BW$27,$BW11),MIN(IF(COUNTIF($G12:$G$28,$A11)&gt;0,_xlfn.MINIFS($BY12:$BY$28,$G12:$G$28,$A11),99999999),IF(COUNTIF($H12:$H$28,$A11)&gt;0,_xlfn.MINIFS($BY12:$BY$28,$H12:$H$28,$A11),99999999),IF(COUNTIF($I12:$I$28,$A11)&gt;0,_xlfn.MINIFS($BY12:$BY$28,$I12:$I$28,$A11),99999999))-1))</f>
        <v>46626.0</v>
      </c>
      <c r="BY11" s="127">
        <f>IF(BX11="","",BX11-F11+1)</f>
        <v>46609.0</v>
      </c>
      <c r="BZ11" s="140">
        <f>IF(AND(D11&lt;&gt;"",D11&gt;DATA_GESTAO),D11+ROW()/1000000,"")</f>
        <v>46370.000011</v>
      </c>
      <c r="CA11" s="73">
        <f>SUMPRODUCT(($BW$7:$BW$27=$BW11)*($G$7:$I$27&lt;&gt;""))</f>
        <v>0</v>
      </c>
    </row>
    <row r="12">
      <c r="A12" s="81" t="inlineStr">
        <is>
          <t>342-06</t>
        </is>
      </c>
      <c r="B12" s="126" t="n">
        <v>342</v>
      </c>
      <c r="C12" s="73" t="inlineStr">
        <is>
          <t>DRENAGENS, ESGOTAMENTO E CAIXA DE CHEGADA</t>
        </is>
      </c>
      <c r="D12" s="128">
        <f>IF(BT12="","",MAX(BT12,IF($G12="",0,_xlfn.MAXIFS($E$6:$E11,$A$6:$A11,$G12)+1),IF($H12="",0,_xlfn.MAXIFS($E$6:$E11,$A$6:$A11,$H12)+1),IF($I12="",0,_xlfn.MAXIFS($E$6:$E11,$A$6:$A11,$I12)+1)))</f>
        <v>46349.0</v>
      </c>
      <c r="E12" s="128">
        <f>IF(D12="","",D12+F12-1)</f>
        <v>46366.0</v>
      </c>
      <c r="F12" s="143">
        <f>IF(OR(BT12="",BU12=""),"",BU12-BT12+1)</f>
        <v>18</v>
      </c>
      <c r="G12" s="149" t="n"/>
      <c r="H12" s="149" t="n"/>
      <c r="I12" s="150" t="n"/>
      <c r="J12" s="152" t="n"/>
      <c r="K12" s="145">
        <f>$P38</f>
        <v>72003.88</v>
      </c>
      <c r="L12" s="141" t="inlineStr">
        <is>
          <t>pendente</t>
        </is>
      </c>
      <c r="M12" s="144">
        <f>IF(OR(BX12="",E12=""),"",BX12-E12)</f>
        <v>260</v>
      </c>
      <c r="N12" s="126" t="str">
        <f>IF(M12="","",IF(CA12=0,"sem rede",IF(M12&lt;=0,"CRÍTICA","")))</f>
        <v>sem rede</v>
      </c>
      <c r="O12" s="145">
        <f>IF(OR(J12="",K12=""),"",J12*K12)</f>
      </c>
      <c r="P12" s="73" t="str">
        <f>IF(OR(BT12="",BU12=""),"sem data",IF(OR(AND(G12&lt;&gt;"",COUNTIF($A$7:$A$27,G12)=0),AND(H12&lt;&gt;"",COUNTIF($A$7:$A$27,H12)=0),AND(I12&lt;&gt;"",COUNTIF($A$7:$A$27,I12)=0)),"predecessora inexistente",IF(OR(AND(G12&lt;&gt;"",COUNTIF($A$6:$A11,G12)=0),AND(H12&lt;&gt;"",COUNTIF($A$6:$A11,H12)=0),AND(I12&lt;&gt;"",COUNTIF($A$6:$A11,I12)=0)),"predecessora abaixo da tarefa","ok")))</f>
        <v>ok</v>
      </c>
      <c r="Q12" s="138">
        <f>IF(OR($D12="",$E12=""),"",IF(AND($D12&lt;=Q$6+6,$E12&gt;=Q$6),IF($N12="CRÍTICA","C","P"),""))</f>
      </c>
      <c r="R12" s="138">
        <f>IF(OR($D12="",$E12=""),"",IF(AND($D12&lt;=R$6+6,$E12&gt;=R$6),IF($N12="CRÍTICA","C","P"),""))</f>
      </c>
      <c r="S12" s="138">
        <f>IF(OR($D12="",$E12=""),"",IF(AND($D12&lt;=S$6+6,$E12&gt;=S$6),IF($N12="CRÍTICA","C","P"),""))</f>
      </c>
      <c r="T12" s="138">
        <f>IF(OR($D12="",$E12=""),"",IF(AND($D12&lt;=T$6+6,$E12&gt;=T$6),IF($N12="CRÍTICA","C","P"),""))</f>
      </c>
      <c r="U12" s="138">
        <f>IF(OR($D12="",$E12=""),"",IF(AND($D12&lt;=U$6+6,$E12&gt;=U$6),IF($N12="CRÍTICA","C","P"),""))</f>
      </c>
      <c r="V12" s="138">
        <f>IF(OR($D12="",$E12=""),"",IF(AND($D12&lt;=V$6+6,$E12&gt;=V$6),IF($N12="CRÍTICA","C","P"),""))</f>
      </c>
      <c r="W12" s="138">
        <f>IF(OR($D12="",$E12=""),"",IF(AND($D12&lt;=W$6+6,$E12&gt;=W$6),IF($N12="CRÍTICA","C","P"),""))</f>
      </c>
      <c r="X12" s="138">
        <f>IF(OR($D12="",$E12=""),"",IF(AND($D12&lt;=X$6+6,$E12&gt;=X$6),IF($N12="CRÍTICA","C","P"),""))</f>
      </c>
      <c r="Y12" s="138">
        <f>IF(OR($D12="",$E12=""),"",IF(AND($D12&lt;=Y$6+6,$E12&gt;=Y$6),IF($N12="CRÍTICA","C","P"),""))</f>
      </c>
      <c r="Z12" s="138">
        <f>IF(OR($D12="",$E12=""),"",IF(AND($D12&lt;=Z$6+6,$E12&gt;=Z$6),IF($N12="CRÍTICA","C","P"),""))</f>
      </c>
      <c r="AA12" s="138">
        <f>IF(OR($D12="",$E12=""),"",IF(AND($D12&lt;=AA$6+6,$E12&gt;=AA$6),IF($N12="CRÍTICA","C","P"),""))</f>
      </c>
      <c r="AB12" s="138">
        <f>IF(OR($D12="",$E12=""),"",IF(AND($D12&lt;=AB$6+6,$E12&gt;=AB$6),IF($N12="CRÍTICA","C","P"),""))</f>
      </c>
      <c r="AC12" s="138" t="str">
        <f>IF(OR($D12="",$E12=""),"",IF(AND($D12&lt;=AC$6+6,$E12&gt;=AC$6),IF($N12="CRÍTICA","C","P"),""))</f>
        <v>P</v>
      </c>
      <c r="AD12" s="138" t="str">
        <f>IF(OR($D12="",$E12=""),"",IF(AND($D12&lt;=AD$6+6,$E12&gt;=AD$6),IF($N12="CRÍTICA","C","P"),""))</f>
        <v>P</v>
      </c>
      <c r="AE12" s="138" t="str">
        <f>IF(OR($D12="",$E12=""),"",IF(AND($D12&lt;=AE$6+6,$E12&gt;=AE$6),IF($N12="CRÍTICA","C","P"),""))</f>
        <v>P</v>
      </c>
      <c r="AF12" s="138">
        <f>IF(OR($D12="",$E12=""),"",IF(AND($D12&lt;=AF$6+6,$E12&gt;=AF$6),IF($N12="CRÍTICA","C","P"),""))</f>
      </c>
      <c r="AG12" s="138">
        <f>IF(OR($D12="",$E12=""),"",IF(AND($D12&lt;=AG$6+6,$E12&gt;=AG$6),IF($N12="CRÍTICA","C","P"),""))</f>
      </c>
      <c r="AH12" s="138">
        <f>IF(OR($D12="",$E12=""),"",IF(AND($D12&lt;=AH$6+6,$E12&gt;=AH$6),IF($N12="CRÍTICA","C","P"),""))</f>
      </c>
      <c r="AI12" s="138">
        <f>IF(OR($D12="",$E12=""),"",IF(AND($D12&lt;=AI$6+6,$E12&gt;=AI$6),IF($N12="CRÍTICA","C","P"),""))</f>
      </c>
      <c r="AJ12" s="138">
        <f>IF(OR($D12="",$E12=""),"",IF(AND($D12&lt;=AJ$6+6,$E12&gt;=AJ$6),IF($N12="CRÍTICA","C","P"),""))</f>
      </c>
      <c r="AK12" s="138">
        <f>IF(OR($D12="",$E12=""),"",IF(AND($D12&lt;=AK$6+6,$E12&gt;=AK$6),IF($N12="CRÍTICA","C","P"),""))</f>
      </c>
      <c r="AL12" s="138">
        <f>IF(OR($D12="",$E12=""),"",IF(AND($D12&lt;=AL$6+6,$E12&gt;=AL$6),IF($N12="CRÍTICA","C","P"),""))</f>
      </c>
      <c r="AM12" s="138">
        <f>IF(OR($D12="",$E12=""),"",IF(AND($D12&lt;=AM$6+6,$E12&gt;=AM$6),IF($N12="CRÍTICA","C","P"),""))</f>
      </c>
      <c r="AN12" s="138">
        <f>IF(OR($D12="",$E12=""),"",IF(AND($D12&lt;=AN$6+6,$E12&gt;=AN$6),IF($N12="CRÍTICA","C","P"),""))</f>
      </c>
      <c r="AO12" s="138">
        <f>IF(OR($D12="",$E12=""),"",IF(AND($D12&lt;=AO$6+6,$E12&gt;=AO$6),IF($N12="CRÍTICA","C","P"),""))</f>
      </c>
      <c r="AP12" s="138">
        <f>IF(OR($D12="",$E12=""),"",IF(AND($D12&lt;=AP$6+6,$E12&gt;=AP$6),IF($N12="CRÍTICA","C","P"),""))</f>
      </c>
      <c r="AQ12" s="138">
        <f>IF(OR($D12="",$E12=""),"",IF(AND($D12&lt;=AQ$6+6,$E12&gt;=AQ$6),IF($N12="CRÍTICA","C","P"),""))</f>
      </c>
      <c r="AR12" s="138">
        <f>IF(OR($D12="",$E12=""),"",IF(AND($D12&lt;=AR$6+6,$E12&gt;=AR$6),IF($N12="CRÍTICA","C","P"),""))</f>
      </c>
      <c r="AS12" s="138">
        <f>IF(OR($D12="",$E12=""),"",IF(AND($D12&lt;=AS$6+6,$E12&gt;=AS$6),IF($N12="CRÍTICA","C","P"),""))</f>
      </c>
      <c r="AT12" s="138">
        <f>IF(OR($D12="",$E12=""),"",IF(AND($D12&lt;=AT$6+6,$E12&gt;=AT$6),IF($N12="CRÍTICA","C","P"),""))</f>
      </c>
      <c r="AU12" s="138">
        <f>IF(OR($D12="",$E12=""),"",IF(AND($D12&lt;=AU$6+6,$E12&gt;=AU$6),IF($N12="CRÍTICA","C","P"),""))</f>
      </c>
      <c r="AV12" s="138">
        <f>IF(OR($D12="",$E12=""),"",IF(AND($D12&lt;=AV$6+6,$E12&gt;=AV$6),IF($N12="CRÍTICA","C","P"),""))</f>
      </c>
      <c r="AW12" s="138">
        <f>IF(OR($D12="",$E12=""),"",IF(AND($D12&lt;=AW$6+6,$E12&gt;=AW$6),IF($N12="CRÍTICA","C","P"),""))</f>
      </c>
      <c r="AX12" s="138">
        <f>IF(OR($D12="",$E12=""),"",IF(AND($D12&lt;=AX$6+6,$E12&gt;=AX$6),IF($N12="CRÍTICA","C","P"),""))</f>
      </c>
      <c r="AY12" s="138">
        <f>IF(OR($D12="",$E12=""),"",IF(AND($D12&lt;=AY$6+6,$E12&gt;=AY$6),IF($N12="CRÍTICA","C","P"),""))</f>
      </c>
      <c r="AZ12" s="138">
        <f>IF(OR($D12="",$E12=""),"",IF(AND($D12&lt;=AZ$6+6,$E12&gt;=AZ$6),IF($N12="CRÍTICA","C","P"),""))</f>
      </c>
      <c r="BA12" s="138">
        <f>IF(OR($D12="",$E12=""),"",IF(AND($D12&lt;=BA$6+6,$E12&gt;=BA$6),IF($N12="CRÍTICA","C","P"),""))</f>
      </c>
      <c r="BB12" s="138">
        <f>IF(OR($D12="",$E12=""),"",IF(AND($D12&lt;=BB$6+6,$E12&gt;=BB$6),IF($N12="CRÍTICA","C","P"),""))</f>
      </c>
      <c r="BC12" s="138">
        <f>IF(OR($D12="",$E12=""),"",IF(AND($D12&lt;=BC$6+6,$E12&gt;=BC$6),IF($N12="CRÍTICA","C","P"),""))</f>
      </c>
      <c r="BD12" s="138">
        <f>IF(OR($D12="",$E12=""),"",IF(AND($D12&lt;=BD$6+6,$E12&gt;=BD$6),IF($N12="CRÍTICA","C","P"),""))</f>
      </c>
      <c r="BE12" s="138">
        <f>IF(OR($D12="",$E12=""),"",IF(AND($D12&lt;=BE$6+6,$E12&gt;=BE$6),IF($N12="CRÍTICA","C","P"),""))</f>
      </c>
      <c r="BF12" s="138">
        <f>IF(OR($D12="",$E12=""),"",IF(AND($D12&lt;=BF$6+6,$E12&gt;=BF$6),IF($N12="CRÍTICA","C","P"),""))</f>
      </c>
      <c r="BG12" s="138">
        <f>IF(OR($D12="",$E12=""),"",IF(AND($D12&lt;=BG$6+6,$E12&gt;=BG$6),IF($N12="CRÍTICA","C","P"),""))</f>
      </c>
      <c r="BH12" s="138">
        <f>IF(OR($D12="",$E12=""),"",IF(AND($D12&lt;=BH$6+6,$E12&gt;=BH$6),IF($N12="CRÍTICA","C","P"),""))</f>
      </c>
      <c r="BI12" s="138">
        <f>IF(OR($D12="",$E12=""),"",IF(AND($D12&lt;=BI$6+6,$E12&gt;=BI$6),IF($N12="CRÍTICA","C","P"),""))</f>
      </c>
      <c r="BJ12" s="138">
        <f>IF(OR($D12="",$E12=""),"",IF(AND($D12&lt;=BJ$6+6,$E12&gt;=BJ$6),IF($N12="CRÍTICA","C","P"),""))</f>
      </c>
      <c r="BK12" s="138">
        <f>IF(OR($D12="",$E12=""),"",IF(AND($D12&lt;=BK$6+6,$E12&gt;=BK$6),IF($N12="CRÍTICA","C","P"),""))</f>
      </c>
      <c r="BL12" s="138">
        <f>IF(OR($D12="",$E12=""),"",IF(AND($D12&lt;=BL$6+6,$E12&gt;=BL$6),IF($N12="CRÍTICA","C","P"),""))</f>
      </c>
      <c r="BM12" s="138">
        <f>IF(OR($D12="",$E12=""),"",IF(AND($D12&lt;=BM$6+6,$E12&gt;=BM$6),IF($N12="CRÍTICA","C","P"),""))</f>
      </c>
      <c r="BN12" s="138">
        <f>IF(OR($D12="",$E12=""),"",IF(AND($D12&lt;=BN$6+6,$E12&gt;=BN$6),IF($N12="CRÍTICA","C","P"),""))</f>
      </c>
      <c r="BO12" s="138">
        <f>IF(OR($D12="",$E12=""),"",IF(AND($D12&lt;=BO$6+6,$E12&gt;=BO$6),IF($N12="CRÍTICA","C","P"),""))</f>
      </c>
      <c r="BP12" s="138">
        <f>IF(OR($D12="",$E12=""),"",IF(AND($D12&lt;=BP$6+6,$E12&gt;=BP$6),IF($N12="CRÍTICA","C","P"),""))</f>
      </c>
      <c r="BQ12" s="138">
        <f>IF(OR($D12="",$E12=""),"",IF(AND($D12&lt;=BQ$6+6,$E12&gt;=BQ$6),IF($N12="CRÍTICA","C","P"),""))</f>
      </c>
      <c r="BR12" s="138">
        <f>IF(OR($D12="",$E12=""),"",IF(AND($D12&lt;=BR$6+6,$E12&gt;=BR$6),IF($N12="CRÍTICA","C","P"),""))</f>
      </c>
      <c r="BT12" s="69">
        <f>_xlfn.MINIFS($G$74:$G$103,$D$74:$D$103,$A12)</f>
        <v>46349.0</v>
      </c>
      <c r="BU12" s="69">
        <f>_xlfn.MAXIFS($H$74:$H$103,$D$74:$D$103,$A12)</f>
        <v>46366.0</v>
      </c>
      <c r="BV12" s="73" t="inlineStr">
        <is>
          <t>Contrato</t>
        </is>
      </c>
      <c r="BW12" s="73" t="n">
        <v>342</v>
      </c>
      <c r="BX12" s="127">
        <f>IF(E12="","",IF(COUNTIF($G13:$G$28,$A12)+COUNTIF($H13:$H$28,$A12)+COUNTIF($I13:$I$28,$A12)=0,_xlfn.MAXIFS($E$7:$E$27,$BW$7:$BW$27,$BW12),MIN(IF(COUNTIF($G13:$G$28,$A12)&gt;0,_xlfn.MINIFS($BY13:$BY$28,$G13:$G$28,$A12),99999999),IF(COUNTIF($H13:$H$28,$A12)&gt;0,_xlfn.MINIFS($BY13:$BY$28,$H13:$H$28,$A12),99999999),IF(COUNTIF($I13:$I$28,$A12)&gt;0,_xlfn.MINIFS($BY13:$BY$28,$I13:$I$28,$A12),99999999))-1))</f>
        <v>46626.0</v>
      </c>
      <c r="BY12" s="127">
        <f>IF(BX12="","",BX12-F12+1)</f>
        <v>46609.0</v>
      </c>
      <c r="BZ12" s="140">
        <f>IF(AND(D12&lt;&gt;"",D12&gt;DATA_GESTAO),D12+ROW()/1000000,"")</f>
        <v>46349.000012</v>
      </c>
      <c r="CA12" s="73">
        <f>SUMPRODUCT(($BW$7:$BW$27=$BW12)*($G$7:$I$27&lt;&gt;""))</f>
        <v>0</v>
      </c>
    </row>
    <row r="13">
      <c r="A13" s="81" t="inlineStr">
        <is>
          <t>342-07</t>
        </is>
      </c>
      <c r="B13" s="126" t="n">
        <v>342</v>
      </c>
      <c r="C13" s="73" t="inlineStr">
        <is>
          <t>TANQUE DE LODO</t>
        </is>
      </c>
      <c r="D13" s="128">
        <f>IF(BT13="","",MAX(BT13,IF($G13="",0,_xlfn.MAXIFS($E$6:$E12,$A$6:$A12,$G13)+1),IF($H13="",0,_xlfn.MAXIFS($E$6:$E12,$A$6:$A12,$H13)+1),IF($I13="",0,_xlfn.MAXIFS($E$6:$E12,$A$6:$A12,$I13)+1)))</f>
        <v>46329.0</v>
      </c>
      <c r="E13" s="128">
        <f>IF(D13="","",D13+F13-1)</f>
        <v>46518.0</v>
      </c>
      <c r="F13" s="143">
        <f>IF(OR(BT13="",BU13=""),"",BU13-BT13+1)</f>
        <v>190</v>
      </c>
      <c r="G13" s="149" t="n"/>
      <c r="H13" s="149" t="n"/>
      <c r="I13" s="150" t="n"/>
      <c r="J13" s="152" t="n"/>
      <c r="K13" s="145">
        <f>$P39</f>
        <v>1180517.8</v>
      </c>
      <c r="L13" s="141" t="inlineStr">
        <is>
          <t>pendente</t>
        </is>
      </c>
      <c r="M13" s="144">
        <f>IF(OR(BX13="",E13=""),"",BX13-E13)</f>
        <v>108</v>
      </c>
      <c r="N13" s="126" t="str">
        <f>IF(M13="","",IF(CA13=0,"sem rede",IF(M13&lt;=0,"CRÍTICA","")))</f>
        <v>sem rede</v>
      </c>
      <c r="O13" s="145">
        <f>IF(OR(J13="",K13=""),"",J13*K13)</f>
      </c>
      <c r="P13" s="73" t="str">
        <f>IF(OR(BT13="",BU13=""),"sem data",IF(OR(AND(G13&lt;&gt;"",COUNTIF($A$7:$A$27,G13)=0),AND(H13&lt;&gt;"",COUNTIF($A$7:$A$27,H13)=0),AND(I13&lt;&gt;"",COUNTIF($A$7:$A$27,I13)=0)),"predecessora inexistente",IF(OR(AND(G13&lt;&gt;"",COUNTIF($A$6:$A12,G13)=0),AND(H13&lt;&gt;"",COUNTIF($A$6:$A12,H13)=0),AND(I13&lt;&gt;"",COUNTIF($A$6:$A12,I13)=0)),"predecessora abaixo da tarefa","ok")))</f>
        <v>ok</v>
      </c>
      <c r="Q13" s="138">
        <f>IF(OR($D13="",$E13=""),"",IF(AND($D13&lt;=Q$6+6,$E13&gt;=Q$6),IF($N13="CRÍTICA","C","P"),""))</f>
      </c>
      <c r="R13" s="138">
        <f>IF(OR($D13="",$E13=""),"",IF(AND($D13&lt;=R$6+6,$E13&gt;=R$6),IF($N13="CRÍTICA","C","P"),""))</f>
      </c>
      <c r="S13" s="138">
        <f>IF(OR($D13="",$E13=""),"",IF(AND($D13&lt;=S$6+6,$E13&gt;=S$6),IF($N13="CRÍTICA","C","P"),""))</f>
      </c>
      <c r="T13" s="138">
        <f>IF(OR($D13="",$E13=""),"",IF(AND($D13&lt;=T$6+6,$E13&gt;=T$6),IF($N13="CRÍTICA","C","P"),""))</f>
      </c>
      <c r="U13" s="138">
        <f>IF(OR($D13="",$E13=""),"",IF(AND($D13&lt;=U$6+6,$E13&gt;=U$6),IF($N13="CRÍTICA","C","P"),""))</f>
      </c>
      <c r="V13" s="138">
        <f>IF(OR($D13="",$E13=""),"",IF(AND($D13&lt;=V$6+6,$E13&gt;=V$6),IF($N13="CRÍTICA","C","P"),""))</f>
      </c>
      <c r="W13" s="138">
        <f>IF(OR($D13="",$E13=""),"",IF(AND($D13&lt;=W$6+6,$E13&gt;=W$6),IF($N13="CRÍTICA","C","P"),""))</f>
      </c>
      <c r="X13" s="138">
        <f>IF(OR($D13="",$E13=""),"",IF(AND($D13&lt;=X$6+6,$E13&gt;=X$6),IF($N13="CRÍTICA","C","P"),""))</f>
      </c>
      <c r="Y13" s="138">
        <f>IF(OR($D13="",$E13=""),"",IF(AND($D13&lt;=Y$6+6,$E13&gt;=Y$6),IF($N13="CRÍTICA","C","P"),""))</f>
      </c>
      <c r="Z13" s="138" t="str">
        <f>IF(OR($D13="",$E13=""),"",IF(AND($D13&lt;=Z$6+6,$E13&gt;=Z$6),IF($N13="CRÍTICA","C","P"),""))</f>
        <v>P</v>
      </c>
      <c r="AA13" s="138" t="str">
        <f>IF(OR($D13="",$E13=""),"",IF(AND($D13&lt;=AA$6+6,$E13&gt;=AA$6),IF($N13="CRÍTICA","C","P"),""))</f>
        <v>P</v>
      </c>
      <c r="AB13" s="138" t="str">
        <f>IF(OR($D13="",$E13=""),"",IF(AND($D13&lt;=AB$6+6,$E13&gt;=AB$6),IF($N13="CRÍTICA","C","P"),""))</f>
        <v>P</v>
      </c>
      <c r="AC13" s="138" t="str">
        <f>IF(OR($D13="",$E13=""),"",IF(AND($D13&lt;=AC$6+6,$E13&gt;=AC$6),IF($N13="CRÍTICA","C","P"),""))</f>
        <v>P</v>
      </c>
      <c r="AD13" s="138" t="str">
        <f>IF(OR($D13="",$E13=""),"",IF(AND($D13&lt;=AD$6+6,$E13&gt;=AD$6),IF($N13="CRÍTICA","C","P"),""))</f>
        <v>P</v>
      </c>
      <c r="AE13" s="138" t="str">
        <f>IF(OR($D13="",$E13=""),"",IF(AND($D13&lt;=AE$6+6,$E13&gt;=AE$6),IF($N13="CRÍTICA","C","P"),""))</f>
        <v>P</v>
      </c>
      <c r="AF13" s="138" t="str">
        <f>IF(OR($D13="",$E13=""),"",IF(AND($D13&lt;=AF$6+6,$E13&gt;=AF$6),IF($N13="CRÍTICA","C","P"),""))</f>
        <v>P</v>
      </c>
      <c r="AG13" s="138" t="str">
        <f>IF(OR($D13="",$E13=""),"",IF(AND($D13&lt;=AG$6+6,$E13&gt;=AG$6),IF($N13="CRÍTICA","C","P"),""))</f>
        <v>P</v>
      </c>
      <c r="AH13" s="138" t="str">
        <f>IF(OR($D13="",$E13=""),"",IF(AND($D13&lt;=AH$6+6,$E13&gt;=AH$6),IF($N13="CRÍTICA","C","P"),""))</f>
        <v>P</v>
      </c>
      <c r="AI13" s="138" t="str">
        <f>IF(OR($D13="",$E13=""),"",IF(AND($D13&lt;=AI$6+6,$E13&gt;=AI$6),IF($N13="CRÍTICA","C","P"),""))</f>
        <v>P</v>
      </c>
      <c r="AJ13" s="138" t="str">
        <f>IF(OR($D13="",$E13=""),"",IF(AND($D13&lt;=AJ$6+6,$E13&gt;=AJ$6),IF($N13="CRÍTICA","C","P"),""))</f>
        <v>P</v>
      </c>
      <c r="AK13" s="138" t="str">
        <f>IF(OR($D13="",$E13=""),"",IF(AND($D13&lt;=AK$6+6,$E13&gt;=AK$6),IF($N13="CRÍTICA","C","P"),""))</f>
        <v>P</v>
      </c>
      <c r="AL13" s="138" t="str">
        <f>IF(OR($D13="",$E13=""),"",IF(AND($D13&lt;=AL$6+6,$E13&gt;=AL$6),IF($N13="CRÍTICA","C","P"),""))</f>
        <v>P</v>
      </c>
      <c r="AM13" s="138" t="str">
        <f>IF(OR($D13="",$E13=""),"",IF(AND($D13&lt;=AM$6+6,$E13&gt;=AM$6),IF($N13="CRÍTICA","C","P"),""))</f>
        <v>P</v>
      </c>
      <c r="AN13" s="138" t="str">
        <f>IF(OR($D13="",$E13=""),"",IF(AND($D13&lt;=AN$6+6,$E13&gt;=AN$6),IF($N13="CRÍTICA","C","P"),""))</f>
        <v>P</v>
      </c>
      <c r="AO13" s="138" t="str">
        <f>IF(OR($D13="",$E13=""),"",IF(AND($D13&lt;=AO$6+6,$E13&gt;=AO$6),IF($N13="CRÍTICA","C","P"),""))</f>
        <v>P</v>
      </c>
      <c r="AP13" s="138" t="str">
        <f>IF(OR($D13="",$E13=""),"",IF(AND($D13&lt;=AP$6+6,$E13&gt;=AP$6),IF($N13="CRÍTICA","C","P"),""))</f>
        <v>P</v>
      </c>
      <c r="AQ13" s="138" t="str">
        <f>IF(OR($D13="",$E13=""),"",IF(AND($D13&lt;=AQ$6+6,$E13&gt;=AQ$6),IF($N13="CRÍTICA","C","P"),""))</f>
        <v>P</v>
      </c>
      <c r="AR13" s="138" t="str">
        <f>IF(OR($D13="",$E13=""),"",IF(AND($D13&lt;=AR$6+6,$E13&gt;=AR$6),IF($N13="CRÍTICA","C","P"),""))</f>
        <v>P</v>
      </c>
      <c r="AS13" s="138" t="str">
        <f>IF(OR($D13="",$E13=""),"",IF(AND($D13&lt;=AS$6+6,$E13&gt;=AS$6),IF($N13="CRÍTICA","C","P"),""))</f>
        <v>P</v>
      </c>
      <c r="AT13" s="138" t="str">
        <f>IF(OR($D13="",$E13=""),"",IF(AND($D13&lt;=AT$6+6,$E13&gt;=AT$6),IF($N13="CRÍTICA","C","P"),""))</f>
        <v>P</v>
      </c>
      <c r="AU13" s="138" t="str">
        <f>IF(OR($D13="",$E13=""),"",IF(AND($D13&lt;=AU$6+6,$E13&gt;=AU$6),IF($N13="CRÍTICA","C","P"),""))</f>
        <v>P</v>
      </c>
      <c r="AV13" s="138" t="str">
        <f>IF(OR($D13="",$E13=""),"",IF(AND($D13&lt;=AV$6+6,$E13&gt;=AV$6),IF($N13="CRÍTICA","C","P"),""))</f>
        <v>P</v>
      </c>
      <c r="AW13" s="138" t="str">
        <f>IF(OR($D13="",$E13=""),"",IF(AND($D13&lt;=AW$6+6,$E13&gt;=AW$6),IF($N13="CRÍTICA","C","P"),""))</f>
        <v>P</v>
      </c>
      <c r="AX13" s="138" t="str">
        <f>IF(OR($D13="",$E13=""),"",IF(AND($D13&lt;=AX$6+6,$E13&gt;=AX$6),IF($N13="CRÍTICA","C","P"),""))</f>
        <v>P</v>
      </c>
      <c r="AY13" s="138" t="str">
        <f>IF(OR($D13="",$E13=""),"",IF(AND($D13&lt;=AY$6+6,$E13&gt;=AY$6),IF($N13="CRÍTICA","C","P"),""))</f>
        <v>P</v>
      </c>
      <c r="AZ13" s="138" t="str">
        <f>IF(OR($D13="",$E13=""),"",IF(AND($D13&lt;=AZ$6+6,$E13&gt;=AZ$6),IF($N13="CRÍTICA","C","P"),""))</f>
        <v>P</v>
      </c>
      <c r="BA13" s="138" t="str">
        <f>IF(OR($D13="",$E13=""),"",IF(AND($D13&lt;=BA$6+6,$E13&gt;=BA$6),IF($N13="CRÍTICA","C","P"),""))</f>
        <v>P</v>
      </c>
      <c r="BB13" s="138">
        <f>IF(OR($D13="",$E13=""),"",IF(AND($D13&lt;=BB$6+6,$E13&gt;=BB$6),IF($N13="CRÍTICA","C","P"),""))</f>
      </c>
      <c r="BC13" s="138">
        <f>IF(OR($D13="",$E13=""),"",IF(AND($D13&lt;=BC$6+6,$E13&gt;=BC$6),IF($N13="CRÍTICA","C","P"),""))</f>
      </c>
      <c r="BD13" s="138">
        <f>IF(OR($D13="",$E13=""),"",IF(AND($D13&lt;=BD$6+6,$E13&gt;=BD$6),IF($N13="CRÍTICA","C","P"),""))</f>
      </c>
      <c r="BE13" s="138">
        <f>IF(OR($D13="",$E13=""),"",IF(AND($D13&lt;=BE$6+6,$E13&gt;=BE$6),IF($N13="CRÍTICA","C","P"),""))</f>
      </c>
      <c r="BF13" s="138">
        <f>IF(OR($D13="",$E13=""),"",IF(AND($D13&lt;=BF$6+6,$E13&gt;=BF$6),IF($N13="CRÍTICA","C","P"),""))</f>
      </c>
      <c r="BG13" s="138">
        <f>IF(OR($D13="",$E13=""),"",IF(AND($D13&lt;=BG$6+6,$E13&gt;=BG$6),IF($N13="CRÍTICA","C","P"),""))</f>
      </c>
      <c r="BH13" s="138">
        <f>IF(OR($D13="",$E13=""),"",IF(AND($D13&lt;=BH$6+6,$E13&gt;=BH$6),IF($N13="CRÍTICA","C","P"),""))</f>
      </c>
      <c r="BI13" s="138">
        <f>IF(OR($D13="",$E13=""),"",IF(AND($D13&lt;=BI$6+6,$E13&gt;=BI$6),IF($N13="CRÍTICA","C","P"),""))</f>
      </c>
      <c r="BJ13" s="138">
        <f>IF(OR($D13="",$E13=""),"",IF(AND($D13&lt;=BJ$6+6,$E13&gt;=BJ$6),IF($N13="CRÍTICA","C","P"),""))</f>
      </c>
      <c r="BK13" s="138">
        <f>IF(OR($D13="",$E13=""),"",IF(AND($D13&lt;=BK$6+6,$E13&gt;=BK$6),IF($N13="CRÍTICA","C","P"),""))</f>
      </c>
      <c r="BL13" s="138">
        <f>IF(OR($D13="",$E13=""),"",IF(AND($D13&lt;=BL$6+6,$E13&gt;=BL$6),IF($N13="CRÍTICA","C","P"),""))</f>
      </c>
      <c r="BM13" s="138">
        <f>IF(OR($D13="",$E13=""),"",IF(AND($D13&lt;=BM$6+6,$E13&gt;=BM$6),IF($N13="CRÍTICA","C","P"),""))</f>
      </c>
      <c r="BN13" s="138">
        <f>IF(OR($D13="",$E13=""),"",IF(AND($D13&lt;=BN$6+6,$E13&gt;=BN$6),IF($N13="CRÍTICA","C","P"),""))</f>
      </c>
      <c r="BO13" s="138">
        <f>IF(OR($D13="",$E13=""),"",IF(AND($D13&lt;=BO$6+6,$E13&gt;=BO$6),IF($N13="CRÍTICA","C","P"),""))</f>
      </c>
      <c r="BP13" s="138">
        <f>IF(OR($D13="",$E13=""),"",IF(AND($D13&lt;=BP$6+6,$E13&gt;=BP$6),IF($N13="CRÍTICA","C","P"),""))</f>
      </c>
      <c r="BQ13" s="138">
        <f>IF(OR($D13="",$E13=""),"",IF(AND($D13&lt;=BQ$6+6,$E13&gt;=BQ$6),IF($N13="CRÍTICA","C","P"),""))</f>
      </c>
      <c r="BR13" s="138">
        <f>IF(OR($D13="",$E13=""),"",IF(AND($D13&lt;=BR$6+6,$E13&gt;=BR$6),IF($N13="CRÍTICA","C","P"),""))</f>
      </c>
      <c r="BT13" s="69">
        <f>_xlfn.MINIFS($G$74:$G$103,$D$74:$D$103,$A13)</f>
        <v>46329.0</v>
      </c>
      <c r="BU13" s="69">
        <f>_xlfn.MAXIFS($H$74:$H$103,$D$74:$D$103,$A13)</f>
        <v>46518.0</v>
      </c>
      <c r="BV13" s="73" t="inlineStr">
        <is>
          <t>Contrato</t>
        </is>
      </c>
      <c r="BW13" s="73" t="n">
        <v>342</v>
      </c>
      <c r="BX13" s="127">
        <f>IF(E13="","",IF(COUNTIF($G14:$G$28,$A13)+COUNTIF($H14:$H$28,$A13)+COUNTIF($I14:$I$28,$A13)=0,_xlfn.MAXIFS($E$7:$E$27,$BW$7:$BW$27,$BW13),MIN(IF(COUNTIF($G14:$G$28,$A13)&gt;0,_xlfn.MINIFS($BY14:$BY$28,$G14:$G$28,$A13),99999999),IF(COUNTIF($H14:$H$28,$A13)&gt;0,_xlfn.MINIFS($BY14:$BY$28,$H14:$H$28,$A13),99999999),IF(COUNTIF($I14:$I$28,$A13)&gt;0,_xlfn.MINIFS($BY14:$BY$28,$I14:$I$28,$A13),99999999))-1))</f>
        <v>46626.0</v>
      </c>
      <c r="BY13" s="127">
        <f>IF(BX13="","",BX13-F13+1)</f>
        <v>46437.0</v>
      </c>
      <c r="BZ13" s="140">
        <f>IF(AND(D13&lt;&gt;"",D13&gt;DATA_GESTAO),D13+ROW()/1000000,"")</f>
        <v>46329.000013</v>
      </c>
      <c r="CA13" s="73">
        <f>SUMPRODUCT(($BW$7:$BW$27=$BW13)*($G$7:$I$27&lt;&gt;""))</f>
        <v>0</v>
      </c>
    </row>
    <row r="14">
      <c r="A14" s="81" t="inlineStr">
        <is>
          <t>342-08</t>
        </is>
      </c>
      <c r="B14" s="126" t="n">
        <v>342</v>
      </c>
      <c r="C14" s="73" t="inlineStr">
        <is>
          <t>ESTAÇÃO ELEVATÓRIA DE RECIRCULAÇÃO DE LODO</t>
        </is>
      </c>
      <c r="D14" s="128">
        <f>IF(BT14="","",MAX(BT14,IF($G14="",0,_xlfn.MAXIFS($E$6:$E13,$A$6:$A13,$G14)+1),IF($H14="",0,_xlfn.MAXIFS($E$6:$E13,$A$6:$A13,$H14)+1),IF($I14="",0,_xlfn.MAXIFS($E$6:$E13,$A$6:$A13,$I14)+1)))</f>
        <v>46408.0</v>
      </c>
      <c r="E14" s="128">
        <f>IF(D14="","",D14+F14-1)</f>
        <v>46549.0</v>
      </c>
      <c r="F14" s="143">
        <f>IF(OR(BT14="",BU14=""),"",BU14-BT14+1)</f>
        <v>142</v>
      </c>
      <c r="G14" s="149" t="n"/>
      <c r="H14" s="149" t="n"/>
      <c r="I14" s="150" t="n"/>
      <c r="J14" s="152" t="n"/>
      <c r="K14" s="145">
        <f>$P40</f>
        <v>530787.26</v>
      </c>
      <c r="L14" s="141" t="inlineStr">
        <is>
          <t>pendente</t>
        </is>
      </c>
      <c r="M14" s="144">
        <f>IF(OR(BX14="",E14=""),"",BX14-E14)</f>
        <v>77</v>
      </c>
      <c r="N14" s="126" t="str">
        <f>IF(M14="","",IF(CA14=0,"sem rede",IF(M14&lt;=0,"CRÍTICA","")))</f>
        <v>sem rede</v>
      </c>
      <c r="O14" s="145">
        <f>IF(OR(J14="",K14=""),"",J14*K14)</f>
      </c>
      <c r="P14" s="73" t="str">
        <f>IF(OR(BT14="",BU14=""),"sem data",IF(OR(AND(G14&lt;&gt;"",COUNTIF($A$7:$A$27,G14)=0),AND(H14&lt;&gt;"",COUNTIF($A$7:$A$27,H14)=0),AND(I14&lt;&gt;"",COUNTIF($A$7:$A$27,I14)=0)),"predecessora inexistente",IF(OR(AND(G14&lt;&gt;"",COUNTIF($A$6:$A13,G14)=0),AND(H14&lt;&gt;"",COUNTIF($A$6:$A13,H14)=0),AND(I14&lt;&gt;"",COUNTIF($A$6:$A13,I14)=0)),"predecessora abaixo da tarefa","ok")))</f>
        <v>ok</v>
      </c>
      <c r="Q14" s="138">
        <f>IF(OR($D14="",$E14=""),"",IF(AND($D14&lt;=Q$6+6,$E14&gt;=Q$6),IF($N14="CRÍTICA","C","P"),""))</f>
      </c>
      <c r="R14" s="138">
        <f>IF(OR($D14="",$E14=""),"",IF(AND($D14&lt;=R$6+6,$E14&gt;=R$6),IF($N14="CRÍTICA","C","P"),""))</f>
      </c>
      <c r="S14" s="138">
        <f>IF(OR($D14="",$E14=""),"",IF(AND($D14&lt;=S$6+6,$E14&gt;=S$6),IF($N14="CRÍTICA","C","P"),""))</f>
      </c>
      <c r="T14" s="138">
        <f>IF(OR($D14="",$E14=""),"",IF(AND($D14&lt;=T$6+6,$E14&gt;=T$6),IF($N14="CRÍTICA","C","P"),""))</f>
      </c>
      <c r="U14" s="138">
        <f>IF(OR($D14="",$E14=""),"",IF(AND($D14&lt;=U$6+6,$E14&gt;=U$6),IF($N14="CRÍTICA","C","P"),""))</f>
      </c>
      <c r="V14" s="138">
        <f>IF(OR($D14="",$E14=""),"",IF(AND($D14&lt;=V$6+6,$E14&gt;=V$6),IF($N14="CRÍTICA","C","P"),""))</f>
      </c>
      <c r="W14" s="138">
        <f>IF(OR($D14="",$E14=""),"",IF(AND($D14&lt;=W$6+6,$E14&gt;=W$6),IF($N14="CRÍTICA","C","P"),""))</f>
      </c>
      <c r="X14" s="138">
        <f>IF(OR($D14="",$E14=""),"",IF(AND($D14&lt;=X$6+6,$E14&gt;=X$6),IF($N14="CRÍTICA","C","P"),""))</f>
      </c>
      <c r="Y14" s="138">
        <f>IF(OR($D14="",$E14=""),"",IF(AND($D14&lt;=Y$6+6,$E14&gt;=Y$6),IF($N14="CRÍTICA","C","P"),""))</f>
      </c>
      <c r="Z14" s="138">
        <f>IF(OR($D14="",$E14=""),"",IF(AND($D14&lt;=Z$6+6,$E14&gt;=Z$6),IF($N14="CRÍTICA","C","P"),""))</f>
      </c>
      <c r="AA14" s="138">
        <f>IF(OR($D14="",$E14=""),"",IF(AND($D14&lt;=AA$6+6,$E14&gt;=AA$6),IF($N14="CRÍTICA","C","P"),""))</f>
      </c>
      <c r="AB14" s="138">
        <f>IF(OR($D14="",$E14=""),"",IF(AND($D14&lt;=AB$6+6,$E14&gt;=AB$6),IF($N14="CRÍTICA","C","P"),""))</f>
      </c>
      <c r="AC14" s="138">
        <f>IF(OR($D14="",$E14=""),"",IF(AND($D14&lt;=AC$6+6,$E14&gt;=AC$6),IF($N14="CRÍTICA","C","P"),""))</f>
      </c>
      <c r="AD14" s="138">
        <f>IF(OR($D14="",$E14=""),"",IF(AND($D14&lt;=AD$6+6,$E14&gt;=AD$6),IF($N14="CRÍTICA","C","P"),""))</f>
      </c>
      <c r="AE14" s="138">
        <f>IF(OR($D14="",$E14=""),"",IF(AND($D14&lt;=AE$6+6,$E14&gt;=AE$6),IF($N14="CRÍTICA","C","P"),""))</f>
      </c>
      <c r="AF14" s="138">
        <f>IF(OR($D14="",$E14=""),"",IF(AND($D14&lt;=AF$6+6,$E14&gt;=AF$6),IF($N14="CRÍTICA","C","P"),""))</f>
      </c>
      <c r="AG14" s="138">
        <f>IF(OR($D14="",$E14=""),"",IF(AND($D14&lt;=AG$6+6,$E14&gt;=AG$6),IF($N14="CRÍTICA","C","P"),""))</f>
      </c>
      <c r="AH14" s="138">
        <f>IF(OR($D14="",$E14=""),"",IF(AND($D14&lt;=AH$6+6,$E14&gt;=AH$6),IF($N14="CRÍTICA","C","P"),""))</f>
      </c>
      <c r="AI14" s="138">
        <f>IF(OR($D14="",$E14=""),"",IF(AND($D14&lt;=AI$6+6,$E14&gt;=AI$6),IF($N14="CRÍTICA","C","P"),""))</f>
      </c>
      <c r="AJ14" s="138">
        <f>IF(OR($D14="",$E14=""),"",IF(AND($D14&lt;=AJ$6+6,$E14&gt;=AJ$6),IF($N14="CRÍTICA","C","P"),""))</f>
      </c>
      <c r="AK14" s="138" t="str">
        <f>IF(OR($D14="",$E14=""),"",IF(AND($D14&lt;=AK$6+6,$E14&gt;=AK$6),IF($N14="CRÍTICA","C","P"),""))</f>
        <v>P</v>
      </c>
      <c r="AL14" s="138" t="str">
        <f>IF(OR($D14="",$E14=""),"",IF(AND($D14&lt;=AL$6+6,$E14&gt;=AL$6),IF($N14="CRÍTICA","C","P"),""))</f>
        <v>P</v>
      </c>
      <c r="AM14" s="138" t="str">
        <f>IF(OR($D14="",$E14=""),"",IF(AND($D14&lt;=AM$6+6,$E14&gt;=AM$6),IF($N14="CRÍTICA","C","P"),""))</f>
        <v>P</v>
      </c>
      <c r="AN14" s="138" t="str">
        <f>IF(OR($D14="",$E14=""),"",IF(AND($D14&lt;=AN$6+6,$E14&gt;=AN$6),IF($N14="CRÍTICA","C","P"),""))</f>
        <v>P</v>
      </c>
      <c r="AO14" s="138" t="str">
        <f>IF(OR($D14="",$E14=""),"",IF(AND($D14&lt;=AO$6+6,$E14&gt;=AO$6),IF($N14="CRÍTICA","C","P"),""))</f>
        <v>P</v>
      </c>
      <c r="AP14" s="138" t="str">
        <f>IF(OR($D14="",$E14=""),"",IF(AND($D14&lt;=AP$6+6,$E14&gt;=AP$6),IF($N14="CRÍTICA","C","P"),""))</f>
        <v>P</v>
      </c>
      <c r="AQ14" s="138" t="str">
        <f>IF(OR($D14="",$E14=""),"",IF(AND($D14&lt;=AQ$6+6,$E14&gt;=AQ$6),IF($N14="CRÍTICA","C","P"),""))</f>
        <v>P</v>
      </c>
      <c r="AR14" s="138" t="str">
        <f>IF(OR($D14="",$E14=""),"",IF(AND($D14&lt;=AR$6+6,$E14&gt;=AR$6),IF($N14="CRÍTICA","C","P"),""))</f>
        <v>P</v>
      </c>
      <c r="AS14" s="138" t="str">
        <f>IF(OR($D14="",$E14=""),"",IF(AND($D14&lt;=AS$6+6,$E14&gt;=AS$6),IF($N14="CRÍTICA","C","P"),""))</f>
        <v>P</v>
      </c>
      <c r="AT14" s="138" t="str">
        <f>IF(OR($D14="",$E14=""),"",IF(AND($D14&lt;=AT$6+6,$E14&gt;=AT$6),IF($N14="CRÍTICA","C","P"),""))</f>
        <v>P</v>
      </c>
      <c r="AU14" s="138" t="str">
        <f>IF(OR($D14="",$E14=""),"",IF(AND($D14&lt;=AU$6+6,$E14&gt;=AU$6),IF($N14="CRÍTICA","C","P"),""))</f>
        <v>P</v>
      </c>
      <c r="AV14" s="138" t="str">
        <f>IF(OR($D14="",$E14=""),"",IF(AND($D14&lt;=AV$6+6,$E14&gt;=AV$6),IF($N14="CRÍTICA","C","P"),""))</f>
        <v>P</v>
      </c>
      <c r="AW14" s="138" t="str">
        <f>IF(OR($D14="",$E14=""),"",IF(AND($D14&lt;=AW$6+6,$E14&gt;=AW$6),IF($N14="CRÍTICA","C","P"),""))</f>
        <v>P</v>
      </c>
      <c r="AX14" s="138" t="str">
        <f>IF(OR($D14="",$E14=""),"",IF(AND($D14&lt;=AX$6+6,$E14&gt;=AX$6),IF($N14="CRÍTICA","C","P"),""))</f>
        <v>P</v>
      </c>
      <c r="AY14" s="138" t="str">
        <f>IF(OR($D14="",$E14=""),"",IF(AND($D14&lt;=AY$6+6,$E14&gt;=AY$6),IF($N14="CRÍTICA","C","P"),""))</f>
        <v>P</v>
      </c>
      <c r="AZ14" s="138" t="str">
        <f>IF(OR($D14="",$E14=""),"",IF(AND($D14&lt;=AZ$6+6,$E14&gt;=AZ$6),IF($N14="CRÍTICA","C","P"),""))</f>
        <v>P</v>
      </c>
      <c r="BA14" s="138" t="str">
        <f>IF(OR($D14="",$E14=""),"",IF(AND($D14&lt;=BA$6+6,$E14&gt;=BA$6),IF($N14="CRÍTICA","C","P"),""))</f>
        <v>P</v>
      </c>
      <c r="BB14" s="138" t="str">
        <f>IF(OR($D14="",$E14=""),"",IF(AND($D14&lt;=BB$6+6,$E14&gt;=BB$6),IF($N14="CRÍTICA","C","P"),""))</f>
        <v>P</v>
      </c>
      <c r="BC14" s="138" t="str">
        <f>IF(OR($D14="",$E14=""),"",IF(AND($D14&lt;=BC$6+6,$E14&gt;=BC$6),IF($N14="CRÍTICA","C","P"),""))</f>
        <v>P</v>
      </c>
      <c r="BD14" s="138" t="str">
        <f>IF(OR($D14="",$E14=""),"",IF(AND($D14&lt;=BD$6+6,$E14&gt;=BD$6),IF($N14="CRÍTICA","C","P"),""))</f>
        <v>P</v>
      </c>
      <c r="BE14" s="138" t="str">
        <f>IF(OR($D14="",$E14=""),"",IF(AND($D14&lt;=BE$6+6,$E14&gt;=BE$6),IF($N14="CRÍTICA","C","P"),""))</f>
        <v>P</v>
      </c>
      <c r="BF14" s="138">
        <f>IF(OR($D14="",$E14=""),"",IF(AND($D14&lt;=BF$6+6,$E14&gt;=BF$6),IF($N14="CRÍTICA","C","P"),""))</f>
      </c>
      <c r="BG14" s="138">
        <f>IF(OR($D14="",$E14=""),"",IF(AND($D14&lt;=BG$6+6,$E14&gt;=BG$6),IF($N14="CRÍTICA","C","P"),""))</f>
      </c>
      <c r="BH14" s="138">
        <f>IF(OR($D14="",$E14=""),"",IF(AND($D14&lt;=BH$6+6,$E14&gt;=BH$6),IF($N14="CRÍTICA","C","P"),""))</f>
      </c>
      <c r="BI14" s="138">
        <f>IF(OR($D14="",$E14=""),"",IF(AND($D14&lt;=BI$6+6,$E14&gt;=BI$6),IF($N14="CRÍTICA","C","P"),""))</f>
      </c>
      <c r="BJ14" s="138">
        <f>IF(OR($D14="",$E14=""),"",IF(AND($D14&lt;=BJ$6+6,$E14&gt;=BJ$6),IF($N14="CRÍTICA","C","P"),""))</f>
      </c>
      <c r="BK14" s="138">
        <f>IF(OR($D14="",$E14=""),"",IF(AND($D14&lt;=BK$6+6,$E14&gt;=BK$6),IF($N14="CRÍTICA","C","P"),""))</f>
      </c>
      <c r="BL14" s="138">
        <f>IF(OR($D14="",$E14=""),"",IF(AND($D14&lt;=BL$6+6,$E14&gt;=BL$6),IF($N14="CRÍTICA","C","P"),""))</f>
      </c>
      <c r="BM14" s="138">
        <f>IF(OR($D14="",$E14=""),"",IF(AND($D14&lt;=BM$6+6,$E14&gt;=BM$6),IF($N14="CRÍTICA","C","P"),""))</f>
      </c>
      <c r="BN14" s="138">
        <f>IF(OR($D14="",$E14=""),"",IF(AND($D14&lt;=BN$6+6,$E14&gt;=BN$6),IF($N14="CRÍTICA","C","P"),""))</f>
      </c>
      <c r="BO14" s="138">
        <f>IF(OR($D14="",$E14=""),"",IF(AND($D14&lt;=BO$6+6,$E14&gt;=BO$6),IF($N14="CRÍTICA","C","P"),""))</f>
      </c>
      <c r="BP14" s="138">
        <f>IF(OR($D14="",$E14=""),"",IF(AND($D14&lt;=BP$6+6,$E14&gt;=BP$6),IF($N14="CRÍTICA","C","P"),""))</f>
      </c>
      <c r="BQ14" s="138">
        <f>IF(OR($D14="",$E14=""),"",IF(AND($D14&lt;=BQ$6+6,$E14&gt;=BQ$6),IF($N14="CRÍTICA","C","P"),""))</f>
      </c>
      <c r="BR14" s="138">
        <f>IF(OR($D14="",$E14=""),"",IF(AND($D14&lt;=BR$6+6,$E14&gt;=BR$6),IF($N14="CRÍTICA","C","P"),""))</f>
      </c>
      <c r="BT14" s="69">
        <f>_xlfn.MINIFS($G$74:$G$103,$D$74:$D$103,$A14)</f>
        <v>46408.0</v>
      </c>
      <c r="BU14" s="69">
        <f>_xlfn.MAXIFS($H$74:$H$103,$D$74:$D$103,$A14)</f>
        <v>46549.0</v>
      </c>
      <c r="BV14" s="73" t="inlineStr">
        <is>
          <t>Contrato</t>
        </is>
      </c>
      <c r="BW14" s="73" t="n">
        <v>342</v>
      </c>
      <c r="BX14" s="127">
        <f>IF(E14="","",IF(COUNTIF($G15:$G$28,$A14)+COUNTIF($H15:$H$28,$A14)+COUNTIF($I15:$I$28,$A14)=0,_xlfn.MAXIFS($E$7:$E$27,$BW$7:$BW$27,$BW14),MIN(IF(COUNTIF($G15:$G$28,$A14)&gt;0,_xlfn.MINIFS($BY15:$BY$28,$G15:$G$28,$A14),99999999),IF(COUNTIF($H15:$H$28,$A14)&gt;0,_xlfn.MINIFS($BY15:$BY$28,$H15:$H$28,$A14),99999999),IF(COUNTIF($I15:$I$28,$A14)&gt;0,_xlfn.MINIFS($BY15:$BY$28,$I15:$I$28,$A14),99999999))-1))</f>
        <v>46626.0</v>
      </c>
      <c r="BY14" s="127">
        <f>IF(BX14="","",BX14-F14+1)</f>
        <v>46485.0</v>
      </c>
      <c r="BZ14" s="140">
        <f>IF(AND(D14&lt;&gt;"",D14&gt;DATA_GESTAO),D14+ROW()/1000000,"")</f>
        <v>46408.000014</v>
      </c>
      <c r="CA14" s="73">
        <f>SUMPRODUCT(($BW$7:$BW$27=$BW14)*($G$7:$I$27&lt;&gt;""))</f>
        <v>0</v>
      </c>
    </row>
    <row r="15">
      <c r="A15" s="81" t="inlineStr">
        <is>
          <t>342-09</t>
        </is>
      </c>
      <c r="B15" s="126" t="n">
        <v>342</v>
      </c>
      <c r="C15" s="73" t="inlineStr">
        <is>
          <t>URBANIZAÇÃO, CANALETAS, CAIXAS E SERVIÇOS COMPLEMENTARES</t>
        </is>
      </c>
      <c r="D15" s="128">
        <f>IF(BT15="","",MAX(BT15,IF($G15="",0,_xlfn.MAXIFS($E$6:$E14,$A$6:$A14,$G15)+1),IF($H15="",0,_xlfn.MAXIFS($E$6:$E14,$A$6:$A14,$H15)+1),IF($I15="",0,_xlfn.MAXIFS($E$6:$E14,$A$6:$A14,$I15)+1)))</f>
        <v>46526.0</v>
      </c>
      <c r="E15" s="128">
        <f>IF(D15="","",D15+F15-1)</f>
        <v>46589.0</v>
      </c>
      <c r="F15" s="143">
        <f>IF(OR(BT15="",BU15=""),"",BU15-BT15+1)</f>
        <v>64</v>
      </c>
      <c r="G15" s="149" t="n"/>
      <c r="H15" s="149" t="n"/>
      <c r="I15" s="150" t="n"/>
      <c r="J15" s="152" t="n"/>
      <c r="K15" s="145">
        <f>$P41</f>
        <v>218637.74</v>
      </c>
      <c r="L15" s="141" t="inlineStr">
        <is>
          <t>pendente</t>
        </is>
      </c>
      <c r="M15" s="144">
        <f>IF(OR(BX15="",E15=""),"",BX15-E15)</f>
        <v>37</v>
      </c>
      <c r="N15" s="126" t="str">
        <f>IF(M15="","",IF(CA15=0,"sem rede",IF(M15&lt;=0,"CRÍTICA","")))</f>
        <v>sem rede</v>
      </c>
      <c r="O15" s="145">
        <f>IF(OR(J15="",K15=""),"",J15*K15)</f>
      </c>
      <c r="P15" s="73" t="str">
        <f>IF(OR(BT15="",BU15=""),"sem data",IF(OR(AND(G15&lt;&gt;"",COUNTIF($A$7:$A$27,G15)=0),AND(H15&lt;&gt;"",COUNTIF($A$7:$A$27,H15)=0),AND(I15&lt;&gt;"",COUNTIF($A$7:$A$27,I15)=0)),"predecessora inexistente",IF(OR(AND(G15&lt;&gt;"",COUNTIF($A$6:$A14,G15)=0),AND(H15&lt;&gt;"",COUNTIF($A$6:$A14,H15)=0),AND(I15&lt;&gt;"",COUNTIF($A$6:$A14,I15)=0)),"predecessora abaixo da tarefa","ok")))</f>
        <v>ok</v>
      </c>
      <c r="Q15" s="138">
        <f>IF(OR($D15="",$E15=""),"",IF(AND($D15&lt;=Q$6+6,$E15&gt;=Q$6),IF($N15="CRÍTICA","C","P"),""))</f>
      </c>
      <c r="R15" s="138">
        <f>IF(OR($D15="",$E15=""),"",IF(AND($D15&lt;=R$6+6,$E15&gt;=R$6),IF($N15="CRÍTICA","C","P"),""))</f>
      </c>
      <c r="S15" s="138">
        <f>IF(OR($D15="",$E15=""),"",IF(AND($D15&lt;=S$6+6,$E15&gt;=S$6),IF($N15="CRÍTICA","C","P"),""))</f>
      </c>
      <c r="T15" s="138">
        <f>IF(OR($D15="",$E15=""),"",IF(AND($D15&lt;=T$6+6,$E15&gt;=T$6),IF($N15="CRÍTICA","C","P"),""))</f>
      </c>
      <c r="U15" s="138">
        <f>IF(OR($D15="",$E15=""),"",IF(AND($D15&lt;=U$6+6,$E15&gt;=U$6),IF($N15="CRÍTICA","C","P"),""))</f>
      </c>
      <c r="V15" s="138">
        <f>IF(OR($D15="",$E15=""),"",IF(AND($D15&lt;=V$6+6,$E15&gt;=V$6),IF($N15="CRÍTICA","C","P"),""))</f>
      </c>
      <c r="W15" s="138">
        <f>IF(OR($D15="",$E15=""),"",IF(AND($D15&lt;=W$6+6,$E15&gt;=W$6),IF($N15="CRÍTICA","C","P"),""))</f>
      </c>
      <c r="X15" s="138">
        <f>IF(OR($D15="",$E15=""),"",IF(AND($D15&lt;=X$6+6,$E15&gt;=X$6),IF($N15="CRÍTICA","C","P"),""))</f>
      </c>
      <c r="Y15" s="138">
        <f>IF(OR($D15="",$E15=""),"",IF(AND($D15&lt;=Y$6+6,$E15&gt;=Y$6),IF($N15="CRÍTICA","C","P"),""))</f>
      </c>
      <c r="Z15" s="138">
        <f>IF(OR($D15="",$E15=""),"",IF(AND($D15&lt;=Z$6+6,$E15&gt;=Z$6),IF($N15="CRÍTICA","C","P"),""))</f>
      </c>
      <c r="AA15" s="138">
        <f>IF(OR($D15="",$E15=""),"",IF(AND($D15&lt;=AA$6+6,$E15&gt;=AA$6),IF($N15="CRÍTICA","C","P"),""))</f>
      </c>
      <c r="AB15" s="138">
        <f>IF(OR($D15="",$E15=""),"",IF(AND($D15&lt;=AB$6+6,$E15&gt;=AB$6),IF($N15="CRÍTICA","C","P"),""))</f>
      </c>
      <c r="AC15" s="138">
        <f>IF(OR($D15="",$E15=""),"",IF(AND($D15&lt;=AC$6+6,$E15&gt;=AC$6),IF($N15="CRÍTICA","C","P"),""))</f>
      </c>
      <c r="AD15" s="138">
        <f>IF(OR($D15="",$E15=""),"",IF(AND($D15&lt;=AD$6+6,$E15&gt;=AD$6),IF($N15="CRÍTICA","C","P"),""))</f>
      </c>
      <c r="AE15" s="138">
        <f>IF(OR($D15="",$E15=""),"",IF(AND($D15&lt;=AE$6+6,$E15&gt;=AE$6),IF($N15="CRÍTICA","C","P"),""))</f>
      </c>
      <c r="AF15" s="138">
        <f>IF(OR($D15="",$E15=""),"",IF(AND($D15&lt;=AF$6+6,$E15&gt;=AF$6),IF($N15="CRÍTICA","C","P"),""))</f>
      </c>
      <c r="AG15" s="138">
        <f>IF(OR($D15="",$E15=""),"",IF(AND($D15&lt;=AG$6+6,$E15&gt;=AG$6),IF($N15="CRÍTICA","C","P"),""))</f>
      </c>
      <c r="AH15" s="138">
        <f>IF(OR($D15="",$E15=""),"",IF(AND($D15&lt;=AH$6+6,$E15&gt;=AH$6),IF($N15="CRÍTICA","C","P"),""))</f>
      </c>
      <c r="AI15" s="138">
        <f>IF(OR($D15="",$E15=""),"",IF(AND($D15&lt;=AI$6+6,$E15&gt;=AI$6),IF($N15="CRÍTICA","C","P"),""))</f>
      </c>
      <c r="AJ15" s="138">
        <f>IF(OR($D15="",$E15=""),"",IF(AND($D15&lt;=AJ$6+6,$E15&gt;=AJ$6),IF($N15="CRÍTICA","C","P"),""))</f>
      </c>
      <c r="AK15" s="138">
        <f>IF(OR($D15="",$E15=""),"",IF(AND($D15&lt;=AK$6+6,$E15&gt;=AK$6),IF($N15="CRÍTICA","C","P"),""))</f>
      </c>
      <c r="AL15" s="138">
        <f>IF(OR($D15="",$E15=""),"",IF(AND($D15&lt;=AL$6+6,$E15&gt;=AL$6),IF($N15="CRÍTICA","C","P"),""))</f>
      </c>
      <c r="AM15" s="138">
        <f>IF(OR($D15="",$E15=""),"",IF(AND($D15&lt;=AM$6+6,$E15&gt;=AM$6),IF($N15="CRÍTICA","C","P"),""))</f>
      </c>
      <c r="AN15" s="138">
        <f>IF(OR($D15="",$E15=""),"",IF(AND($D15&lt;=AN$6+6,$E15&gt;=AN$6),IF($N15="CRÍTICA","C","P"),""))</f>
      </c>
      <c r="AO15" s="138">
        <f>IF(OR($D15="",$E15=""),"",IF(AND($D15&lt;=AO$6+6,$E15&gt;=AO$6),IF($N15="CRÍTICA","C","P"),""))</f>
      </c>
      <c r="AP15" s="138">
        <f>IF(OR($D15="",$E15=""),"",IF(AND($D15&lt;=AP$6+6,$E15&gt;=AP$6),IF($N15="CRÍTICA","C","P"),""))</f>
      </c>
      <c r="AQ15" s="138">
        <f>IF(OR($D15="",$E15=""),"",IF(AND($D15&lt;=AQ$6+6,$E15&gt;=AQ$6),IF($N15="CRÍTICA","C","P"),""))</f>
      </c>
      <c r="AR15" s="138">
        <f>IF(OR($D15="",$E15=""),"",IF(AND($D15&lt;=AR$6+6,$E15&gt;=AR$6),IF($N15="CRÍTICA","C","P"),""))</f>
      </c>
      <c r="AS15" s="138">
        <f>IF(OR($D15="",$E15=""),"",IF(AND($D15&lt;=AS$6+6,$E15&gt;=AS$6),IF($N15="CRÍTICA","C","P"),""))</f>
      </c>
      <c r="AT15" s="138">
        <f>IF(OR($D15="",$E15=""),"",IF(AND($D15&lt;=AT$6+6,$E15&gt;=AT$6),IF($N15="CRÍTICA","C","P"),""))</f>
      </c>
      <c r="AU15" s="138">
        <f>IF(OR($D15="",$E15=""),"",IF(AND($D15&lt;=AU$6+6,$E15&gt;=AU$6),IF($N15="CRÍTICA","C","P"),""))</f>
      </c>
      <c r="AV15" s="138">
        <f>IF(OR($D15="",$E15=""),"",IF(AND($D15&lt;=AV$6+6,$E15&gt;=AV$6),IF($N15="CRÍTICA","C","P"),""))</f>
      </c>
      <c r="AW15" s="138">
        <f>IF(OR($D15="",$E15=""),"",IF(AND($D15&lt;=AW$6+6,$E15&gt;=AW$6),IF($N15="CRÍTICA","C","P"),""))</f>
      </c>
      <c r="AX15" s="138">
        <f>IF(OR($D15="",$E15=""),"",IF(AND($D15&lt;=AX$6+6,$E15&gt;=AX$6),IF($N15="CRÍTICA","C","P"),""))</f>
      </c>
      <c r="AY15" s="138">
        <f>IF(OR($D15="",$E15=""),"",IF(AND($D15&lt;=AY$6+6,$E15&gt;=AY$6),IF($N15="CRÍTICA","C","P"),""))</f>
      </c>
      <c r="AZ15" s="138">
        <f>IF(OR($D15="",$E15=""),"",IF(AND($D15&lt;=AZ$6+6,$E15&gt;=AZ$6),IF($N15="CRÍTICA","C","P"),""))</f>
      </c>
      <c r="BA15" s="138">
        <f>IF(OR($D15="",$E15=""),"",IF(AND($D15&lt;=BA$6+6,$E15&gt;=BA$6),IF($N15="CRÍTICA","C","P"),""))</f>
      </c>
      <c r="BB15" s="138" t="str">
        <f>IF(OR($D15="",$E15=""),"",IF(AND($D15&lt;=BB$6+6,$E15&gt;=BB$6),IF($N15="CRÍTICA","C","P"),""))</f>
        <v>P</v>
      </c>
      <c r="BC15" s="138" t="str">
        <f>IF(OR($D15="",$E15=""),"",IF(AND($D15&lt;=BC$6+6,$E15&gt;=BC$6),IF($N15="CRÍTICA","C","P"),""))</f>
        <v>P</v>
      </c>
      <c r="BD15" s="138" t="str">
        <f>IF(OR($D15="",$E15=""),"",IF(AND($D15&lt;=BD$6+6,$E15&gt;=BD$6),IF($N15="CRÍTICA","C","P"),""))</f>
        <v>P</v>
      </c>
      <c r="BE15" s="138" t="str">
        <f>IF(OR($D15="",$E15=""),"",IF(AND($D15&lt;=BE$6+6,$E15&gt;=BE$6),IF($N15="CRÍTICA","C","P"),""))</f>
        <v>P</v>
      </c>
      <c r="BF15" s="138" t="str">
        <f>IF(OR($D15="",$E15=""),"",IF(AND($D15&lt;=BF$6+6,$E15&gt;=BF$6),IF($N15="CRÍTICA","C","P"),""))</f>
        <v>P</v>
      </c>
      <c r="BG15" s="138" t="str">
        <f>IF(OR($D15="",$E15=""),"",IF(AND($D15&lt;=BG$6+6,$E15&gt;=BG$6),IF($N15="CRÍTICA","C","P"),""))</f>
        <v>P</v>
      </c>
      <c r="BH15" s="138" t="str">
        <f>IF(OR($D15="",$E15=""),"",IF(AND($D15&lt;=BH$6+6,$E15&gt;=BH$6),IF($N15="CRÍTICA","C","P"),""))</f>
        <v>P</v>
      </c>
      <c r="BI15" s="138" t="str">
        <f>IF(OR($D15="",$E15=""),"",IF(AND($D15&lt;=BI$6+6,$E15&gt;=BI$6),IF($N15="CRÍTICA","C","P"),""))</f>
        <v>P</v>
      </c>
      <c r="BJ15" s="138" t="str">
        <f>IF(OR($D15="",$E15=""),"",IF(AND($D15&lt;=BJ$6+6,$E15&gt;=BJ$6),IF($N15="CRÍTICA","C","P"),""))</f>
        <v>P</v>
      </c>
      <c r="BK15" s="138" t="str">
        <f>IF(OR($D15="",$E15=""),"",IF(AND($D15&lt;=BK$6+6,$E15&gt;=BK$6),IF($N15="CRÍTICA","C","P"),""))</f>
        <v>P</v>
      </c>
      <c r="BL15" s="138">
        <f>IF(OR($D15="",$E15=""),"",IF(AND($D15&lt;=BL$6+6,$E15&gt;=BL$6),IF($N15="CRÍTICA","C","P"),""))</f>
      </c>
      <c r="BM15" s="138">
        <f>IF(OR($D15="",$E15=""),"",IF(AND($D15&lt;=BM$6+6,$E15&gt;=BM$6),IF($N15="CRÍTICA","C","P"),""))</f>
      </c>
      <c r="BN15" s="138">
        <f>IF(OR($D15="",$E15=""),"",IF(AND($D15&lt;=BN$6+6,$E15&gt;=BN$6),IF($N15="CRÍTICA","C","P"),""))</f>
      </c>
      <c r="BO15" s="138">
        <f>IF(OR($D15="",$E15=""),"",IF(AND($D15&lt;=BO$6+6,$E15&gt;=BO$6),IF($N15="CRÍTICA","C","P"),""))</f>
      </c>
      <c r="BP15" s="138">
        <f>IF(OR($D15="",$E15=""),"",IF(AND($D15&lt;=BP$6+6,$E15&gt;=BP$6),IF($N15="CRÍTICA","C","P"),""))</f>
      </c>
      <c r="BQ15" s="138">
        <f>IF(OR($D15="",$E15=""),"",IF(AND($D15&lt;=BQ$6+6,$E15&gt;=BQ$6),IF($N15="CRÍTICA","C","P"),""))</f>
      </c>
      <c r="BR15" s="138">
        <f>IF(OR($D15="",$E15=""),"",IF(AND($D15&lt;=BR$6+6,$E15&gt;=BR$6),IF($N15="CRÍTICA","C","P"),""))</f>
      </c>
      <c r="BT15" s="69">
        <f>_xlfn.MINIFS($G$74:$G$103,$D$74:$D$103,$A15)</f>
        <v>46526.0</v>
      </c>
      <c r="BU15" s="69">
        <f>_xlfn.MAXIFS($H$74:$H$103,$D$74:$D$103,$A15)</f>
        <v>46589.0</v>
      </c>
      <c r="BV15" s="73" t="inlineStr">
        <is>
          <t>Contrato</t>
        </is>
      </c>
      <c r="BW15" s="73" t="n">
        <v>342</v>
      </c>
      <c r="BX15" s="127">
        <f>IF(E15="","",IF(COUNTIF($G16:$G$28,$A15)+COUNTIF($H16:$H$28,$A15)+COUNTIF($I16:$I$28,$A15)=0,_xlfn.MAXIFS($E$7:$E$27,$BW$7:$BW$27,$BW15),MIN(IF(COUNTIF($G16:$G$28,$A15)&gt;0,_xlfn.MINIFS($BY16:$BY$28,$G16:$G$28,$A15),99999999),IF(COUNTIF($H16:$H$28,$A15)&gt;0,_xlfn.MINIFS($BY16:$BY$28,$H16:$H$28,$A15),99999999),IF(COUNTIF($I16:$I$28,$A15)&gt;0,_xlfn.MINIFS($BY16:$BY$28,$I16:$I$28,$A15),99999999))-1))</f>
        <v>46626.0</v>
      </c>
      <c r="BY15" s="127">
        <f>IF(BX15="","",BX15-F15+1)</f>
        <v>46563.0</v>
      </c>
      <c r="BZ15" s="140">
        <f>IF(AND(D15&lt;&gt;"",D15&gt;DATA_GESTAO),D15+ROW()/1000000,"")</f>
        <v>46526.000015</v>
      </c>
      <c r="CA15" s="73">
        <f>SUMPRODUCT(($BW$7:$BW$27=$BW15)*($G$7:$I$27&lt;&gt;""))</f>
        <v>0</v>
      </c>
    </row>
    <row r="16">
      <c r="A16" s="81" t="inlineStr">
        <is>
          <t>342-10</t>
        </is>
      </c>
      <c r="B16" s="126" t="n">
        <v>342</v>
      </c>
      <c r="C16" s="73" t="inlineStr">
        <is>
          <t>REDE DE DISTRIBUIÇÃO DE ENERGIA</t>
        </is>
      </c>
      <c r="D16" s="128">
        <f>IF(BT16="","",MAX(BT16,IF($G16="",0,_xlfn.MAXIFS($E$6:$E15,$A$6:$A15,$G16)+1),IF($H16="",0,_xlfn.MAXIFS($E$6:$E15,$A$6:$A15,$H16)+1),IF($I16="",0,_xlfn.MAXIFS($E$6:$E15,$A$6:$A15,$I16)+1)))</f>
        <v>46433.0</v>
      </c>
      <c r="E16" s="128">
        <f>IF(D16="","",D16+F16-1)</f>
        <v>46449.0</v>
      </c>
      <c r="F16" s="143">
        <f>IF(OR(BT16="",BU16=""),"",BU16-BT16+1)</f>
        <v>17</v>
      </c>
      <c r="G16" s="149" t="n"/>
      <c r="H16" s="149" t="n"/>
      <c r="I16" s="150" t="n"/>
      <c r="J16" s="152" t="n"/>
      <c r="K16" s="145">
        <f>$P42</f>
        <v>104799.22</v>
      </c>
      <c r="L16" s="141" t="inlineStr">
        <is>
          <t>pendente</t>
        </is>
      </c>
      <c r="M16" s="144">
        <f>IF(OR(BX16="",E16=""),"",BX16-E16)</f>
        <v>177</v>
      </c>
      <c r="N16" s="126" t="str">
        <f>IF(M16="","",IF(CA16=0,"sem rede",IF(M16&lt;=0,"CRÍTICA","")))</f>
        <v>sem rede</v>
      </c>
      <c r="O16" s="145">
        <f>IF(OR(J16="",K16=""),"",J16*K16)</f>
      </c>
      <c r="P16" s="73" t="str">
        <f>IF(OR(BT16="",BU16=""),"sem data",IF(OR(AND(G16&lt;&gt;"",COUNTIF($A$7:$A$27,G16)=0),AND(H16&lt;&gt;"",COUNTIF($A$7:$A$27,H16)=0),AND(I16&lt;&gt;"",COUNTIF($A$7:$A$27,I16)=0)),"predecessora inexistente",IF(OR(AND(G16&lt;&gt;"",COUNTIF($A$6:$A15,G16)=0),AND(H16&lt;&gt;"",COUNTIF($A$6:$A15,H16)=0),AND(I16&lt;&gt;"",COUNTIF($A$6:$A15,I16)=0)),"predecessora abaixo da tarefa","ok")))</f>
        <v>ok</v>
      </c>
      <c r="Q16" s="138">
        <f>IF(OR($D16="",$E16=""),"",IF(AND($D16&lt;=Q$6+6,$E16&gt;=Q$6),IF($N16="CRÍTICA","C","P"),""))</f>
      </c>
      <c r="R16" s="138">
        <f>IF(OR($D16="",$E16=""),"",IF(AND($D16&lt;=R$6+6,$E16&gt;=R$6),IF($N16="CRÍTICA","C","P"),""))</f>
      </c>
      <c r="S16" s="138">
        <f>IF(OR($D16="",$E16=""),"",IF(AND($D16&lt;=S$6+6,$E16&gt;=S$6),IF($N16="CRÍTICA","C","P"),""))</f>
      </c>
      <c r="T16" s="138">
        <f>IF(OR($D16="",$E16=""),"",IF(AND($D16&lt;=T$6+6,$E16&gt;=T$6),IF($N16="CRÍTICA","C","P"),""))</f>
      </c>
      <c r="U16" s="138">
        <f>IF(OR($D16="",$E16=""),"",IF(AND($D16&lt;=U$6+6,$E16&gt;=U$6),IF($N16="CRÍTICA","C","P"),""))</f>
      </c>
      <c r="V16" s="138">
        <f>IF(OR($D16="",$E16=""),"",IF(AND($D16&lt;=V$6+6,$E16&gt;=V$6),IF($N16="CRÍTICA","C","P"),""))</f>
      </c>
      <c r="W16" s="138">
        <f>IF(OR($D16="",$E16=""),"",IF(AND($D16&lt;=W$6+6,$E16&gt;=W$6),IF($N16="CRÍTICA","C","P"),""))</f>
      </c>
      <c r="X16" s="138">
        <f>IF(OR($D16="",$E16=""),"",IF(AND($D16&lt;=X$6+6,$E16&gt;=X$6),IF($N16="CRÍTICA","C","P"),""))</f>
      </c>
      <c r="Y16" s="138">
        <f>IF(OR($D16="",$E16=""),"",IF(AND($D16&lt;=Y$6+6,$E16&gt;=Y$6),IF($N16="CRÍTICA","C","P"),""))</f>
      </c>
      <c r="Z16" s="138">
        <f>IF(OR($D16="",$E16=""),"",IF(AND($D16&lt;=Z$6+6,$E16&gt;=Z$6),IF($N16="CRÍTICA","C","P"),""))</f>
      </c>
      <c r="AA16" s="138">
        <f>IF(OR($D16="",$E16=""),"",IF(AND($D16&lt;=AA$6+6,$E16&gt;=AA$6),IF($N16="CRÍTICA","C","P"),""))</f>
      </c>
      <c r="AB16" s="138">
        <f>IF(OR($D16="",$E16=""),"",IF(AND($D16&lt;=AB$6+6,$E16&gt;=AB$6),IF($N16="CRÍTICA","C","P"),""))</f>
      </c>
      <c r="AC16" s="138">
        <f>IF(OR($D16="",$E16=""),"",IF(AND($D16&lt;=AC$6+6,$E16&gt;=AC$6),IF($N16="CRÍTICA","C","P"),""))</f>
      </c>
      <c r="AD16" s="138">
        <f>IF(OR($D16="",$E16=""),"",IF(AND($D16&lt;=AD$6+6,$E16&gt;=AD$6),IF($N16="CRÍTICA","C","P"),""))</f>
      </c>
      <c r="AE16" s="138">
        <f>IF(OR($D16="",$E16=""),"",IF(AND($D16&lt;=AE$6+6,$E16&gt;=AE$6),IF($N16="CRÍTICA","C","P"),""))</f>
      </c>
      <c r="AF16" s="138">
        <f>IF(OR($D16="",$E16=""),"",IF(AND($D16&lt;=AF$6+6,$E16&gt;=AF$6),IF($N16="CRÍTICA","C","P"),""))</f>
      </c>
      <c r="AG16" s="138">
        <f>IF(OR($D16="",$E16=""),"",IF(AND($D16&lt;=AG$6+6,$E16&gt;=AG$6),IF($N16="CRÍTICA","C","P"),""))</f>
      </c>
      <c r="AH16" s="138">
        <f>IF(OR($D16="",$E16=""),"",IF(AND($D16&lt;=AH$6+6,$E16&gt;=AH$6),IF($N16="CRÍTICA","C","P"),""))</f>
      </c>
      <c r="AI16" s="138">
        <f>IF(OR($D16="",$E16=""),"",IF(AND($D16&lt;=AI$6+6,$E16&gt;=AI$6),IF($N16="CRÍTICA","C","P"),""))</f>
      </c>
      <c r="AJ16" s="138">
        <f>IF(OR($D16="",$E16=""),"",IF(AND($D16&lt;=AJ$6+6,$E16&gt;=AJ$6),IF($N16="CRÍTICA","C","P"),""))</f>
      </c>
      <c r="AK16" s="138">
        <f>IF(OR($D16="",$E16=""),"",IF(AND($D16&lt;=AK$6+6,$E16&gt;=AK$6),IF($N16="CRÍTICA","C","P"),""))</f>
      </c>
      <c r="AL16" s="138">
        <f>IF(OR($D16="",$E16=""),"",IF(AND($D16&lt;=AL$6+6,$E16&gt;=AL$6),IF($N16="CRÍTICA","C","P"),""))</f>
      </c>
      <c r="AM16" s="138">
        <f>IF(OR($D16="",$E16=""),"",IF(AND($D16&lt;=AM$6+6,$E16&gt;=AM$6),IF($N16="CRÍTICA","C","P"),""))</f>
      </c>
      <c r="AN16" s="138">
        <f>IF(OR($D16="",$E16=""),"",IF(AND($D16&lt;=AN$6+6,$E16&gt;=AN$6),IF($N16="CRÍTICA","C","P"),""))</f>
      </c>
      <c r="AO16" s="138" t="str">
        <f>IF(OR($D16="",$E16=""),"",IF(AND($D16&lt;=AO$6+6,$E16&gt;=AO$6),IF($N16="CRÍTICA","C","P"),""))</f>
        <v>P</v>
      </c>
      <c r="AP16" s="138" t="str">
        <f>IF(OR($D16="",$E16=""),"",IF(AND($D16&lt;=AP$6+6,$E16&gt;=AP$6),IF($N16="CRÍTICA","C","P"),""))</f>
        <v>P</v>
      </c>
      <c r="AQ16" s="138" t="str">
        <f>IF(OR($D16="",$E16=""),"",IF(AND($D16&lt;=AQ$6+6,$E16&gt;=AQ$6),IF($N16="CRÍTICA","C","P"),""))</f>
        <v>P</v>
      </c>
      <c r="AR16" s="138">
        <f>IF(OR($D16="",$E16=""),"",IF(AND($D16&lt;=AR$6+6,$E16&gt;=AR$6),IF($N16="CRÍTICA","C","P"),""))</f>
      </c>
      <c r="AS16" s="138">
        <f>IF(OR($D16="",$E16=""),"",IF(AND($D16&lt;=AS$6+6,$E16&gt;=AS$6),IF($N16="CRÍTICA","C","P"),""))</f>
      </c>
      <c r="AT16" s="138">
        <f>IF(OR($D16="",$E16=""),"",IF(AND($D16&lt;=AT$6+6,$E16&gt;=AT$6),IF($N16="CRÍTICA","C","P"),""))</f>
      </c>
      <c r="AU16" s="138">
        <f>IF(OR($D16="",$E16=""),"",IF(AND($D16&lt;=AU$6+6,$E16&gt;=AU$6),IF($N16="CRÍTICA","C","P"),""))</f>
      </c>
      <c r="AV16" s="138">
        <f>IF(OR($D16="",$E16=""),"",IF(AND($D16&lt;=AV$6+6,$E16&gt;=AV$6),IF($N16="CRÍTICA","C","P"),""))</f>
      </c>
      <c r="AW16" s="138">
        <f>IF(OR($D16="",$E16=""),"",IF(AND($D16&lt;=AW$6+6,$E16&gt;=AW$6),IF($N16="CRÍTICA","C","P"),""))</f>
      </c>
      <c r="AX16" s="138">
        <f>IF(OR($D16="",$E16=""),"",IF(AND($D16&lt;=AX$6+6,$E16&gt;=AX$6),IF($N16="CRÍTICA","C","P"),""))</f>
      </c>
      <c r="AY16" s="138">
        <f>IF(OR($D16="",$E16=""),"",IF(AND($D16&lt;=AY$6+6,$E16&gt;=AY$6),IF($N16="CRÍTICA","C","P"),""))</f>
      </c>
      <c r="AZ16" s="138">
        <f>IF(OR($D16="",$E16=""),"",IF(AND($D16&lt;=AZ$6+6,$E16&gt;=AZ$6),IF($N16="CRÍTICA","C","P"),""))</f>
      </c>
      <c r="BA16" s="138">
        <f>IF(OR($D16="",$E16=""),"",IF(AND($D16&lt;=BA$6+6,$E16&gt;=BA$6),IF($N16="CRÍTICA","C","P"),""))</f>
      </c>
      <c r="BB16" s="138">
        <f>IF(OR($D16="",$E16=""),"",IF(AND($D16&lt;=BB$6+6,$E16&gt;=BB$6),IF($N16="CRÍTICA","C","P"),""))</f>
      </c>
      <c r="BC16" s="138">
        <f>IF(OR($D16="",$E16=""),"",IF(AND($D16&lt;=BC$6+6,$E16&gt;=BC$6),IF($N16="CRÍTICA","C","P"),""))</f>
      </c>
      <c r="BD16" s="138">
        <f>IF(OR($D16="",$E16=""),"",IF(AND($D16&lt;=BD$6+6,$E16&gt;=BD$6),IF($N16="CRÍTICA","C","P"),""))</f>
      </c>
      <c r="BE16" s="138">
        <f>IF(OR($D16="",$E16=""),"",IF(AND($D16&lt;=BE$6+6,$E16&gt;=BE$6),IF($N16="CRÍTICA","C","P"),""))</f>
      </c>
      <c r="BF16" s="138">
        <f>IF(OR($D16="",$E16=""),"",IF(AND($D16&lt;=BF$6+6,$E16&gt;=BF$6),IF($N16="CRÍTICA","C","P"),""))</f>
      </c>
      <c r="BG16" s="138">
        <f>IF(OR($D16="",$E16=""),"",IF(AND($D16&lt;=BG$6+6,$E16&gt;=BG$6),IF($N16="CRÍTICA","C","P"),""))</f>
      </c>
      <c r="BH16" s="138">
        <f>IF(OR($D16="",$E16=""),"",IF(AND($D16&lt;=BH$6+6,$E16&gt;=BH$6),IF($N16="CRÍTICA","C","P"),""))</f>
      </c>
      <c r="BI16" s="138">
        <f>IF(OR($D16="",$E16=""),"",IF(AND($D16&lt;=BI$6+6,$E16&gt;=BI$6),IF($N16="CRÍTICA","C","P"),""))</f>
      </c>
      <c r="BJ16" s="138">
        <f>IF(OR($D16="",$E16=""),"",IF(AND($D16&lt;=BJ$6+6,$E16&gt;=BJ$6),IF($N16="CRÍTICA","C","P"),""))</f>
      </c>
      <c r="BK16" s="138">
        <f>IF(OR($D16="",$E16=""),"",IF(AND($D16&lt;=BK$6+6,$E16&gt;=BK$6),IF($N16="CRÍTICA","C","P"),""))</f>
      </c>
      <c r="BL16" s="138">
        <f>IF(OR($D16="",$E16=""),"",IF(AND($D16&lt;=BL$6+6,$E16&gt;=BL$6),IF($N16="CRÍTICA","C","P"),""))</f>
      </c>
      <c r="BM16" s="138">
        <f>IF(OR($D16="",$E16=""),"",IF(AND($D16&lt;=BM$6+6,$E16&gt;=BM$6),IF($N16="CRÍTICA","C","P"),""))</f>
      </c>
      <c r="BN16" s="138">
        <f>IF(OR($D16="",$E16=""),"",IF(AND($D16&lt;=BN$6+6,$E16&gt;=BN$6),IF($N16="CRÍTICA","C","P"),""))</f>
      </c>
      <c r="BO16" s="138">
        <f>IF(OR($D16="",$E16=""),"",IF(AND($D16&lt;=BO$6+6,$E16&gt;=BO$6),IF($N16="CRÍTICA","C","P"),""))</f>
      </c>
      <c r="BP16" s="138">
        <f>IF(OR($D16="",$E16=""),"",IF(AND($D16&lt;=BP$6+6,$E16&gt;=BP$6),IF($N16="CRÍTICA","C","P"),""))</f>
      </c>
      <c r="BQ16" s="138">
        <f>IF(OR($D16="",$E16=""),"",IF(AND($D16&lt;=BQ$6+6,$E16&gt;=BQ$6),IF($N16="CRÍTICA","C","P"),""))</f>
      </c>
      <c r="BR16" s="138">
        <f>IF(OR($D16="",$E16=""),"",IF(AND($D16&lt;=BR$6+6,$E16&gt;=BR$6),IF($N16="CRÍTICA","C","P"),""))</f>
      </c>
      <c r="BT16" s="69">
        <f>_xlfn.MINIFS($G$74:$G$103,$D$74:$D$103,$A16)</f>
        <v>46433.0</v>
      </c>
      <c r="BU16" s="69">
        <f>_xlfn.MAXIFS($H$74:$H$103,$D$74:$D$103,$A16)</f>
        <v>46449.0</v>
      </c>
      <c r="BV16" s="73" t="inlineStr">
        <is>
          <t>Contrato</t>
        </is>
      </c>
      <c r="BW16" s="73" t="n">
        <v>342</v>
      </c>
      <c r="BX16" s="127">
        <f>IF(E16="","",IF(COUNTIF($G17:$G$28,$A16)+COUNTIF($H17:$H$28,$A16)+COUNTIF($I17:$I$28,$A16)=0,_xlfn.MAXIFS($E$7:$E$27,$BW$7:$BW$27,$BW16),MIN(IF(COUNTIF($G17:$G$28,$A16)&gt;0,_xlfn.MINIFS($BY17:$BY$28,$G17:$G$28,$A16),99999999),IF(COUNTIF($H17:$H$28,$A16)&gt;0,_xlfn.MINIFS($BY17:$BY$28,$H17:$H$28,$A16),99999999),IF(COUNTIF($I17:$I$28,$A16)&gt;0,_xlfn.MINIFS($BY17:$BY$28,$I17:$I$28,$A16),99999999))-1))</f>
        <v>46626.0</v>
      </c>
      <c r="BY16" s="127">
        <f>IF(BX16="","",BX16-F16+1)</f>
        <v>46610.0</v>
      </c>
      <c r="BZ16" s="140">
        <f>IF(AND(D16&lt;&gt;"",D16&gt;DATA_GESTAO),D16+ROW()/1000000,"")</f>
        <v>46433.000016</v>
      </c>
      <c r="CA16" s="73">
        <f>SUMPRODUCT(($BW$7:$BW$27=$BW16)*($G$7:$I$27&lt;&gt;""))</f>
        <v>0</v>
      </c>
    </row>
    <row r="17" ht="13.5" customHeight="1" s="71" thickBot="1">
      <c r="A17" s="81" t="inlineStr">
        <is>
          <t>342-11</t>
        </is>
      </c>
      <c r="B17" s="126" t="n">
        <v>342</v>
      </c>
      <c r="C17" s="73" t="inlineStr">
        <is>
          <t>PROJETOS EXECUTIVOS / AS BUILT</t>
        </is>
      </c>
      <c r="D17" s="128">
        <f>IF(BT17="","",MAX(BT17,IF($G17="",0,_xlfn.MAXIFS($E$6:$E16,$A$6:$A16,$G17)+1),IF($H17="",0,_xlfn.MAXIFS($E$6:$E16,$A$6:$A16,$H17)+1),IF($I17="",0,_xlfn.MAXIFS($E$6:$E16,$A$6:$A16,$I17)+1)))</f>
        <v>46268.0</v>
      </c>
      <c r="E17" s="128">
        <f>IF(D17="","",D17+F17-1)</f>
        <v>46626.0</v>
      </c>
      <c r="F17" s="143">
        <f>IF(OR(BT17="",BU17=""),"",BU17-BT17+1)</f>
        <v>359</v>
      </c>
      <c r="G17" s="148" t="n"/>
      <c r="H17" s="148" t="n"/>
      <c r="I17" s="147" t="n"/>
      <c r="J17" s="151" t="n"/>
      <c r="K17" s="145">
        <f>$P43</f>
        <v>27956.66</v>
      </c>
      <c r="L17" s="141" t="inlineStr">
        <is>
          <t>pendente</t>
        </is>
      </c>
      <c r="M17" s="144">
        <f>IF(OR(BX17="",E17=""),"",BX17-E17)</f>
        <v>0</v>
      </c>
      <c r="N17" s="126" t="str">
        <f>IF(M17="","",IF(CA17=0,"sem rede",IF(M17&lt;=0,"CRÍTICA","")))</f>
        <v>sem rede</v>
      </c>
      <c r="O17" s="145">
        <f>IF(OR(J17="",K17=""),"",J17*K17)</f>
      </c>
      <c r="P17" s="73" t="str">
        <f>IF(OR(BT17="",BU17=""),"sem data",IF(OR(AND(G17&lt;&gt;"",COUNTIF($A$7:$A$27,G17)=0),AND(H17&lt;&gt;"",COUNTIF($A$7:$A$27,H17)=0),AND(I17&lt;&gt;"",COUNTIF($A$7:$A$27,I17)=0)),"predecessora inexistente",IF(OR(AND(G17&lt;&gt;"",COUNTIF($A$6:$A16,G17)=0),AND(H17&lt;&gt;"",COUNTIF($A$6:$A16,H17)=0),AND(I17&lt;&gt;"",COUNTIF($A$6:$A16,I17)=0)),"predecessora abaixo da tarefa","ok")))</f>
        <v>ok</v>
      </c>
      <c r="Q17" s="138" t="str">
        <f>IF(OR($D17="",$E17=""),"",IF(AND($D17&lt;=Q$6+6,$E17&gt;=Q$6),IF($N17="CRÍTICA","C","P"),""))</f>
        <v>P</v>
      </c>
      <c r="R17" s="138" t="str">
        <f>IF(OR($D17="",$E17=""),"",IF(AND($D17&lt;=R$6+6,$E17&gt;=R$6),IF($N17="CRÍTICA","C","P"),""))</f>
        <v>P</v>
      </c>
      <c r="S17" s="138" t="str">
        <f>IF(OR($D17="",$E17=""),"",IF(AND($D17&lt;=S$6+6,$E17&gt;=S$6),IF($N17="CRÍTICA","C","P"),""))</f>
        <v>P</v>
      </c>
      <c r="T17" s="138" t="str">
        <f>IF(OR($D17="",$E17=""),"",IF(AND($D17&lt;=T$6+6,$E17&gt;=T$6),IF($N17="CRÍTICA","C","P"),""))</f>
        <v>P</v>
      </c>
      <c r="U17" s="138" t="str">
        <f>IF(OR($D17="",$E17=""),"",IF(AND($D17&lt;=U$6+6,$E17&gt;=U$6),IF($N17="CRÍTICA","C","P"),""))</f>
        <v>P</v>
      </c>
      <c r="V17" s="138" t="str">
        <f>IF(OR($D17="",$E17=""),"",IF(AND($D17&lt;=V$6+6,$E17&gt;=V$6),IF($N17="CRÍTICA","C","P"),""))</f>
        <v>P</v>
      </c>
      <c r="W17" s="138" t="str">
        <f>IF(OR($D17="",$E17=""),"",IF(AND($D17&lt;=W$6+6,$E17&gt;=W$6),IF($N17="CRÍTICA","C","P"),""))</f>
        <v>P</v>
      </c>
      <c r="X17" s="138" t="str">
        <f>IF(OR($D17="",$E17=""),"",IF(AND($D17&lt;=X$6+6,$E17&gt;=X$6),IF($N17="CRÍTICA","C","P"),""))</f>
        <v>P</v>
      </c>
      <c r="Y17" s="138" t="str">
        <f>IF(OR($D17="",$E17=""),"",IF(AND($D17&lt;=Y$6+6,$E17&gt;=Y$6),IF($N17="CRÍTICA","C","P"),""))</f>
        <v>P</v>
      </c>
      <c r="Z17" s="138" t="str">
        <f>IF(OR($D17="",$E17=""),"",IF(AND($D17&lt;=Z$6+6,$E17&gt;=Z$6),IF($N17="CRÍTICA","C","P"),""))</f>
        <v>P</v>
      </c>
      <c r="AA17" s="138" t="str">
        <f>IF(OR($D17="",$E17=""),"",IF(AND($D17&lt;=AA$6+6,$E17&gt;=AA$6),IF($N17="CRÍTICA","C","P"),""))</f>
        <v>P</v>
      </c>
      <c r="AB17" s="138" t="str">
        <f>IF(OR($D17="",$E17=""),"",IF(AND($D17&lt;=AB$6+6,$E17&gt;=AB$6),IF($N17="CRÍTICA","C","P"),""))</f>
        <v>P</v>
      </c>
      <c r="AC17" s="138" t="str">
        <f>IF(OR($D17="",$E17=""),"",IF(AND($D17&lt;=AC$6+6,$E17&gt;=AC$6),IF($N17="CRÍTICA","C","P"),""))</f>
        <v>P</v>
      </c>
      <c r="AD17" s="138" t="str">
        <f>IF(OR($D17="",$E17=""),"",IF(AND($D17&lt;=AD$6+6,$E17&gt;=AD$6),IF($N17="CRÍTICA","C","P"),""))</f>
        <v>P</v>
      </c>
      <c r="AE17" s="138" t="str">
        <f>IF(OR($D17="",$E17=""),"",IF(AND($D17&lt;=AE$6+6,$E17&gt;=AE$6),IF($N17="CRÍTICA","C","P"),""))</f>
        <v>P</v>
      </c>
      <c r="AF17" s="138" t="str">
        <f>IF(OR($D17="",$E17=""),"",IF(AND($D17&lt;=AF$6+6,$E17&gt;=AF$6),IF($N17="CRÍTICA","C","P"),""))</f>
        <v>P</v>
      </c>
      <c r="AG17" s="138" t="str">
        <f>IF(OR($D17="",$E17=""),"",IF(AND($D17&lt;=AG$6+6,$E17&gt;=AG$6),IF($N17="CRÍTICA","C","P"),""))</f>
        <v>P</v>
      </c>
      <c r="AH17" s="138" t="str">
        <f>IF(OR($D17="",$E17=""),"",IF(AND($D17&lt;=AH$6+6,$E17&gt;=AH$6),IF($N17="CRÍTICA","C","P"),""))</f>
        <v>P</v>
      </c>
      <c r="AI17" s="138" t="str">
        <f>IF(OR($D17="",$E17=""),"",IF(AND($D17&lt;=AI$6+6,$E17&gt;=AI$6),IF($N17="CRÍTICA","C","P"),""))</f>
        <v>P</v>
      </c>
      <c r="AJ17" s="138" t="str">
        <f>IF(OR($D17="",$E17=""),"",IF(AND($D17&lt;=AJ$6+6,$E17&gt;=AJ$6),IF($N17="CRÍTICA","C","P"),""))</f>
        <v>P</v>
      </c>
      <c r="AK17" s="138" t="str">
        <f>IF(OR($D17="",$E17=""),"",IF(AND($D17&lt;=AK$6+6,$E17&gt;=AK$6),IF($N17="CRÍTICA","C","P"),""))</f>
        <v>P</v>
      </c>
      <c r="AL17" s="138" t="str">
        <f>IF(OR($D17="",$E17=""),"",IF(AND($D17&lt;=AL$6+6,$E17&gt;=AL$6),IF($N17="CRÍTICA","C","P"),""))</f>
        <v>P</v>
      </c>
      <c r="AM17" s="138" t="str">
        <f>IF(OR($D17="",$E17=""),"",IF(AND($D17&lt;=AM$6+6,$E17&gt;=AM$6),IF($N17="CRÍTICA","C","P"),""))</f>
        <v>P</v>
      </c>
      <c r="AN17" s="138" t="str">
        <f>IF(OR($D17="",$E17=""),"",IF(AND($D17&lt;=AN$6+6,$E17&gt;=AN$6),IF($N17="CRÍTICA","C","P"),""))</f>
        <v>P</v>
      </c>
      <c r="AO17" s="138" t="str">
        <f>IF(OR($D17="",$E17=""),"",IF(AND($D17&lt;=AO$6+6,$E17&gt;=AO$6),IF($N17="CRÍTICA","C","P"),""))</f>
        <v>P</v>
      </c>
      <c r="AP17" s="138" t="str">
        <f>IF(OR($D17="",$E17=""),"",IF(AND($D17&lt;=AP$6+6,$E17&gt;=AP$6),IF($N17="CRÍTICA","C","P"),""))</f>
        <v>P</v>
      </c>
      <c r="AQ17" s="138" t="str">
        <f>IF(OR($D17="",$E17=""),"",IF(AND($D17&lt;=AQ$6+6,$E17&gt;=AQ$6),IF($N17="CRÍTICA","C","P"),""))</f>
        <v>P</v>
      </c>
      <c r="AR17" s="138" t="str">
        <f>IF(OR($D17="",$E17=""),"",IF(AND($D17&lt;=AR$6+6,$E17&gt;=AR$6),IF($N17="CRÍTICA","C","P"),""))</f>
        <v>P</v>
      </c>
      <c r="AS17" s="138" t="str">
        <f>IF(OR($D17="",$E17=""),"",IF(AND($D17&lt;=AS$6+6,$E17&gt;=AS$6),IF($N17="CRÍTICA","C","P"),""))</f>
        <v>P</v>
      </c>
      <c r="AT17" s="138" t="str">
        <f>IF(OR($D17="",$E17=""),"",IF(AND($D17&lt;=AT$6+6,$E17&gt;=AT$6),IF($N17="CRÍTICA","C","P"),""))</f>
        <v>P</v>
      </c>
      <c r="AU17" s="138" t="str">
        <f>IF(OR($D17="",$E17=""),"",IF(AND($D17&lt;=AU$6+6,$E17&gt;=AU$6),IF($N17="CRÍTICA","C","P"),""))</f>
        <v>P</v>
      </c>
      <c r="AV17" s="138" t="str">
        <f>IF(OR($D17="",$E17=""),"",IF(AND($D17&lt;=AV$6+6,$E17&gt;=AV$6),IF($N17="CRÍTICA","C","P"),""))</f>
        <v>P</v>
      </c>
      <c r="AW17" s="138" t="str">
        <f>IF(OR($D17="",$E17=""),"",IF(AND($D17&lt;=AW$6+6,$E17&gt;=AW$6),IF($N17="CRÍTICA","C","P"),""))</f>
        <v>P</v>
      </c>
      <c r="AX17" s="138" t="str">
        <f>IF(OR($D17="",$E17=""),"",IF(AND($D17&lt;=AX$6+6,$E17&gt;=AX$6),IF($N17="CRÍTICA","C","P"),""))</f>
        <v>P</v>
      </c>
      <c r="AY17" s="138" t="str">
        <f>IF(OR($D17="",$E17=""),"",IF(AND($D17&lt;=AY$6+6,$E17&gt;=AY$6),IF($N17="CRÍTICA","C","P"),""))</f>
        <v>P</v>
      </c>
      <c r="AZ17" s="138" t="str">
        <f>IF(OR($D17="",$E17=""),"",IF(AND($D17&lt;=AZ$6+6,$E17&gt;=AZ$6),IF($N17="CRÍTICA","C","P"),""))</f>
        <v>P</v>
      </c>
      <c r="BA17" s="138" t="str">
        <f>IF(OR($D17="",$E17=""),"",IF(AND($D17&lt;=BA$6+6,$E17&gt;=BA$6),IF($N17="CRÍTICA","C","P"),""))</f>
        <v>P</v>
      </c>
      <c r="BB17" s="138" t="str">
        <f>IF(OR($D17="",$E17=""),"",IF(AND($D17&lt;=BB$6+6,$E17&gt;=BB$6),IF($N17="CRÍTICA","C","P"),""))</f>
        <v>P</v>
      </c>
      <c r="BC17" s="138" t="str">
        <f>IF(OR($D17="",$E17=""),"",IF(AND($D17&lt;=BC$6+6,$E17&gt;=BC$6),IF($N17="CRÍTICA","C","P"),""))</f>
        <v>P</v>
      </c>
      <c r="BD17" s="138" t="str">
        <f>IF(OR($D17="",$E17=""),"",IF(AND($D17&lt;=BD$6+6,$E17&gt;=BD$6),IF($N17="CRÍTICA","C","P"),""))</f>
        <v>P</v>
      </c>
      <c r="BE17" s="138" t="str">
        <f>IF(OR($D17="",$E17=""),"",IF(AND($D17&lt;=BE$6+6,$E17&gt;=BE$6),IF($N17="CRÍTICA","C","P"),""))</f>
        <v>P</v>
      </c>
      <c r="BF17" s="138" t="str">
        <f>IF(OR($D17="",$E17=""),"",IF(AND($D17&lt;=BF$6+6,$E17&gt;=BF$6),IF($N17="CRÍTICA","C","P"),""))</f>
        <v>P</v>
      </c>
      <c r="BG17" s="138" t="str">
        <f>IF(OR($D17="",$E17=""),"",IF(AND($D17&lt;=BG$6+6,$E17&gt;=BG$6),IF($N17="CRÍTICA","C","P"),""))</f>
        <v>P</v>
      </c>
      <c r="BH17" s="138" t="str">
        <f>IF(OR($D17="",$E17=""),"",IF(AND($D17&lt;=BH$6+6,$E17&gt;=BH$6),IF($N17="CRÍTICA","C","P"),""))</f>
        <v>P</v>
      </c>
      <c r="BI17" s="138" t="str">
        <f>IF(OR($D17="",$E17=""),"",IF(AND($D17&lt;=BI$6+6,$E17&gt;=BI$6),IF($N17="CRÍTICA","C","P"),""))</f>
        <v>P</v>
      </c>
      <c r="BJ17" s="138" t="str">
        <f>IF(OR($D17="",$E17=""),"",IF(AND($D17&lt;=BJ$6+6,$E17&gt;=BJ$6),IF($N17="CRÍTICA","C","P"),""))</f>
        <v>P</v>
      </c>
      <c r="BK17" s="138" t="str">
        <f>IF(OR($D17="",$E17=""),"",IF(AND($D17&lt;=BK$6+6,$E17&gt;=BK$6),IF($N17="CRÍTICA","C","P"),""))</f>
        <v>P</v>
      </c>
      <c r="BL17" s="138" t="str">
        <f>IF(OR($D17="",$E17=""),"",IF(AND($D17&lt;=BL$6+6,$E17&gt;=BL$6),IF($N17="CRÍTICA","C","P"),""))</f>
        <v>P</v>
      </c>
      <c r="BM17" s="138" t="str">
        <f>IF(OR($D17="",$E17=""),"",IF(AND($D17&lt;=BM$6+6,$E17&gt;=BM$6),IF($N17="CRÍTICA","C","P"),""))</f>
        <v>P</v>
      </c>
      <c r="BN17" s="138" t="str">
        <f>IF(OR($D17="",$E17=""),"",IF(AND($D17&lt;=BN$6+6,$E17&gt;=BN$6),IF($N17="CRÍTICA","C","P"),""))</f>
        <v>P</v>
      </c>
      <c r="BO17" s="138" t="str">
        <f>IF(OR($D17="",$E17=""),"",IF(AND($D17&lt;=BO$6+6,$E17&gt;=BO$6),IF($N17="CRÍTICA","C","P"),""))</f>
        <v>P</v>
      </c>
      <c r="BP17" s="138" t="str">
        <f>IF(OR($D17="",$E17=""),"",IF(AND($D17&lt;=BP$6+6,$E17&gt;=BP$6),IF($N17="CRÍTICA","C","P"),""))</f>
        <v>P</v>
      </c>
      <c r="BQ17" s="138">
        <f>IF(OR($D17="",$E17=""),"",IF(AND($D17&lt;=BQ$6+6,$E17&gt;=BQ$6),IF($N17="CRÍTICA","C","P"),""))</f>
      </c>
      <c r="BR17" s="138">
        <f>IF(OR($D17="",$E17=""),"",IF(AND($D17&lt;=BR$6+6,$E17&gt;=BR$6),IF($N17="CRÍTICA","C","P"),""))</f>
      </c>
      <c r="BT17" s="69">
        <f>_xlfn.MINIFS($G$74:$G$103,$D$74:$D$103,$A17)</f>
        <v>46268.0</v>
      </c>
      <c r="BU17" s="69">
        <f>_xlfn.MAXIFS($H$74:$H$103,$D$74:$D$103,$A17)</f>
        <v>46626.0</v>
      </c>
      <c r="BV17" s="73" t="inlineStr">
        <is>
          <t>Contrato</t>
        </is>
      </c>
      <c r="BW17" s="73" t="n">
        <v>342</v>
      </c>
      <c r="BX17" s="127">
        <f>IF(E17="","",IF(COUNTIF($G18:$G$28,$A17)+COUNTIF($H18:$H$28,$A17)+COUNTIF($I18:$I$28,$A17)=0,_xlfn.MAXIFS($E$7:$E$27,$BW$7:$BW$27,$BW17),MIN(IF(COUNTIF($G18:$G$28,$A17)&gt;0,_xlfn.MINIFS($BY18:$BY$28,$G18:$G$28,$A17),99999999),IF(COUNTIF($H18:$H$28,$A17)&gt;0,_xlfn.MINIFS($BY18:$BY$28,$H18:$H$28,$A17),99999999),IF(COUNTIF($I18:$I$28,$A17)&gt;0,_xlfn.MINIFS($BY18:$BY$28,$I18:$I$28,$A17),99999999))-1))</f>
        <v>46626.0</v>
      </c>
      <c r="BY17" s="127">
        <f>IF(BX17="","",BX17-F17+1)</f>
        <v>46268.0</v>
      </c>
      <c r="BZ17" s="140">
        <f>IF(AND(D17&lt;&gt;"",D17&gt;DATA_GESTAO),D17+ROW()/1000000,"")</f>
      </c>
      <c r="CA17" s="73">
        <f>SUMPRODUCT(($BW$7:$BW$27=$BW17)*($G$7:$I$27&lt;&gt;""))</f>
        <v>0</v>
      </c>
    </row>
    <row r="18">
      <c r="A18" s="153" t="inlineStr">
        <is>
          <t>343-01</t>
        </is>
      </c>
      <c r="B18" s="154" t="n">
        <v>343</v>
      </c>
      <c r="C18" s="155" t="inlineStr">
        <is>
          <t>Canteiro de Obras</t>
        </is>
      </c>
      <c r="D18" s="156">
        <f>IF(BT18="","",MAX(BT18,IF($G18="",0,_xlfn.MAXIFS($E$6:$E17,$A$6:$A17,$G18)+1),IF($H18="",0,_xlfn.MAXIFS($E$6:$E17,$A$6:$A17,$H18)+1),IF($I18="",0,_xlfn.MAXIFS($E$6:$E17,$A$6:$A17,$I18)+1)))</f>
        <v>46266.0</v>
      </c>
      <c r="E18" s="156">
        <f>IF(D18="","",D18+F18-1)</f>
        <v>46538.0</v>
      </c>
      <c r="F18" s="157">
        <f>IF(OR(BT18="",BU18=""),"",BU18-BT18+1)</f>
        <v>273</v>
      </c>
      <c r="G18" s="158" t="n"/>
      <c r="H18" s="158" t="n"/>
      <c r="I18" s="159" t="n"/>
      <c r="J18" s="160" t="n"/>
      <c r="K18" s="161">
        <f>$P44</f>
        <v>940360.23</v>
      </c>
      <c r="L18" s="162" t="inlineStr">
        <is>
          <t>pendente</t>
        </is>
      </c>
      <c r="M18" s="163">
        <f>IF(OR(BX18="",E18=""),"",BX18-E18)</f>
        <v>0</v>
      </c>
      <c r="N18" s="154" t="str">
        <f>IF(M18="","",IF(CA18=0,"sem rede",IF(M18&lt;=0,"CRÍTICA","")))</f>
        <v>sem rede</v>
      </c>
      <c r="O18" s="161">
        <f>IF(OR(J18="",K18=""),"",J18*K18)</f>
      </c>
      <c r="P18" s="155" t="str">
        <f>IF(OR(BT18="",BU18=""),"sem data",IF(OR(AND(G18&lt;&gt;"",COUNTIF($A$7:$A$27,G18)=0),AND(H18&lt;&gt;"",COUNTIF($A$7:$A$27,H18)=0),AND(I18&lt;&gt;"",COUNTIF($A$7:$A$27,I18)=0)),"predecessora inexistente",IF(OR(AND(G18&lt;&gt;"",COUNTIF($A$6:$A17,G18)=0),AND(H18&lt;&gt;"",COUNTIF($A$6:$A17,H18)=0),AND(I18&lt;&gt;"",COUNTIF($A$6:$A17,I18)=0)),"predecessora abaixo da tarefa","ok")))</f>
        <v>ok</v>
      </c>
      <c r="Q18" s="164" t="str">
        <f>IF(OR($D18="",$E18=""),"",IF(AND($D18&lt;=Q$6+6,$E18&gt;=Q$6),IF($N18="CRÍTICA","C","P"),""))</f>
        <v>P</v>
      </c>
      <c r="R18" s="164" t="str">
        <f>IF(OR($D18="",$E18=""),"",IF(AND($D18&lt;=R$6+6,$E18&gt;=R$6),IF($N18="CRÍTICA","C","P"),""))</f>
        <v>P</v>
      </c>
      <c r="S18" s="164" t="str">
        <f>IF(OR($D18="",$E18=""),"",IF(AND($D18&lt;=S$6+6,$E18&gt;=S$6),IF($N18="CRÍTICA","C","P"),""))</f>
        <v>P</v>
      </c>
      <c r="T18" s="164" t="str">
        <f>IF(OR($D18="",$E18=""),"",IF(AND($D18&lt;=T$6+6,$E18&gt;=T$6),IF($N18="CRÍTICA","C","P"),""))</f>
        <v>P</v>
      </c>
      <c r="U18" s="164" t="str">
        <f>IF(OR($D18="",$E18=""),"",IF(AND($D18&lt;=U$6+6,$E18&gt;=U$6),IF($N18="CRÍTICA","C","P"),""))</f>
        <v>P</v>
      </c>
      <c r="V18" s="164" t="str">
        <f>IF(OR($D18="",$E18=""),"",IF(AND($D18&lt;=V$6+6,$E18&gt;=V$6),IF($N18="CRÍTICA","C","P"),""))</f>
        <v>P</v>
      </c>
      <c r="W18" s="164" t="str">
        <f>IF(OR($D18="",$E18=""),"",IF(AND($D18&lt;=W$6+6,$E18&gt;=W$6),IF($N18="CRÍTICA","C","P"),""))</f>
        <v>P</v>
      </c>
      <c r="X18" s="164" t="str">
        <f>IF(OR($D18="",$E18=""),"",IF(AND($D18&lt;=X$6+6,$E18&gt;=X$6),IF($N18="CRÍTICA","C","P"),""))</f>
        <v>P</v>
      </c>
      <c r="Y18" s="164" t="str">
        <f>IF(OR($D18="",$E18=""),"",IF(AND($D18&lt;=Y$6+6,$E18&gt;=Y$6),IF($N18="CRÍTICA","C","P"),""))</f>
        <v>P</v>
      </c>
      <c r="Z18" s="164" t="str">
        <f>IF(OR($D18="",$E18=""),"",IF(AND($D18&lt;=Z$6+6,$E18&gt;=Z$6),IF($N18="CRÍTICA","C","P"),""))</f>
        <v>P</v>
      </c>
      <c r="AA18" s="164" t="str">
        <f>IF(OR($D18="",$E18=""),"",IF(AND($D18&lt;=AA$6+6,$E18&gt;=AA$6),IF($N18="CRÍTICA","C","P"),""))</f>
        <v>P</v>
      </c>
      <c r="AB18" s="164" t="str">
        <f>IF(OR($D18="",$E18=""),"",IF(AND($D18&lt;=AB$6+6,$E18&gt;=AB$6),IF($N18="CRÍTICA","C","P"),""))</f>
        <v>P</v>
      </c>
      <c r="AC18" s="164" t="str">
        <f>IF(OR($D18="",$E18=""),"",IF(AND($D18&lt;=AC$6+6,$E18&gt;=AC$6),IF($N18="CRÍTICA","C","P"),""))</f>
        <v>P</v>
      </c>
      <c r="AD18" s="164" t="str">
        <f>IF(OR($D18="",$E18=""),"",IF(AND($D18&lt;=AD$6+6,$E18&gt;=AD$6),IF($N18="CRÍTICA","C","P"),""))</f>
        <v>P</v>
      </c>
      <c r="AE18" s="164" t="str">
        <f>IF(OR($D18="",$E18=""),"",IF(AND($D18&lt;=AE$6+6,$E18&gt;=AE$6),IF($N18="CRÍTICA","C","P"),""))</f>
        <v>P</v>
      </c>
      <c r="AF18" s="164" t="str">
        <f>IF(OR($D18="",$E18=""),"",IF(AND($D18&lt;=AF$6+6,$E18&gt;=AF$6),IF($N18="CRÍTICA","C","P"),""))</f>
        <v>P</v>
      </c>
      <c r="AG18" s="164" t="str">
        <f>IF(OR($D18="",$E18=""),"",IF(AND($D18&lt;=AG$6+6,$E18&gt;=AG$6),IF($N18="CRÍTICA","C","P"),""))</f>
        <v>P</v>
      </c>
      <c r="AH18" s="164" t="str">
        <f>IF(OR($D18="",$E18=""),"",IF(AND($D18&lt;=AH$6+6,$E18&gt;=AH$6),IF($N18="CRÍTICA","C","P"),""))</f>
        <v>P</v>
      </c>
      <c r="AI18" s="164" t="str">
        <f>IF(OR($D18="",$E18=""),"",IF(AND($D18&lt;=AI$6+6,$E18&gt;=AI$6),IF($N18="CRÍTICA","C","P"),""))</f>
        <v>P</v>
      </c>
      <c r="AJ18" s="164" t="str">
        <f>IF(OR($D18="",$E18=""),"",IF(AND($D18&lt;=AJ$6+6,$E18&gt;=AJ$6),IF($N18="CRÍTICA","C","P"),""))</f>
        <v>P</v>
      </c>
      <c r="AK18" s="164" t="str">
        <f>IF(OR($D18="",$E18=""),"",IF(AND($D18&lt;=AK$6+6,$E18&gt;=AK$6),IF($N18="CRÍTICA","C","P"),""))</f>
        <v>P</v>
      </c>
      <c r="AL18" s="164" t="str">
        <f>IF(OR($D18="",$E18=""),"",IF(AND($D18&lt;=AL$6+6,$E18&gt;=AL$6),IF($N18="CRÍTICA","C","P"),""))</f>
        <v>P</v>
      </c>
      <c r="AM18" s="164" t="str">
        <f>IF(OR($D18="",$E18=""),"",IF(AND($D18&lt;=AM$6+6,$E18&gt;=AM$6),IF($N18="CRÍTICA","C","P"),""))</f>
        <v>P</v>
      </c>
      <c r="AN18" s="164" t="str">
        <f>IF(OR($D18="",$E18=""),"",IF(AND($D18&lt;=AN$6+6,$E18&gt;=AN$6),IF($N18="CRÍTICA","C","P"),""))</f>
        <v>P</v>
      </c>
      <c r="AO18" s="164" t="str">
        <f>IF(OR($D18="",$E18=""),"",IF(AND($D18&lt;=AO$6+6,$E18&gt;=AO$6),IF($N18="CRÍTICA","C","P"),""))</f>
        <v>P</v>
      </c>
      <c r="AP18" s="164" t="str">
        <f>IF(OR($D18="",$E18=""),"",IF(AND($D18&lt;=AP$6+6,$E18&gt;=AP$6),IF($N18="CRÍTICA","C","P"),""))</f>
        <v>P</v>
      </c>
      <c r="AQ18" s="164" t="str">
        <f>IF(OR($D18="",$E18=""),"",IF(AND($D18&lt;=AQ$6+6,$E18&gt;=AQ$6),IF($N18="CRÍTICA","C","P"),""))</f>
        <v>P</v>
      </c>
      <c r="AR18" s="164" t="str">
        <f>IF(OR($D18="",$E18=""),"",IF(AND($D18&lt;=AR$6+6,$E18&gt;=AR$6),IF($N18="CRÍTICA","C","P"),""))</f>
        <v>P</v>
      </c>
      <c r="AS18" s="164" t="str">
        <f>IF(OR($D18="",$E18=""),"",IF(AND($D18&lt;=AS$6+6,$E18&gt;=AS$6),IF($N18="CRÍTICA","C","P"),""))</f>
        <v>P</v>
      </c>
      <c r="AT18" s="164" t="str">
        <f>IF(OR($D18="",$E18=""),"",IF(AND($D18&lt;=AT$6+6,$E18&gt;=AT$6),IF($N18="CRÍTICA","C","P"),""))</f>
        <v>P</v>
      </c>
      <c r="AU18" s="164" t="str">
        <f>IF(OR($D18="",$E18=""),"",IF(AND($D18&lt;=AU$6+6,$E18&gt;=AU$6),IF($N18="CRÍTICA","C","P"),""))</f>
        <v>P</v>
      </c>
      <c r="AV18" s="164" t="str">
        <f>IF(OR($D18="",$E18=""),"",IF(AND($D18&lt;=AV$6+6,$E18&gt;=AV$6),IF($N18="CRÍTICA","C","P"),""))</f>
        <v>P</v>
      </c>
      <c r="AW18" s="164" t="str">
        <f>IF(OR($D18="",$E18=""),"",IF(AND($D18&lt;=AW$6+6,$E18&gt;=AW$6),IF($N18="CRÍTICA","C","P"),""))</f>
        <v>P</v>
      </c>
      <c r="AX18" s="164" t="str">
        <f>IF(OR($D18="",$E18=""),"",IF(AND($D18&lt;=AX$6+6,$E18&gt;=AX$6),IF($N18="CRÍTICA","C","P"),""))</f>
        <v>P</v>
      </c>
      <c r="AY18" s="164" t="str">
        <f>IF(OR($D18="",$E18=""),"",IF(AND($D18&lt;=AY$6+6,$E18&gt;=AY$6),IF($N18="CRÍTICA","C","P"),""))</f>
        <v>P</v>
      </c>
      <c r="AZ18" s="164" t="str">
        <f>IF(OR($D18="",$E18=""),"",IF(AND($D18&lt;=AZ$6+6,$E18&gt;=AZ$6),IF($N18="CRÍTICA","C","P"),""))</f>
        <v>P</v>
      </c>
      <c r="BA18" s="164" t="str">
        <f>IF(OR($D18="",$E18=""),"",IF(AND($D18&lt;=BA$6+6,$E18&gt;=BA$6),IF($N18="CRÍTICA","C","P"),""))</f>
        <v>P</v>
      </c>
      <c r="BB18" s="164" t="str">
        <f>IF(OR($D18="",$E18=""),"",IF(AND($D18&lt;=BB$6+6,$E18&gt;=BB$6),IF($N18="CRÍTICA","C","P"),""))</f>
        <v>P</v>
      </c>
      <c r="BC18" s="164" t="str">
        <f>IF(OR($D18="",$E18=""),"",IF(AND($D18&lt;=BC$6+6,$E18&gt;=BC$6),IF($N18="CRÍTICA","C","P"),""))</f>
        <v>P</v>
      </c>
      <c r="BD18" s="164" t="str">
        <f>IF(OR($D18="",$E18=""),"",IF(AND($D18&lt;=BD$6+6,$E18&gt;=BD$6),IF($N18="CRÍTICA","C","P"),""))</f>
        <v>P</v>
      </c>
      <c r="BE18" s="164">
        <f>IF(OR($D18="",$E18=""),"",IF(AND($D18&lt;=BE$6+6,$E18&gt;=BE$6),IF($N18="CRÍTICA","C","P"),""))</f>
      </c>
      <c r="BF18" s="164">
        <f>IF(OR($D18="",$E18=""),"",IF(AND($D18&lt;=BF$6+6,$E18&gt;=BF$6),IF($N18="CRÍTICA","C","P"),""))</f>
      </c>
      <c r="BG18" s="164">
        <f>IF(OR($D18="",$E18=""),"",IF(AND($D18&lt;=BG$6+6,$E18&gt;=BG$6),IF($N18="CRÍTICA","C","P"),""))</f>
      </c>
      <c r="BH18" s="164">
        <f>IF(OR($D18="",$E18=""),"",IF(AND($D18&lt;=BH$6+6,$E18&gt;=BH$6),IF($N18="CRÍTICA","C","P"),""))</f>
      </c>
      <c r="BI18" s="164">
        <f>IF(OR($D18="",$E18=""),"",IF(AND($D18&lt;=BI$6+6,$E18&gt;=BI$6),IF($N18="CRÍTICA","C","P"),""))</f>
      </c>
      <c r="BJ18" s="164">
        <f>IF(OR($D18="",$E18=""),"",IF(AND($D18&lt;=BJ$6+6,$E18&gt;=BJ$6),IF($N18="CRÍTICA","C","P"),""))</f>
      </c>
      <c r="BK18" s="164">
        <f>IF(OR($D18="",$E18=""),"",IF(AND($D18&lt;=BK$6+6,$E18&gt;=BK$6),IF($N18="CRÍTICA","C","P"),""))</f>
      </c>
      <c r="BL18" s="164">
        <f>IF(OR($D18="",$E18=""),"",IF(AND($D18&lt;=BL$6+6,$E18&gt;=BL$6),IF($N18="CRÍTICA","C","P"),""))</f>
      </c>
      <c r="BM18" s="164">
        <f>IF(OR($D18="",$E18=""),"",IF(AND($D18&lt;=BM$6+6,$E18&gt;=BM$6),IF($N18="CRÍTICA","C","P"),""))</f>
      </c>
      <c r="BN18" s="164">
        <f>IF(OR($D18="",$E18=""),"",IF(AND($D18&lt;=BN$6+6,$E18&gt;=BN$6),IF($N18="CRÍTICA","C","P"),""))</f>
      </c>
      <c r="BO18" s="164">
        <f>IF(OR($D18="",$E18=""),"",IF(AND($D18&lt;=BO$6+6,$E18&gt;=BO$6),IF($N18="CRÍTICA","C","P"),""))</f>
      </c>
      <c r="BP18" s="164">
        <f>IF(OR($D18="",$E18=""),"",IF(AND($D18&lt;=BP$6+6,$E18&gt;=BP$6),IF($N18="CRÍTICA","C","P"),""))</f>
      </c>
      <c r="BQ18" s="164">
        <f>IF(OR($D18="",$E18=""),"",IF(AND($D18&lt;=BQ$6+6,$E18&gt;=BQ$6),IF($N18="CRÍTICA","C","P"),""))</f>
      </c>
      <c r="BR18" s="164">
        <f>IF(OR($D18="",$E18=""),"",IF(AND($D18&lt;=BR$6+6,$E18&gt;=BR$6),IF($N18="CRÍTICA","C","P"),""))</f>
      </c>
      <c r="BT18" s="127">
        <f>IF(SUM($D44:$O44)=0,"",_xlfn.MINIFS($D$32:$O$32,$D44:$O44,"&gt;0"))</f>
        <v>46266.0</v>
      </c>
      <c r="BU18" s="127">
        <f>IF(BT18="","",EOMONTH(_xlfn.MAXIFS($D$32:$O$32,$D44:$O44,"&gt;0"),0))</f>
        <v>46538.0</v>
      </c>
      <c r="BV18" s="73" t="inlineStr">
        <is>
          <t>Contrato</t>
        </is>
      </c>
      <c r="BW18" s="73" t="n">
        <v>343</v>
      </c>
      <c r="BX18" s="127">
        <f>IF(E18="","",IF(COUNTIF($G19:$G$28,$A18)+COUNTIF($H19:$H$28,$A18)+COUNTIF($I19:$I$28,$A18)=0,_xlfn.MAXIFS($E$7:$E$27,$BW$7:$BW$27,$BW18),MIN(IF(COUNTIF($G19:$G$28,$A18)&gt;0,_xlfn.MINIFS($BY19:$BY$28,$G19:$G$28,$A18),99999999),IF(COUNTIF($H19:$H$28,$A18)&gt;0,_xlfn.MINIFS($BY19:$BY$28,$H19:$H$28,$A18),99999999),IF(COUNTIF($I19:$I$28,$A18)&gt;0,_xlfn.MINIFS($BY19:$BY$28,$I19:$I$28,$A18),99999999))-1))</f>
        <v>46538.0</v>
      </c>
      <c r="BY18" s="127">
        <f>IF(BX18="","",BX18-F18+1)</f>
        <v>46266.0</v>
      </c>
      <c r="BZ18" s="140">
        <f>IF(AND(D18&lt;&gt;"",D18&gt;DATA_GESTAO),D18+ROW()/1000000,"")</f>
      </c>
      <c r="CA18" s="73">
        <f>SUMPRODUCT(($BW$7:$BW$27=$BW18)*($G$7:$I$27&lt;&gt;""))</f>
        <v>0</v>
      </c>
    </row>
    <row r="19">
      <c r="A19" s="81" t="inlineStr">
        <is>
          <t>343-02</t>
        </is>
      </c>
      <c r="B19" s="126" t="n">
        <v>343</v>
      </c>
      <c r="C19" s="73" t="inlineStr">
        <is>
          <t>Subadutora</t>
        </is>
      </c>
      <c r="D19" s="128">
        <f>IF(BT19="","",MAX(BT19,IF($G19="",0,_xlfn.MAXIFS($E$6:$E18,$A$6:$A18,$G19)+1),IF($H19="",0,_xlfn.MAXIFS($E$6:$E18,$A$6:$A18,$H19)+1),IF($I19="",0,_xlfn.MAXIFS($E$6:$E18,$A$6:$A18,$I19)+1)))</f>
        <v>46296.0</v>
      </c>
      <c r="E19" s="128">
        <f>IF(D19="","",D19+F19-1)</f>
        <v>46507.0</v>
      </c>
      <c r="F19" s="143">
        <f>IF(OR(BT19="",BU19=""),"",BU19-BT19+1)</f>
        <v>212</v>
      </c>
      <c r="G19" s="149" t="n"/>
      <c r="H19" s="149" t="n"/>
      <c r="I19" s="150" t="n"/>
      <c r="J19" s="152" t="n"/>
      <c r="K19" s="145">
        <f>$P45</f>
        <v>1674250.69</v>
      </c>
      <c r="L19" s="141" t="inlineStr">
        <is>
          <t>pendente</t>
        </is>
      </c>
      <c r="M19" s="144">
        <f>IF(OR(BX19="",E19=""),"",BX19-E19)</f>
        <v>31</v>
      </c>
      <c r="N19" s="126" t="str">
        <f>IF(M19="","",IF(CA19=0,"sem rede",IF(M19&lt;=0,"CRÍTICA","")))</f>
        <v>sem rede</v>
      </c>
      <c r="O19" s="145">
        <f>IF(OR(J19="",K19=""),"",J19*K19)</f>
      </c>
      <c r="P19" s="73" t="str">
        <f>IF(OR(BT19="",BU19=""),"sem data",IF(OR(AND(G19&lt;&gt;"",COUNTIF($A$7:$A$27,G19)=0),AND(H19&lt;&gt;"",COUNTIF($A$7:$A$27,H19)=0),AND(I19&lt;&gt;"",COUNTIF($A$7:$A$27,I19)=0)),"predecessora inexistente",IF(OR(AND(G19&lt;&gt;"",COUNTIF($A$6:$A18,G19)=0),AND(H19&lt;&gt;"",COUNTIF($A$6:$A18,H19)=0),AND(I19&lt;&gt;"",COUNTIF($A$6:$A18,I19)=0)),"predecessora abaixo da tarefa","ok")))</f>
        <v>ok</v>
      </c>
      <c r="Q19" s="138">
        <f>IF(OR($D19="",$E19=""),"",IF(AND($D19&lt;=Q$6+6,$E19&gt;=Q$6),IF($N19="CRÍTICA","C","P"),""))</f>
      </c>
      <c r="R19" s="138">
        <f>IF(OR($D19="",$E19=""),"",IF(AND($D19&lt;=R$6+6,$E19&gt;=R$6),IF($N19="CRÍTICA","C","P"),""))</f>
      </c>
      <c r="S19" s="138">
        <f>IF(OR($D19="",$E19=""),"",IF(AND($D19&lt;=S$6+6,$E19&gt;=S$6),IF($N19="CRÍTICA","C","P"),""))</f>
      </c>
      <c r="T19" s="138">
        <f>IF(OR($D19="",$E19=""),"",IF(AND($D19&lt;=T$6+6,$E19&gt;=T$6),IF($N19="CRÍTICA","C","P"),""))</f>
      </c>
      <c r="U19" s="138" t="str">
        <f>IF(OR($D19="",$E19=""),"",IF(AND($D19&lt;=U$6+6,$E19&gt;=U$6),IF($N19="CRÍTICA","C","P"),""))</f>
        <v>P</v>
      </c>
      <c r="V19" s="138" t="str">
        <f>IF(OR($D19="",$E19=""),"",IF(AND($D19&lt;=V$6+6,$E19&gt;=V$6),IF($N19="CRÍTICA","C","P"),""))</f>
        <v>P</v>
      </c>
      <c r="W19" s="138" t="str">
        <f>IF(OR($D19="",$E19=""),"",IF(AND($D19&lt;=W$6+6,$E19&gt;=W$6),IF($N19="CRÍTICA","C","P"),""))</f>
        <v>P</v>
      </c>
      <c r="X19" s="138" t="str">
        <f>IF(OR($D19="",$E19=""),"",IF(AND($D19&lt;=X$6+6,$E19&gt;=X$6),IF($N19="CRÍTICA","C","P"),""))</f>
        <v>P</v>
      </c>
      <c r="Y19" s="138" t="str">
        <f>IF(OR($D19="",$E19=""),"",IF(AND($D19&lt;=Y$6+6,$E19&gt;=Y$6),IF($N19="CRÍTICA","C","P"),""))</f>
        <v>P</v>
      </c>
      <c r="Z19" s="138" t="str">
        <f>IF(OR($D19="",$E19=""),"",IF(AND($D19&lt;=Z$6+6,$E19&gt;=Z$6),IF($N19="CRÍTICA","C","P"),""))</f>
        <v>P</v>
      </c>
      <c r="AA19" s="138" t="str">
        <f>IF(OR($D19="",$E19=""),"",IF(AND($D19&lt;=AA$6+6,$E19&gt;=AA$6),IF($N19="CRÍTICA","C","P"),""))</f>
        <v>P</v>
      </c>
      <c r="AB19" s="138" t="str">
        <f>IF(OR($D19="",$E19=""),"",IF(AND($D19&lt;=AB$6+6,$E19&gt;=AB$6),IF($N19="CRÍTICA","C","P"),""))</f>
        <v>P</v>
      </c>
      <c r="AC19" s="138" t="str">
        <f>IF(OR($D19="",$E19=""),"",IF(AND($D19&lt;=AC$6+6,$E19&gt;=AC$6),IF($N19="CRÍTICA","C","P"),""))</f>
        <v>P</v>
      </c>
      <c r="AD19" s="138" t="str">
        <f>IF(OR($D19="",$E19=""),"",IF(AND($D19&lt;=AD$6+6,$E19&gt;=AD$6),IF($N19="CRÍTICA","C","P"),""))</f>
        <v>P</v>
      </c>
      <c r="AE19" s="138" t="str">
        <f>IF(OR($D19="",$E19=""),"",IF(AND($D19&lt;=AE$6+6,$E19&gt;=AE$6),IF($N19="CRÍTICA","C","P"),""))</f>
        <v>P</v>
      </c>
      <c r="AF19" s="138" t="str">
        <f>IF(OR($D19="",$E19=""),"",IF(AND($D19&lt;=AF$6+6,$E19&gt;=AF$6),IF($N19="CRÍTICA","C","P"),""))</f>
        <v>P</v>
      </c>
      <c r="AG19" s="138" t="str">
        <f>IF(OR($D19="",$E19=""),"",IF(AND($D19&lt;=AG$6+6,$E19&gt;=AG$6),IF($N19="CRÍTICA","C","P"),""))</f>
        <v>P</v>
      </c>
      <c r="AH19" s="138" t="str">
        <f>IF(OR($D19="",$E19=""),"",IF(AND($D19&lt;=AH$6+6,$E19&gt;=AH$6),IF($N19="CRÍTICA","C","P"),""))</f>
        <v>P</v>
      </c>
      <c r="AI19" s="138" t="str">
        <f>IF(OR($D19="",$E19=""),"",IF(AND($D19&lt;=AI$6+6,$E19&gt;=AI$6),IF($N19="CRÍTICA","C","P"),""))</f>
        <v>P</v>
      </c>
      <c r="AJ19" s="138" t="str">
        <f>IF(OR($D19="",$E19=""),"",IF(AND($D19&lt;=AJ$6+6,$E19&gt;=AJ$6),IF($N19="CRÍTICA","C","P"),""))</f>
        <v>P</v>
      </c>
      <c r="AK19" s="138" t="str">
        <f>IF(OR($D19="",$E19=""),"",IF(AND($D19&lt;=AK$6+6,$E19&gt;=AK$6),IF($N19="CRÍTICA","C","P"),""))</f>
        <v>P</v>
      </c>
      <c r="AL19" s="138" t="str">
        <f>IF(OR($D19="",$E19=""),"",IF(AND($D19&lt;=AL$6+6,$E19&gt;=AL$6),IF($N19="CRÍTICA","C","P"),""))</f>
        <v>P</v>
      </c>
      <c r="AM19" s="138" t="str">
        <f>IF(OR($D19="",$E19=""),"",IF(AND($D19&lt;=AM$6+6,$E19&gt;=AM$6),IF($N19="CRÍTICA","C","P"),""))</f>
        <v>P</v>
      </c>
      <c r="AN19" s="138" t="str">
        <f>IF(OR($D19="",$E19=""),"",IF(AND($D19&lt;=AN$6+6,$E19&gt;=AN$6),IF($N19="CRÍTICA","C","P"),""))</f>
        <v>P</v>
      </c>
      <c r="AO19" s="138" t="str">
        <f>IF(OR($D19="",$E19=""),"",IF(AND($D19&lt;=AO$6+6,$E19&gt;=AO$6),IF($N19="CRÍTICA","C","P"),""))</f>
        <v>P</v>
      </c>
      <c r="AP19" s="138" t="str">
        <f>IF(OR($D19="",$E19=""),"",IF(AND($D19&lt;=AP$6+6,$E19&gt;=AP$6),IF($N19="CRÍTICA","C","P"),""))</f>
        <v>P</v>
      </c>
      <c r="AQ19" s="138" t="str">
        <f>IF(OR($D19="",$E19=""),"",IF(AND($D19&lt;=AQ$6+6,$E19&gt;=AQ$6),IF($N19="CRÍTICA","C","P"),""))</f>
        <v>P</v>
      </c>
      <c r="AR19" s="138" t="str">
        <f>IF(OR($D19="",$E19=""),"",IF(AND($D19&lt;=AR$6+6,$E19&gt;=AR$6),IF($N19="CRÍTICA","C","P"),""))</f>
        <v>P</v>
      </c>
      <c r="AS19" s="138" t="str">
        <f>IF(OR($D19="",$E19=""),"",IF(AND($D19&lt;=AS$6+6,$E19&gt;=AS$6),IF($N19="CRÍTICA","C","P"),""))</f>
        <v>P</v>
      </c>
      <c r="AT19" s="138" t="str">
        <f>IF(OR($D19="",$E19=""),"",IF(AND($D19&lt;=AT$6+6,$E19&gt;=AT$6),IF($N19="CRÍTICA","C","P"),""))</f>
        <v>P</v>
      </c>
      <c r="AU19" s="138" t="str">
        <f>IF(OR($D19="",$E19=""),"",IF(AND($D19&lt;=AU$6+6,$E19&gt;=AU$6),IF($N19="CRÍTICA","C","P"),""))</f>
        <v>P</v>
      </c>
      <c r="AV19" s="138" t="str">
        <f>IF(OR($D19="",$E19=""),"",IF(AND($D19&lt;=AV$6+6,$E19&gt;=AV$6),IF($N19="CRÍTICA","C","P"),""))</f>
        <v>P</v>
      </c>
      <c r="AW19" s="138" t="str">
        <f>IF(OR($D19="",$E19=""),"",IF(AND($D19&lt;=AW$6+6,$E19&gt;=AW$6),IF($N19="CRÍTICA","C","P"),""))</f>
        <v>P</v>
      </c>
      <c r="AX19" s="138" t="str">
        <f>IF(OR($D19="",$E19=""),"",IF(AND($D19&lt;=AX$6+6,$E19&gt;=AX$6),IF($N19="CRÍTICA","C","P"),""))</f>
        <v>P</v>
      </c>
      <c r="AY19" s="138" t="str">
        <f>IF(OR($D19="",$E19=""),"",IF(AND($D19&lt;=AY$6+6,$E19&gt;=AY$6),IF($N19="CRÍTICA","C","P"),""))</f>
        <v>P</v>
      </c>
      <c r="AZ19" s="138">
        <f>IF(OR($D19="",$E19=""),"",IF(AND($D19&lt;=AZ$6+6,$E19&gt;=AZ$6),IF($N19="CRÍTICA","C","P"),""))</f>
      </c>
      <c r="BA19" s="138">
        <f>IF(OR($D19="",$E19=""),"",IF(AND($D19&lt;=BA$6+6,$E19&gt;=BA$6),IF($N19="CRÍTICA","C","P"),""))</f>
      </c>
      <c r="BB19" s="138">
        <f>IF(OR($D19="",$E19=""),"",IF(AND($D19&lt;=BB$6+6,$E19&gt;=BB$6),IF($N19="CRÍTICA","C","P"),""))</f>
      </c>
      <c r="BC19" s="138">
        <f>IF(OR($D19="",$E19=""),"",IF(AND($D19&lt;=BC$6+6,$E19&gt;=BC$6),IF($N19="CRÍTICA","C","P"),""))</f>
      </c>
      <c r="BD19" s="138">
        <f>IF(OR($D19="",$E19=""),"",IF(AND($D19&lt;=BD$6+6,$E19&gt;=BD$6),IF($N19="CRÍTICA","C","P"),""))</f>
      </c>
      <c r="BE19" s="138">
        <f>IF(OR($D19="",$E19=""),"",IF(AND($D19&lt;=BE$6+6,$E19&gt;=BE$6),IF($N19="CRÍTICA","C","P"),""))</f>
      </c>
      <c r="BF19" s="138">
        <f>IF(OR($D19="",$E19=""),"",IF(AND($D19&lt;=BF$6+6,$E19&gt;=BF$6),IF($N19="CRÍTICA","C","P"),""))</f>
      </c>
      <c r="BG19" s="138">
        <f>IF(OR($D19="",$E19=""),"",IF(AND($D19&lt;=BG$6+6,$E19&gt;=BG$6),IF($N19="CRÍTICA","C","P"),""))</f>
      </c>
      <c r="BH19" s="138">
        <f>IF(OR($D19="",$E19=""),"",IF(AND($D19&lt;=BH$6+6,$E19&gt;=BH$6),IF($N19="CRÍTICA","C","P"),""))</f>
      </c>
      <c r="BI19" s="138">
        <f>IF(OR($D19="",$E19=""),"",IF(AND($D19&lt;=BI$6+6,$E19&gt;=BI$6),IF($N19="CRÍTICA","C","P"),""))</f>
      </c>
      <c r="BJ19" s="138">
        <f>IF(OR($D19="",$E19=""),"",IF(AND($D19&lt;=BJ$6+6,$E19&gt;=BJ$6),IF($N19="CRÍTICA","C","P"),""))</f>
      </c>
      <c r="BK19" s="138">
        <f>IF(OR($D19="",$E19=""),"",IF(AND($D19&lt;=BK$6+6,$E19&gt;=BK$6),IF($N19="CRÍTICA","C","P"),""))</f>
      </c>
      <c r="BL19" s="138">
        <f>IF(OR($D19="",$E19=""),"",IF(AND($D19&lt;=BL$6+6,$E19&gt;=BL$6),IF($N19="CRÍTICA","C","P"),""))</f>
      </c>
      <c r="BM19" s="138">
        <f>IF(OR($D19="",$E19=""),"",IF(AND($D19&lt;=BM$6+6,$E19&gt;=BM$6),IF($N19="CRÍTICA","C","P"),""))</f>
      </c>
      <c r="BN19" s="138">
        <f>IF(OR($D19="",$E19=""),"",IF(AND($D19&lt;=BN$6+6,$E19&gt;=BN$6),IF($N19="CRÍTICA","C","P"),""))</f>
      </c>
      <c r="BO19" s="138">
        <f>IF(OR($D19="",$E19=""),"",IF(AND($D19&lt;=BO$6+6,$E19&gt;=BO$6),IF($N19="CRÍTICA","C","P"),""))</f>
      </c>
      <c r="BP19" s="138">
        <f>IF(OR($D19="",$E19=""),"",IF(AND($D19&lt;=BP$6+6,$E19&gt;=BP$6),IF($N19="CRÍTICA","C","P"),""))</f>
      </c>
      <c r="BQ19" s="138">
        <f>IF(OR($D19="",$E19=""),"",IF(AND($D19&lt;=BQ$6+6,$E19&gt;=BQ$6),IF($N19="CRÍTICA","C","P"),""))</f>
      </c>
      <c r="BR19" s="138">
        <f>IF(OR($D19="",$E19=""),"",IF(AND($D19&lt;=BR$6+6,$E19&gt;=BR$6),IF($N19="CRÍTICA","C","P"),""))</f>
      </c>
      <c r="BT19" s="127">
        <f>IF(SUM($D45:$O45)=0,"",_xlfn.MINIFS($D$32:$O$32,$D45:$O45,"&gt;0"))</f>
        <v>46296.0</v>
      </c>
      <c r="BU19" s="127">
        <f>IF(BT19="","",EOMONTH(_xlfn.MAXIFS($D$32:$O$32,$D45:$O45,"&gt;0"),0))</f>
        <v>46507.0</v>
      </c>
      <c r="BV19" s="73" t="inlineStr">
        <is>
          <t>Contrato</t>
        </is>
      </c>
      <c r="BW19" s="73" t="n">
        <v>343</v>
      </c>
      <c r="BX19" s="127">
        <f>IF(E19="","",IF(COUNTIF($G20:$G$28,$A19)+COUNTIF($H20:$H$28,$A19)+COUNTIF($I20:$I$28,$A19)=0,_xlfn.MAXIFS($E$7:$E$27,$BW$7:$BW$27,$BW19),MIN(IF(COUNTIF($G20:$G$28,$A19)&gt;0,_xlfn.MINIFS($BY20:$BY$28,$G20:$G$28,$A19),99999999),IF(COUNTIF($H20:$H$28,$A19)&gt;0,_xlfn.MINIFS($BY20:$BY$28,$H20:$H$28,$A19),99999999),IF(COUNTIF($I20:$I$28,$A19)&gt;0,_xlfn.MINIFS($BY20:$BY$28,$I20:$I$28,$A19),99999999))-1))</f>
        <v>46538.0</v>
      </c>
      <c r="BY19" s="127">
        <f>IF(BX19="","",BX19-F19+1)</f>
        <v>46327.0</v>
      </c>
      <c r="BZ19" s="140">
        <f>IF(AND(D19&lt;&gt;"",D19&gt;DATA_GESTAO),D19+ROW()/1000000,"")</f>
      </c>
      <c r="CA19" s="73">
        <f>SUMPRODUCT(($BW$7:$BW$27=$BW19)*($G$7:$I$27&lt;&gt;""))</f>
        <v>0</v>
      </c>
    </row>
    <row r="20">
      <c r="A20" s="81" t="inlineStr">
        <is>
          <t>343-03</t>
        </is>
      </c>
      <c r="B20" s="126" t="n">
        <v>343</v>
      </c>
      <c r="C20" s="73" t="inlineStr">
        <is>
          <t>Caixas e Interligações</t>
        </is>
      </c>
      <c r="D20" s="128">
        <f>IF(BT20="","",MAX(BT20,IF($G20="",0,_xlfn.MAXIFS($E$6:$E19,$A$6:$A19,$G20)+1),IF($H20="",0,_xlfn.MAXIFS($E$6:$E19,$A$6:$A19,$H20)+1),IF($I20="",0,_xlfn.MAXIFS($E$6:$E19,$A$6:$A19,$I20)+1)))</f>
        <v>46296.0</v>
      </c>
      <c r="E20" s="128">
        <f>IF(D20="","",D20+F20-1)</f>
        <v>46507.0</v>
      </c>
      <c r="F20" s="143">
        <f>IF(OR(BT20="",BU20=""),"",BU20-BT20+1)</f>
        <v>212</v>
      </c>
      <c r="G20" s="149" t="n"/>
      <c r="H20" s="149" t="n"/>
      <c r="I20" s="150" t="n"/>
      <c r="J20" s="152" t="n"/>
      <c r="K20" s="145">
        <f>$P46</f>
        <v>290959.41</v>
      </c>
      <c r="L20" s="141" t="inlineStr">
        <is>
          <t>pendente</t>
        </is>
      </c>
      <c r="M20" s="144">
        <f>IF(OR(BX20="",E20=""),"",BX20-E20)</f>
        <v>31</v>
      </c>
      <c r="N20" s="126" t="str">
        <f>IF(M20="","",IF(CA20=0,"sem rede",IF(M20&lt;=0,"CRÍTICA","")))</f>
        <v>sem rede</v>
      </c>
      <c r="O20" s="145">
        <f>IF(OR(J20="",K20=""),"",J20*K20)</f>
      </c>
      <c r="P20" s="73" t="str">
        <f>IF(OR(BT20="",BU20=""),"sem data",IF(OR(AND(G20&lt;&gt;"",COUNTIF($A$7:$A$27,G20)=0),AND(H20&lt;&gt;"",COUNTIF($A$7:$A$27,H20)=0),AND(I20&lt;&gt;"",COUNTIF($A$7:$A$27,I20)=0)),"predecessora inexistente",IF(OR(AND(G20&lt;&gt;"",COUNTIF($A$6:$A19,G20)=0),AND(H20&lt;&gt;"",COUNTIF($A$6:$A19,H20)=0),AND(I20&lt;&gt;"",COUNTIF($A$6:$A19,I20)=0)),"predecessora abaixo da tarefa","ok")))</f>
        <v>ok</v>
      </c>
      <c r="Q20" s="138">
        <f>IF(OR($D20="",$E20=""),"",IF(AND($D20&lt;=Q$6+6,$E20&gt;=Q$6),IF($N20="CRÍTICA","C","P"),""))</f>
      </c>
      <c r="R20" s="138">
        <f>IF(OR($D20="",$E20=""),"",IF(AND($D20&lt;=R$6+6,$E20&gt;=R$6),IF($N20="CRÍTICA","C","P"),""))</f>
      </c>
      <c r="S20" s="138">
        <f>IF(OR($D20="",$E20=""),"",IF(AND($D20&lt;=S$6+6,$E20&gt;=S$6),IF($N20="CRÍTICA","C","P"),""))</f>
      </c>
      <c r="T20" s="138">
        <f>IF(OR($D20="",$E20=""),"",IF(AND($D20&lt;=T$6+6,$E20&gt;=T$6),IF($N20="CRÍTICA","C","P"),""))</f>
      </c>
      <c r="U20" s="138" t="str">
        <f>IF(OR($D20="",$E20=""),"",IF(AND($D20&lt;=U$6+6,$E20&gt;=U$6),IF($N20="CRÍTICA","C","P"),""))</f>
        <v>P</v>
      </c>
      <c r="V20" s="138" t="str">
        <f>IF(OR($D20="",$E20=""),"",IF(AND($D20&lt;=V$6+6,$E20&gt;=V$6),IF($N20="CRÍTICA","C","P"),""))</f>
        <v>P</v>
      </c>
      <c r="W20" s="138" t="str">
        <f>IF(OR($D20="",$E20=""),"",IF(AND($D20&lt;=W$6+6,$E20&gt;=W$6),IF($N20="CRÍTICA","C","P"),""))</f>
        <v>P</v>
      </c>
      <c r="X20" s="138" t="str">
        <f>IF(OR($D20="",$E20=""),"",IF(AND($D20&lt;=X$6+6,$E20&gt;=X$6),IF($N20="CRÍTICA","C","P"),""))</f>
        <v>P</v>
      </c>
      <c r="Y20" s="138" t="str">
        <f>IF(OR($D20="",$E20=""),"",IF(AND($D20&lt;=Y$6+6,$E20&gt;=Y$6),IF($N20="CRÍTICA","C","P"),""))</f>
        <v>P</v>
      </c>
      <c r="Z20" s="138" t="str">
        <f>IF(OR($D20="",$E20=""),"",IF(AND($D20&lt;=Z$6+6,$E20&gt;=Z$6),IF($N20="CRÍTICA","C","P"),""))</f>
        <v>P</v>
      </c>
      <c r="AA20" s="138" t="str">
        <f>IF(OR($D20="",$E20=""),"",IF(AND($D20&lt;=AA$6+6,$E20&gt;=AA$6),IF($N20="CRÍTICA","C","P"),""))</f>
        <v>P</v>
      </c>
      <c r="AB20" s="138" t="str">
        <f>IF(OR($D20="",$E20=""),"",IF(AND($D20&lt;=AB$6+6,$E20&gt;=AB$6),IF($N20="CRÍTICA","C","P"),""))</f>
        <v>P</v>
      </c>
      <c r="AC20" s="138" t="str">
        <f>IF(OR($D20="",$E20=""),"",IF(AND($D20&lt;=AC$6+6,$E20&gt;=AC$6),IF($N20="CRÍTICA","C","P"),""))</f>
        <v>P</v>
      </c>
      <c r="AD20" s="138" t="str">
        <f>IF(OR($D20="",$E20=""),"",IF(AND($D20&lt;=AD$6+6,$E20&gt;=AD$6),IF($N20="CRÍTICA","C","P"),""))</f>
        <v>P</v>
      </c>
      <c r="AE20" s="138" t="str">
        <f>IF(OR($D20="",$E20=""),"",IF(AND($D20&lt;=AE$6+6,$E20&gt;=AE$6),IF($N20="CRÍTICA","C","P"),""))</f>
        <v>P</v>
      </c>
      <c r="AF20" s="138" t="str">
        <f>IF(OR($D20="",$E20=""),"",IF(AND($D20&lt;=AF$6+6,$E20&gt;=AF$6),IF($N20="CRÍTICA","C","P"),""))</f>
        <v>P</v>
      </c>
      <c r="AG20" s="138" t="str">
        <f>IF(OR($D20="",$E20=""),"",IF(AND($D20&lt;=AG$6+6,$E20&gt;=AG$6),IF($N20="CRÍTICA","C","P"),""))</f>
        <v>P</v>
      </c>
      <c r="AH20" s="138" t="str">
        <f>IF(OR($D20="",$E20=""),"",IF(AND($D20&lt;=AH$6+6,$E20&gt;=AH$6),IF($N20="CRÍTICA","C","P"),""))</f>
        <v>P</v>
      </c>
      <c r="AI20" s="138" t="str">
        <f>IF(OR($D20="",$E20=""),"",IF(AND($D20&lt;=AI$6+6,$E20&gt;=AI$6),IF($N20="CRÍTICA","C","P"),""))</f>
        <v>P</v>
      </c>
      <c r="AJ20" s="138" t="str">
        <f>IF(OR($D20="",$E20=""),"",IF(AND($D20&lt;=AJ$6+6,$E20&gt;=AJ$6),IF($N20="CRÍTICA","C","P"),""))</f>
        <v>P</v>
      </c>
      <c r="AK20" s="138" t="str">
        <f>IF(OR($D20="",$E20=""),"",IF(AND($D20&lt;=AK$6+6,$E20&gt;=AK$6),IF($N20="CRÍTICA","C","P"),""))</f>
        <v>P</v>
      </c>
      <c r="AL20" s="138" t="str">
        <f>IF(OR($D20="",$E20=""),"",IF(AND($D20&lt;=AL$6+6,$E20&gt;=AL$6),IF($N20="CRÍTICA","C","P"),""))</f>
        <v>P</v>
      </c>
      <c r="AM20" s="138" t="str">
        <f>IF(OR($D20="",$E20=""),"",IF(AND($D20&lt;=AM$6+6,$E20&gt;=AM$6),IF($N20="CRÍTICA","C","P"),""))</f>
        <v>P</v>
      </c>
      <c r="AN20" s="138" t="str">
        <f>IF(OR($D20="",$E20=""),"",IF(AND($D20&lt;=AN$6+6,$E20&gt;=AN$6),IF($N20="CRÍTICA","C","P"),""))</f>
        <v>P</v>
      </c>
      <c r="AO20" s="138" t="str">
        <f>IF(OR($D20="",$E20=""),"",IF(AND($D20&lt;=AO$6+6,$E20&gt;=AO$6),IF($N20="CRÍTICA","C","P"),""))</f>
        <v>P</v>
      </c>
      <c r="AP20" s="138" t="str">
        <f>IF(OR($D20="",$E20=""),"",IF(AND($D20&lt;=AP$6+6,$E20&gt;=AP$6),IF($N20="CRÍTICA","C","P"),""))</f>
        <v>P</v>
      </c>
      <c r="AQ20" s="138" t="str">
        <f>IF(OR($D20="",$E20=""),"",IF(AND($D20&lt;=AQ$6+6,$E20&gt;=AQ$6),IF($N20="CRÍTICA","C","P"),""))</f>
        <v>P</v>
      </c>
      <c r="AR20" s="138" t="str">
        <f>IF(OR($D20="",$E20=""),"",IF(AND($D20&lt;=AR$6+6,$E20&gt;=AR$6),IF($N20="CRÍTICA","C","P"),""))</f>
        <v>P</v>
      </c>
      <c r="AS20" s="138" t="str">
        <f>IF(OR($D20="",$E20=""),"",IF(AND($D20&lt;=AS$6+6,$E20&gt;=AS$6),IF($N20="CRÍTICA","C","P"),""))</f>
        <v>P</v>
      </c>
      <c r="AT20" s="138" t="str">
        <f>IF(OR($D20="",$E20=""),"",IF(AND($D20&lt;=AT$6+6,$E20&gt;=AT$6),IF($N20="CRÍTICA","C","P"),""))</f>
        <v>P</v>
      </c>
      <c r="AU20" s="138" t="str">
        <f>IF(OR($D20="",$E20=""),"",IF(AND($D20&lt;=AU$6+6,$E20&gt;=AU$6),IF($N20="CRÍTICA","C","P"),""))</f>
        <v>P</v>
      </c>
      <c r="AV20" s="138" t="str">
        <f>IF(OR($D20="",$E20=""),"",IF(AND($D20&lt;=AV$6+6,$E20&gt;=AV$6),IF($N20="CRÍTICA","C","P"),""))</f>
        <v>P</v>
      </c>
      <c r="AW20" s="138" t="str">
        <f>IF(OR($D20="",$E20=""),"",IF(AND($D20&lt;=AW$6+6,$E20&gt;=AW$6),IF($N20="CRÍTICA","C","P"),""))</f>
        <v>P</v>
      </c>
      <c r="AX20" s="138" t="str">
        <f>IF(OR($D20="",$E20=""),"",IF(AND($D20&lt;=AX$6+6,$E20&gt;=AX$6),IF($N20="CRÍTICA","C","P"),""))</f>
        <v>P</v>
      </c>
      <c r="AY20" s="138" t="str">
        <f>IF(OR($D20="",$E20=""),"",IF(AND($D20&lt;=AY$6+6,$E20&gt;=AY$6),IF($N20="CRÍTICA","C","P"),""))</f>
        <v>P</v>
      </c>
      <c r="AZ20" s="138">
        <f>IF(OR($D20="",$E20=""),"",IF(AND($D20&lt;=AZ$6+6,$E20&gt;=AZ$6),IF($N20="CRÍTICA","C","P"),""))</f>
      </c>
      <c r="BA20" s="138">
        <f>IF(OR($D20="",$E20=""),"",IF(AND($D20&lt;=BA$6+6,$E20&gt;=BA$6),IF($N20="CRÍTICA","C","P"),""))</f>
      </c>
      <c r="BB20" s="138">
        <f>IF(OR($D20="",$E20=""),"",IF(AND($D20&lt;=BB$6+6,$E20&gt;=BB$6),IF($N20="CRÍTICA","C","P"),""))</f>
      </c>
      <c r="BC20" s="138">
        <f>IF(OR($D20="",$E20=""),"",IF(AND($D20&lt;=BC$6+6,$E20&gt;=BC$6),IF($N20="CRÍTICA","C","P"),""))</f>
      </c>
      <c r="BD20" s="138">
        <f>IF(OR($D20="",$E20=""),"",IF(AND($D20&lt;=BD$6+6,$E20&gt;=BD$6),IF($N20="CRÍTICA","C","P"),""))</f>
      </c>
      <c r="BE20" s="138">
        <f>IF(OR($D20="",$E20=""),"",IF(AND($D20&lt;=BE$6+6,$E20&gt;=BE$6),IF($N20="CRÍTICA","C","P"),""))</f>
      </c>
      <c r="BF20" s="138">
        <f>IF(OR($D20="",$E20=""),"",IF(AND($D20&lt;=BF$6+6,$E20&gt;=BF$6),IF($N20="CRÍTICA","C","P"),""))</f>
      </c>
      <c r="BG20" s="138">
        <f>IF(OR($D20="",$E20=""),"",IF(AND($D20&lt;=BG$6+6,$E20&gt;=BG$6),IF($N20="CRÍTICA","C","P"),""))</f>
      </c>
      <c r="BH20" s="138">
        <f>IF(OR($D20="",$E20=""),"",IF(AND($D20&lt;=BH$6+6,$E20&gt;=BH$6),IF($N20="CRÍTICA","C","P"),""))</f>
      </c>
      <c r="BI20" s="138">
        <f>IF(OR($D20="",$E20=""),"",IF(AND($D20&lt;=BI$6+6,$E20&gt;=BI$6),IF($N20="CRÍTICA","C","P"),""))</f>
      </c>
      <c r="BJ20" s="138">
        <f>IF(OR($D20="",$E20=""),"",IF(AND($D20&lt;=BJ$6+6,$E20&gt;=BJ$6),IF($N20="CRÍTICA","C","P"),""))</f>
      </c>
      <c r="BK20" s="138">
        <f>IF(OR($D20="",$E20=""),"",IF(AND($D20&lt;=BK$6+6,$E20&gt;=BK$6),IF($N20="CRÍTICA","C","P"),""))</f>
      </c>
      <c r="BL20" s="138">
        <f>IF(OR($D20="",$E20=""),"",IF(AND($D20&lt;=BL$6+6,$E20&gt;=BL$6),IF($N20="CRÍTICA","C","P"),""))</f>
      </c>
      <c r="BM20" s="138">
        <f>IF(OR($D20="",$E20=""),"",IF(AND($D20&lt;=BM$6+6,$E20&gt;=BM$6),IF($N20="CRÍTICA","C","P"),""))</f>
      </c>
      <c r="BN20" s="138">
        <f>IF(OR($D20="",$E20=""),"",IF(AND($D20&lt;=BN$6+6,$E20&gt;=BN$6),IF($N20="CRÍTICA","C","P"),""))</f>
      </c>
      <c r="BO20" s="138">
        <f>IF(OR($D20="",$E20=""),"",IF(AND($D20&lt;=BO$6+6,$E20&gt;=BO$6),IF($N20="CRÍTICA","C","P"),""))</f>
      </c>
      <c r="BP20" s="138">
        <f>IF(OR($D20="",$E20=""),"",IF(AND($D20&lt;=BP$6+6,$E20&gt;=BP$6),IF($N20="CRÍTICA","C","P"),""))</f>
      </c>
      <c r="BQ20" s="138">
        <f>IF(OR($D20="",$E20=""),"",IF(AND($D20&lt;=BQ$6+6,$E20&gt;=BQ$6),IF($N20="CRÍTICA","C","P"),""))</f>
      </c>
      <c r="BR20" s="138">
        <f>IF(OR($D20="",$E20=""),"",IF(AND($D20&lt;=BR$6+6,$E20&gt;=BR$6),IF($N20="CRÍTICA","C","P"),""))</f>
      </c>
      <c r="BT20" s="127">
        <f>IF(SUM($D46:$O46)=0,"",_xlfn.MINIFS($D$32:$O$32,$D46:$O46,"&gt;0"))</f>
        <v>46296.0</v>
      </c>
      <c r="BU20" s="127">
        <f>IF(BT20="","",EOMONTH(_xlfn.MAXIFS($D$32:$O$32,$D46:$O46,"&gt;0"),0))</f>
        <v>46507.0</v>
      </c>
      <c r="BV20" s="73" t="inlineStr">
        <is>
          <t>Contrato</t>
        </is>
      </c>
      <c r="BW20" s="73" t="n">
        <v>343</v>
      </c>
      <c r="BX20" s="127">
        <f>IF(E20="","",IF(COUNTIF($G21:$G$28,$A20)+COUNTIF($H21:$H$28,$A20)+COUNTIF($I21:$I$28,$A20)=0,_xlfn.MAXIFS($E$7:$E$27,$BW$7:$BW$27,$BW20),MIN(IF(COUNTIF($G21:$G$28,$A20)&gt;0,_xlfn.MINIFS($BY21:$BY$28,$G21:$G$28,$A20),99999999),IF(COUNTIF($H21:$H$28,$A20)&gt;0,_xlfn.MINIFS($BY21:$BY$28,$H21:$H$28,$A20),99999999),IF(COUNTIF($I21:$I$28,$A20)&gt;0,_xlfn.MINIFS($BY21:$BY$28,$I21:$I$28,$A20),99999999))-1))</f>
        <v>46538.0</v>
      </c>
      <c r="BY20" s="127">
        <f>IF(BX20="","",BX20-F20+1)</f>
        <v>46327.0</v>
      </c>
      <c r="BZ20" s="140">
        <f>IF(AND(D20&lt;&gt;"",D20&gt;DATA_GESTAO),D20+ROW()/1000000,"")</f>
      </c>
      <c r="CA20" s="73">
        <f>SUMPRODUCT(($BW$7:$BW$27=$BW20)*($G$7:$I$27&lt;&gt;""))</f>
        <v>0</v>
      </c>
    </row>
    <row r="21">
      <c r="A21" s="81" t="inlineStr">
        <is>
          <t>343-04</t>
        </is>
      </c>
      <c r="B21" s="126" t="n">
        <v>343</v>
      </c>
      <c r="C21" s="73" t="inlineStr">
        <is>
          <t>Hidromecânico</t>
        </is>
      </c>
      <c r="D21" s="128">
        <f>IF(BT21="","",MAX(BT21,IF($G21="",0,_xlfn.MAXIFS($E$6:$E20,$A$6:$A20,$G21)+1),IF($H21="",0,_xlfn.MAXIFS($E$6:$E20,$A$6:$A20,$H21)+1),IF($I21="",0,_xlfn.MAXIFS($E$6:$E20,$A$6:$A20,$I21)+1)))</f>
        <v>46296.0</v>
      </c>
      <c r="E21" s="128">
        <f>IF(D21="","",D21+F21-1)</f>
        <v>46507.0</v>
      </c>
      <c r="F21" s="143">
        <f>IF(OR(BT21="",BU21=""),"",BU21-BT21+1)</f>
        <v>212</v>
      </c>
      <c r="G21" s="149" t="n"/>
      <c r="H21" s="149" t="n"/>
      <c r="I21" s="150" t="n"/>
      <c r="J21" s="152" t="n"/>
      <c r="K21" s="145">
        <f>$P47</f>
        <v>1684030.6</v>
      </c>
      <c r="L21" s="141" t="inlineStr">
        <is>
          <t>pendente</t>
        </is>
      </c>
      <c r="M21" s="144">
        <f>IF(OR(BX21="",E21=""),"",BX21-E21)</f>
        <v>31</v>
      </c>
      <c r="N21" s="126" t="str">
        <f>IF(M21="","",IF(CA21=0,"sem rede",IF(M21&lt;=0,"CRÍTICA","")))</f>
        <v>sem rede</v>
      </c>
      <c r="O21" s="145">
        <f>IF(OR(J21="",K21=""),"",J21*K21)</f>
      </c>
      <c r="P21" s="73" t="str">
        <f>IF(OR(BT21="",BU21=""),"sem data",IF(OR(AND(G21&lt;&gt;"",COUNTIF($A$7:$A$27,G21)=0),AND(H21&lt;&gt;"",COUNTIF($A$7:$A$27,H21)=0),AND(I21&lt;&gt;"",COUNTIF($A$7:$A$27,I21)=0)),"predecessora inexistente",IF(OR(AND(G21&lt;&gt;"",COUNTIF($A$6:$A20,G21)=0),AND(H21&lt;&gt;"",COUNTIF($A$6:$A20,H21)=0),AND(I21&lt;&gt;"",COUNTIF($A$6:$A20,I21)=0)),"predecessora abaixo da tarefa","ok")))</f>
        <v>ok</v>
      </c>
      <c r="Q21" s="138">
        <f>IF(OR($D21="",$E21=""),"",IF(AND($D21&lt;=Q$6+6,$E21&gt;=Q$6),IF($N21="CRÍTICA","C","P"),""))</f>
      </c>
      <c r="R21" s="138">
        <f>IF(OR($D21="",$E21=""),"",IF(AND($D21&lt;=R$6+6,$E21&gt;=R$6),IF($N21="CRÍTICA","C","P"),""))</f>
      </c>
      <c r="S21" s="138">
        <f>IF(OR($D21="",$E21=""),"",IF(AND($D21&lt;=S$6+6,$E21&gt;=S$6),IF($N21="CRÍTICA","C","P"),""))</f>
      </c>
      <c r="T21" s="138">
        <f>IF(OR($D21="",$E21=""),"",IF(AND($D21&lt;=T$6+6,$E21&gt;=T$6),IF($N21="CRÍTICA","C","P"),""))</f>
      </c>
      <c r="U21" s="138" t="str">
        <f>IF(OR($D21="",$E21=""),"",IF(AND($D21&lt;=U$6+6,$E21&gt;=U$6),IF($N21="CRÍTICA","C","P"),""))</f>
        <v>P</v>
      </c>
      <c r="V21" s="138" t="str">
        <f>IF(OR($D21="",$E21=""),"",IF(AND($D21&lt;=V$6+6,$E21&gt;=V$6),IF($N21="CRÍTICA","C","P"),""))</f>
        <v>P</v>
      </c>
      <c r="W21" s="138" t="str">
        <f>IF(OR($D21="",$E21=""),"",IF(AND($D21&lt;=W$6+6,$E21&gt;=W$6),IF($N21="CRÍTICA","C","P"),""))</f>
        <v>P</v>
      </c>
      <c r="X21" s="138" t="str">
        <f>IF(OR($D21="",$E21=""),"",IF(AND($D21&lt;=X$6+6,$E21&gt;=X$6),IF($N21="CRÍTICA","C","P"),""))</f>
        <v>P</v>
      </c>
      <c r="Y21" s="138" t="str">
        <f>IF(OR($D21="",$E21=""),"",IF(AND($D21&lt;=Y$6+6,$E21&gt;=Y$6),IF($N21="CRÍTICA","C","P"),""))</f>
        <v>P</v>
      </c>
      <c r="Z21" s="138" t="str">
        <f>IF(OR($D21="",$E21=""),"",IF(AND($D21&lt;=Z$6+6,$E21&gt;=Z$6),IF($N21="CRÍTICA","C","P"),""))</f>
        <v>P</v>
      </c>
      <c r="AA21" s="138" t="str">
        <f>IF(OR($D21="",$E21=""),"",IF(AND($D21&lt;=AA$6+6,$E21&gt;=AA$6),IF($N21="CRÍTICA","C","P"),""))</f>
        <v>P</v>
      </c>
      <c r="AB21" s="138" t="str">
        <f>IF(OR($D21="",$E21=""),"",IF(AND($D21&lt;=AB$6+6,$E21&gt;=AB$6),IF($N21="CRÍTICA","C","P"),""))</f>
        <v>P</v>
      </c>
      <c r="AC21" s="138" t="str">
        <f>IF(OR($D21="",$E21=""),"",IF(AND($D21&lt;=AC$6+6,$E21&gt;=AC$6),IF($N21="CRÍTICA","C","P"),""))</f>
        <v>P</v>
      </c>
      <c r="AD21" s="138" t="str">
        <f>IF(OR($D21="",$E21=""),"",IF(AND($D21&lt;=AD$6+6,$E21&gt;=AD$6),IF($N21="CRÍTICA","C","P"),""))</f>
        <v>P</v>
      </c>
      <c r="AE21" s="138" t="str">
        <f>IF(OR($D21="",$E21=""),"",IF(AND($D21&lt;=AE$6+6,$E21&gt;=AE$6),IF($N21="CRÍTICA","C","P"),""))</f>
        <v>P</v>
      </c>
      <c r="AF21" s="138" t="str">
        <f>IF(OR($D21="",$E21=""),"",IF(AND($D21&lt;=AF$6+6,$E21&gt;=AF$6),IF($N21="CRÍTICA","C","P"),""))</f>
        <v>P</v>
      </c>
      <c r="AG21" s="138" t="str">
        <f>IF(OR($D21="",$E21=""),"",IF(AND($D21&lt;=AG$6+6,$E21&gt;=AG$6),IF($N21="CRÍTICA","C","P"),""))</f>
        <v>P</v>
      </c>
      <c r="AH21" s="138" t="str">
        <f>IF(OR($D21="",$E21=""),"",IF(AND($D21&lt;=AH$6+6,$E21&gt;=AH$6),IF($N21="CRÍTICA","C","P"),""))</f>
        <v>P</v>
      </c>
      <c r="AI21" s="138" t="str">
        <f>IF(OR($D21="",$E21=""),"",IF(AND($D21&lt;=AI$6+6,$E21&gt;=AI$6),IF($N21="CRÍTICA","C","P"),""))</f>
        <v>P</v>
      </c>
      <c r="AJ21" s="138" t="str">
        <f>IF(OR($D21="",$E21=""),"",IF(AND($D21&lt;=AJ$6+6,$E21&gt;=AJ$6),IF($N21="CRÍTICA","C","P"),""))</f>
        <v>P</v>
      </c>
      <c r="AK21" s="138" t="str">
        <f>IF(OR($D21="",$E21=""),"",IF(AND($D21&lt;=AK$6+6,$E21&gt;=AK$6),IF($N21="CRÍTICA","C","P"),""))</f>
        <v>P</v>
      </c>
      <c r="AL21" s="138" t="str">
        <f>IF(OR($D21="",$E21=""),"",IF(AND($D21&lt;=AL$6+6,$E21&gt;=AL$6),IF($N21="CRÍTICA","C","P"),""))</f>
        <v>P</v>
      </c>
      <c r="AM21" s="138" t="str">
        <f>IF(OR($D21="",$E21=""),"",IF(AND($D21&lt;=AM$6+6,$E21&gt;=AM$6),IF($N21="CRÍTICA","C","P"),""))</f>
        <v>P</v>
      </c>
      <c r="AN21" s="138" t="str">
        <f>IF(OR($D21="",$E21=""),"",IF(AND($D21&lt;=AN$6+6,$E21&gt;=AN$6),IF($N21="CRÍTICA","C","P"),""))</f>
        <v>P</v>
      </c>
      <c r="AO21" s="138" t="str">
        <f>IF(OR($D21="",$E21=""),"",IF(AND($D21&lt;=AO$6+6,$E21&gt;=AO$6),IF($N21="CRÍTICA","C","P"),""))</f>
        <v>P</v>
      </c>
      <c r="AP21" s="138" t="str">
        <f>IF(OR($D21="",$E21=""),"",IF(AND($D21&lt;=AP$6+6,$E21&gt;=AP$6),IF($N21="CRÍTICA","C","P"),""))</f>
        <v>P</v>
      </c>
      <c r="AQ21" s="138" t="str">
        <f>IF(OR($D21="",$E21=""),"",IF(AND($D21&lt;=AQ$6+6,$E21&gt;=AQ$6),IF($N21="CRÍTICA","C","P"),""))</f>
        <v>P</v>
      </c>
      <c r="AR21" s="138" t="str">
        <f>IF(OR($D21="",$E21=""),"",IF(AND($D21&lt;=AR$6+6,$E21&gt;=AR$6),IF($N21="CRÍTICA","C","P"),""))</f>
        <v>P</v>
      </c>
      <c r="AS21" s="138" t="str">
        <f>IF(OR($D21="",$E21=""),"",IF(AND($D21&lt;=AS$6+6,$E21&gt;=AS$6),IF($N21="CRÍTICA","C","P"),""))</f>
        <v>P</v>
      </c>
      <c r="AT21" s="138" t="str">
        <f>IF(OR($D21="",$E21=""),"",IF(AND($D21&lt;=AT$6+6,$E21&gt;=AT$6),IF($N21="CRÍTICA","C","P"),""))</f>
        <v>P</v>
      </c>
      <c r="AU21" s="138" t="str">
        <f>IF(OR($D21="",$E21=""),"",IF(AND($D21&lt;=AU$6+6,$E21&gt;=AU$6),IF($N21="CRÍTICA","C","P"),""))</f>
        <v>P</v>
      </c>
      <c r="AV21" s="138" t="str">
        <f>IF(OR($D21="",$E21=""),"",IF(AND($D21&lt;=AV$6+6,$E21&gt;=AV$6),IF($N21="CRÍTICA","C","P"),""))</f>
        <v>P</v>
      </c>
      <c r="AW21" s="138" t="str">
        <f>IF(OR($D21="",$E21=""),"",IF(AND($D21&lt;=AW$6+6,$E21&gt;=AW$6),IF($N21="CRÍTICA","C","P"),""))</f>
        <v>P</v>
      </c>
      <c r="AX21" s="138" t="str">
        <f>IF(OR($D21="",$E21=""),"",IF(AND($D21&lt;=AX$6+6,$E21&gt;=AX$6),IF($N21="CRÍTICA","C","P"),""))</f>
        <v>P</v>
      </c>
      <c r="AY21" s="138" t="str">
        <f>IF(OR($D21="",$E21=""),"",IF(AND($D21&lt;=AY$6+6,$E21&gt;=AY$6),IF($N21="CRÍTICA","C","P"),""))</f>
        <v>P</v>
      </c>
      <c r="AZ21" s="138">
        <f>IF(OR($D21="",$E21=""),"",IF(AND($D21&lt;=AZ$6+6,$E21&gt;=AZ$6),IF($N21="CRÍTICA","C","P"),""))</f>
      </c>
      <c r="BA21" s="138">
        <f>IF(OR($D21="",$E21=""),"",IF(AND($D21&lt;=BA$6+6,$E21&gt;=BA$6),IF($N21="CRÍTICA","C","P"),""))</f>
      </c>
      <c r="BB21" s="138">
        <f>IF(OR($D21="",$E21=""),"",IF(AND($D21&lt;=BB$6+6,$E21&gt;=BB$6),IF($N21="CRÍTICA","C","P"),""))</f>
      </c>
      <c r="BC21" s="138">
        <f>IF(OR($D21="",$E21=""),"",IF(AND($D21&lt;=BC$6+6,$E21&gt;=BC$6),IF($N21="CRÍTICA","C","P"),""))</f>
      </c>
      <c r="BD21" s="138">
        <f>IF(OR($D21="",$E21=""),"",IF(AND($D21&lt;=BD$6+6,$E21&gt;=BD$6),IF($N21="CRÍTICA","C","P"),""))</f>
      </c>
      <c r="BE21" s="138">
        <f>IF(OR($D21="",$E21=""),"",IF(AND($D21&lt;=BE$6+6,$E21&gt;=BE$6),IF($N21="CRÍTICA","C","P"),""))</f>
      </c>
      <c r="BF21" s="138">
        <f>IF(OR($D21="",$E21=""),"",IF(AND($D21&lt;=BF$6+6,$E21&gt;=BF$6),IF($N21="CRÍTICA","C","P"),""))</f>
      </c>
      <c r="BG21" s="138">
        <f>IF(OR($D21="",$E21=""),"",IF(AND($D21&lt;=BG$6+6,$E21&gt;=BG$6),IF($N21="CRÍTICA","C","P"),""))</f>
      </c>
      <c r="BH21" s="138">
        <f>IF(OR($D21="",$E21=""),"",IF(AND($D21&lt;=BH$6+6,$E21&gt;=BH$6),IF($N21="CRÍTICA","C","P"),""))</f>
      </c>
      <c r="BI21" s="138">
        <f>IF(OR($D21="",$E21=""),"",IF(AND($D21&lt;=BI$6+6,$E21&gt;=BI$6),IF($N21="CRÍTICA","C","P"),""))</f>
      </c>
      <c r="BJ21" s="138">
        <f>IF(OR($D21="",$E21=""),"",IF(AND($D21&lt;=BJ$6+6,$E21&gt;=BJ$6),IF($N21="CRÍTICA","C","P"),""))</f>
      </c>
      <c r="BK21" s="138">
        <f>IF(OR($D21="",$E21=""),"",IF(AND($D21&lt;=BK$6+6,$E21&gt;=BK$6),IF($N21="CRÍTICA","C","P"),""))</f>
      </c>
      <c r="BL21" s="138">
        <f>IF(OR($D21="",$E21=""),"",IF(AND($D21&lt;=BL$6+6,$E21&gt;=BL$6),IF($N21="CRÍTICA","C","P"),""))</f>
      </c>
      <c r="BM21" s="138">
        <f>IF(OR($D21="",$E21=""),"",IF(AND($D21&lt;=BM$6+6,$E21&gt;=BM$6),IF($N21="CRÍTICA","C","P"),""))</f>
      </c>
      <c r="BN21" s="138">
        <f>IF(OR($D21="",$E21=""),"",IF(AND($D21&lt;=BN$6+6,$E21&gt;=BN$6),IF($N21="CRÍTICA","C","P"),""))</f>
      </c>
      <c r="BO21" s="138">
        <f>IF(OR($D21="",$E21=""),"",IF(AND($D21&lt;=BO$6+6,$E21&gt;=BO$6),IF($N21="CRÍTICA","C","P"),""))</f>
      </c>
      <c r="BP21" s="138">
        <f>IF(OR($D21="",$E21=""),"",IF(AND($D21&lt;=BP$6+6,$E21&gt;=BP$6),IF($N21="CRÍTICA","C","P"),""))</f>
      </c>
      <c r="BQ21" s="138">
        <f>IF(OR($D21="",$E21=""),"",IF(AND($D21&lt;=BQ$6+6,$E21&gt;=BQ$6),IF($N21="CRÍTICA","C","P"),""))</f>
      </c>
      <c r="BR21" s="138">
        <f>IF(OR($D21="",$E21=""),"",IF(AND($D21&lt;=BR$6+6,$E21&gt;=BR$6),IF($N21="CRÍTICA","C","P"),""))</f>
      </c>
      <c r="BT21" s="127">
        <f>IF(SUM($D47:$O47)=0,"",_xlfn.MINIFS($D$32:$O$32,$D47:$O47,"&gt;0"))</f>
        <v>46296.0</v>
      </c>
      <c r="BU21" s="127">
        <f>IF(BT21="","",EOMONTH(_xlfn.MAXIFS($D$32:$O$32,$D47:$O47,"&gt;0"),0))</f>
        <v>46507.0</v>
      </c>
      <c r="BV21" s="73" t="inlineStr">
        <is>
          <t>Contrato</t>
        </is>
      </c>
      <c r="BW21" s="73" t="n">
        <v>343</v>
      </c>
      <c r="BX21" s="127">
        <f>IF(E21="","",IF(COUNTIF($G22:$G$28,$A21)+COUNTIF($H22:$H$28,$A21)+COUNTIF($I22:$I$28,$A21)=0,_xlfn.MAXIFS($E$7:$E$27,$BW$7:$BW$27,$BW21),MIN(IF(COUNTIF($G22:$G$28,$A21)&gt;0,_xlfn.MINIFS($BY22:$BY$28,$G22:$G$28,$A21),99999999),IF(COUNTIF($H22:$H$28,$A21)&gt;0,_xlfn.MINIFS($BY22:$BY$28,$H22:$H$28,$A21),99999999),IF(COUNTIF($I22:$I$28,$A21)&gt;0,_xlfn.MINIFS($BY22:$BY$28,$I22:$I$28,$A21),99999999))-1))</f>
        <v>46538.0</v>
      </c>
      <c r="BY21" s="127">
        <f>IF(BX21="","",BX21-F21+1)</f>
        <v>46327.0</v>
      </c>
      <c r="BZ21" s="140">
        <f>IF(AND(D21&lt;&gt;"",D21&gt;DATA_GESTAO),D21+ROW()/1000000,"")</f>
      </c>
      <c r="CA21" s="73">
        <f>SUMPRODUCT(($BW$7:$BW$27=$BW21)*($G$7:$I$27&lt;&gt;""))</f>
        <v>0</v>
      </c>
    </row>
    <row r="22" ht="13.5" customHeight="1" s="71" thickBot="1">
      <c r="A22" s="81" t="inlineStr">
        <is>
          <t>343-06</t>
        </is>
      </c>
      <c r="B22" s="126" t="n">
        <v>343</v>
      </c>
      <c r="C22" s="73" t="inlineStr">
        <is>
          <t>Adm. Local</t>
        </is>
      </c>
      <c r="D22" s="128">
        <f>IF(BT22="","",MAX(BT22,IF($G22="",0,_xlfn.MAXIFS($E$6:$E21,$A$6:$A21,$G22)+1),IF($H22="",0,_xlfn.MAXIFS($E$6:$E21,$A$6:$A21,$H22)+1),IF($I22="",0,_xlfn.MAXIFS($E$6:$E21,$A$6:$A21,$I22)+1)))</f>
        <v>46266.0</v>
      </c>
      <c r="E22" s="128">
        <f>IF(D22="","",D22+F22-1)</f>
        <v>46538.0</v>
      </c>
      <c r="F22" s="143">
        <f>IF(OR(BT22="",BU22=""),"",BU22-BT22+1)</f>
        <v>273</v>
      </c>
      <c r="G22" s="148" t="n"/>
      <c r="H22" s="148" t="n"/>
      <c r="I22" s="147" t="n"/>
      <c r="J22" s="151" t="n"/>
      <c r="K22" s="145">
        <f>$P48</f>
        <v>689827.41</v>
      </c>
      <c r="L22" s="141" t="inlineStr">
        <is>
          <t>pendente</t>
        </is>
      </c>
      <c r="M22" s="144">
        <f>IF(OR(BX22="",E22=""),"",BX22-E22)</f>
        <v>0</v>
      </c>
      <c r="N22" s="126" t="str">
        <f>IF(M22="","",IF(CA22=0,"sem rede",IF(M22&lt;=0,"CRÍTICA","")))</f>
        <v>sem rede</v>
      </c>
      <c r="O22" s="145">
        <f>IF(OR(J22="",K22=""),"",J22*K22)</f>
      </c>
      <c r="P22" s="73" t="str">
        <f>IF(OR(BT22="",BU22=""),"sem data",IF(OR(AND(G22&lt;&gt;"",COUNTIF($A$7:$A$27,G22)=0),AND(H22&lt;&gt;"",COUNTIF($A$7:$A$27,H22)=0),AND(I22&lt;&gt;"",COUNTIF($A$7:$A$27,I22)=0)),"predecessora inexistente",IF(OR(AND(G22&lt;&gt;"",COUNTIF($A$6:$A21,G22)=0),AND(H22&lt;&gt;"",COUNTIF($A$6:$A21,H22)=0),AND(I22&lt;&gt;"",COUNTIF($A$6:$A21,I22)=0)),"predecessora abaixo da tarefa","ok")))</f>
        <v>ok</v>
      </c>
      <c r="Q22" s="138" t="str">
        <f>IF(OR($D22="",$E22=""),"",IF(AND($D22&lt;=Q$6+6,$E22&gt;=Q$6),IF($N22="CRÍTICA","C","P"),""))</f>
        <v>P</v>
      </c>
      <c r="R22" s="138" t="str">
        <f>IF(OR($D22="",$E22=""),"",IF(AND($D22&lt;=R$6+6,$E22&gt;=R$6),IF($N22="CRÍTICA","C","P"),""))</f>
        <v>P</v>
      </c>
      <c r="S22" s="138" t="str">
        <f>IF(OR($D22="",$E22=""),"",IF(AND($D22&lt;=S$6+6,$E22&gt;=S$6),IF($N22="CRÍTICA","C","P"),""))</f>
        <v>P</v>
      </c>
      <c r="T22" s="138" t="str">
        <f>IF(OR($D22="",$E22=""),"",IF(AND($D22&lt;=T$6+6,$E22&gt;=T$6),IF($N22="CRÍTICA","C","P"),""))</f>
        <v>P</v>
      </c>
      <c r="U22" s="138" t="str">
        <f>IF(OR($D22="",$E22=""),"",IF(AND($D22&lt;=U$6+6,$E22&gt;=U$6),IF($N22="CRÍTICA","C","P"),""))</f>
        <v>P</v>
      </c>
      <c r="V22" s="138" t="str">
        <f>IF(OR($D22="",$E22=""),"",IF(AND($D22&lt;=V$6+6,$E22&gt;=V$6),IF($N22="CRÍTICA","C","P"),""))</f>
        <v>P</v>
      </c>
      <c r="W22" s="138" t="str">
        <f>IF(OR($D22="",$E22=""),"",IF(AND($D22&lt;=W$6+6,$E22&gt;=W$6),IF($N22="CRÍTICA","C","P"),""))</f>
        <v>P</v>
      </c>
      <c r="X22" s="138" t="str">
        <f>IF(OR($D22="",$E22=""),"",IF(AND($D22&lt;=X$6+6,$E22&gt;=X$6),IF($N22="CRÍTICA","C","P"),""))</f>
        <v>P</v>
      </c>
      <c r="Y22" s="138" t="str">
        <f>IF(OR($D22="",$E22=""),"",IF(AND($D22&lt;=Y$6+6,$E22&gt;=Y$6),IF($N22="CRÍTICA","C","P"),""))</f>
        <v>P</v>
      </c>
      <c r="Z22" s="138" t="str">
        <f>IF(OR($D22="",$E22=""),"",IF(AND($D22&lt;=Z$6+6,$E22&gt;=Z$6),IF($N22="CRÍTICA","C","P"),""))</f>
        <v>P</v>
      </c>
      <c r="AA22" s="138" t="str">
        <f>IF(OR($D22="",$E22=""),"",IF(AND($D22&lt;=AA$6+6,$E22&gt;=AA$6),IF($N22="CRÍTICA","C","P"),""))</f>
        <v>P</v>
      </c>
      <c r="AB22" s="138" t="str">
        <f>IF(OR($D22="",$E22=""),"",IF(AND($D22&lt;=AB$6+6,$E22&gt;=AB$6),IF($N22="CRÍTICA","C","P"),""))</f>
        <v>P</v>
      </c>
      <c r="AC22" s="138" t="str">
        <f>IF(OR($D22="",$E22=""),"",IF(AND($D22&lt;=AC$6+6,$E22&gt;=AC$6),IF($N22="CRÍTICA","C","P"),""))</f>
        <v>P</v>
      </c>
      <c r="AD22" s="138" t="str">
        <f>IF(OR($D22="",$E22=""),"",IF(AND($D22&lt;=AD$6+6,$E22&gt;=AD$6),IF($N22="CRÍTICA","C","P"),""))</f>
        <v>P</v>
      </c>
      <c r="AE22" s="138" t="str">
        <f>IF(OR($D22="",$E22=""),"",IF(AND($D22&lt;=AE$6+6,$E22&gt;=AE$6),IF($N22="CRÍTICA","C","P"),""))</f>
        <v>P</v>
      </c>
      <c r="AF22" s="138" t="str">
        <f>IF(OR($D22="",$E22=""),"",IF(AND($D22&lt;=AF$6+6,$E22&gt;=AF$6),IF($N22="CRÍTICA","C","P"),""))</f>
        <v>P</v>
      </c>
      <c r="AG22" s="138" t="str">
        <f>IF(OR($D22="",$E22=""),"",IF(AND($D22&lt;=AG$6+6,$E22&gt;=AG$6),IF($N22="CRÍTICA","C","P"),""))</f>
        <v>P</v>
      </c>
      <c r="AH22" s="138" t="str">
        <f>IF(OR($D22="",$E22=""),"",IF(AND($D22&lt;=AH$6+6,$E22&gt;=AH$6),IF($N22="CRÍTICA","C","P"),""))</f>
        <v>P</v>
      </c>
      <c r="AI22" s="138" t="str">
        <f>IF(OR($D22="",$E22=""),"",IF(AND($D22&lt;=AI$6+6,$E22&gt;=AI$6),IF($N22="CRÍTICA","C","P"),""))</f>
        <v>P</v>
      </c>
      <c r="AJ22" s="138" t="str">
        <f>IF(OR($D22="",$E22=""),"",IF(AND($D22&lt;=AJ$6+6,$E22&gt;=AJ$6),IF($N22="CRÍTICA","C","P"),""))</f>
        <v>P</v>
      </c>
      <c r="AK22" s="138" t="str">
        <f>IF(OR($D22="",$E22=""),"",IF(AND($D22&lt;=AK$6+6,$E22&gt;=AK$6),IF($N22="CRÍTICA","C","P"),""))</f>
        <v>P</v>
      </c>
      <c r="AL22" s="138" t="str">
        <f>IF(OR($D22="",$E22=""),"",IF(AND($D22&lt;=AL$6+6,$E22&gt;=AL$6),IF($N22="CRÍTICA","C","P"),""))</f>
        <v>P</v>
      </c>
      <c r="AM22" s="138" t="str">
        <f>IF(OR($D22="",$E22=""),"",IF(AND($D22&lt;=AM$6+6,$E22&gt;=AM$6),IF($N22="CRÍTICA","C","P"),""))</f>
        <v>P</v>
      </c>
      <c r="AN22" s="138" t="str">
        <f>IF(OR($D22="",$E22=""),"",IF(AND($D22&lt;=AN$6+6,$E22&gt;=AN$6),IF($N22="CRÍTICA","C","P"),""))</f>
        <v>P</v>
      </c>
      <c r="AO22" s="138" t="str">
        <f>IF(OR($D22="",$E22=""),"",IF(AND($D22&lt;=AO$6+6,$E22&gt;=AO$6),IF($N22="CRÍTICA","C","P"),""))</f>
        <v>P</v>
      </c>
      <c r="AP22" s="138" t="str">
        <f>IF(OR($D22="",$E22=""),"",IF(AND($D22&lt;=AP$6+6,$E22&gt;=AP$6),IF($N22="CRÍTICA","C","P"),""))</f>
        <v>P</v>
      </c>
      <c r="AQ22" s="138" t="str">
        <f>IF(OR($D22="",$E22=""),"",IF(AND($D22&lt;=AQ$6+6,$E22&gt;=AQ$6),IF($N22="CRÍTICA","C","P"),""))</f>
        <v>P</v>
      </c>
      <c r="AR22" s="138" t="str">
        <f>IF(OR($D22="",$E22=""),"",IF(AND($D22&lt;=AR$6+6,$E22&gt;=AR$6),IF($N22="CRÍTICA","C","P"),""))</f>
        <v>P</v>
      </c>
      <c r="AS22" s="138" t="str">
        <f>IF(OR($D22="",$E22=""),"",IF(AND($D22&lt;=AS$6+6,$E22&gt;=AS$6),IF($N22="CRÍTICA","C","P"),""))</f>
        <v>P</v>
      </c>
      <c r="AT22" s="138" t="str">
        <f>IF(OR($D22="",$E22=""),"",IF(AND($D22&lt;=AT$6+6,$E22&gt;=AT$6),IF($N22="CRÍTICA","C","P"),""))</f>
        <v>P</v>
      </c>
      <c r="AU22" s="138" t="str">
        <f>IF(OR($D22="",$E22=""),"",IF(AND($D22&lt;=AU$6+6,$E22&gt;=AU$6),IF($N22="CRÍTICA","C","P"),""))</f>
        <v>P</v>
      </c>
      <c r="AV22" s="138" t="str">
        <f>IF(OR($D22="",$E22=""),"",IF(AND($D22&lt;=AV$6+6,$E22&gt;=AV$6),IF($N22="CRÍTICA","C","P"),""))</f>
        <v>P</v>
      </c>
      <c r="AW22" s="138" t="str">
        <f>IF(OR($D22="",$E22=""),"",IF(AND($D22&lt;=AW$6+6,$E22&gt;=AW$6),IF($N22="CRÍTICA","C","P"),""))</f>
        <v>P</v>
      </c>
      <c r="AX22" s="138" t="str">
        <f>IF(OR($D22="",$E22=""),"",IF(AND($D22&lt;=AX$6+6,$E22&gt;=AX$6),IF($N22="CRÍTICA","C","P"),""))</f>
        <v>P</v>
      </c>
      <c r="AY22" s="138" t="str">
        <f>IF(OR($D22="",$E22=""),"",IF(AND($D22&lt;=AY$6+6,$E22&gt;=AY$6),IF($N22="CRÍTICA","C","P"),""))</f>
        <v>P</v>
      </c>
      <c r="AZ22" s="138" t="str">
        <f>IF(OR($D22="",$E22=""),"",IF(AND($D22&lt;=AZ$6+6,$E22&gt;=AZ$6),IF($N22="CRÍTICA","C","P"),""))</f>
        <v>P</v>
      </c>
      <c r="BA22" s="138" t="str">
        <f>IF(OR($D22="",$E22=""),"",IF(AND($D22&lt;=BA$6+6,$E22&gt;=BA$6),IF($N22="CRÍTICA","C","P"),""))</f>
        <v>P</v>
      </c>
      <c r="BB22" s="138" t="str">
        <f>IF(OR($D22="",$E22=""),"",IF(AND($D22&lt;=BB$6+6,$E22&gt;=BB$6),IF($N22="CRÍTICA","C","P"),""))</f>
        <v>P</v>
      </c>
      <c r="BC22" s="138" t="str">
        <f>IF(OR($D22="",$E22=""),"",IF(AND($D22&lt;=BC$6+6,$E22&gt;=BC$6),IF($N22="CRÍTICA","C","P"),""))</f>
        <v>P</v>
      </c>
      <c r="BD22" s="138" t="str">
        <f>IF(OR($D22="",$E22=""),"",IF(AND($D22&lt;=BD$6+6,$E22&gt;=BD$6),IF($N22="CRÍTICA","C","P"),""))</f>
        <v>P</v>
      </c>
      <c r="BE22" s="138">
        <f>IF(OR($D22="",$E22=""),"",IF(AND($D22&lt;=BE$6+6,$E22&gt;=BE$6),IF($N22="CRÍTICA","C","P"),""))</f>
      </c>
      <c r="BF22" s="138">
        <f>IF(OR($D22="",$E22=""),"",IF(AND($D22&lt;=BF$6+6,$E22&gt;=BF$6),IF($N22="CRÍTICA","C","P"),""))</f>
      </c>
      <c r="BG22" s="138">
        <f>IF(OR($D22="",$E22=""),"",IF(AND($D22&lt;=BG$6+6,$E22&gt;=BG$6),IF($N22="CRÍTICA","C","P"),""))</f>
      </c>
      <c r="BH22" s="138">
        <f>IF(OR($D22="",$E22=""),"",IF(AND($D22&lt;=BH$6+6,$E22&gt;=BH$6),IF($N22="CRÍTICA","C","P"),""))</f>
      </c>
      <c r="BI22" s="138">
        <f>IF(OR($D22="",$E22=""),"",IF(AND($D22&lt;=BI$6+6,$E22&gt;=BI$6),IF($N22="CRÍTICA","C","P"),""))</f>
      </c>
      <c r="BJ22" s="138">
        <f>IF(OR($D22="",$E22=""),"",IF(AND($D22&lt;=BJ$6+6,$E22&gt;=BJ$6),IF($N22="CRÍTICA","C","P"),""))</f>
      </c>
      <c r="BK22" s="138">
        <f>IF(OR($D22="",$E22=""),"",IF(AND($D22&lt;=BK$6+6,$E22&gt;=BK$6),IF($N22="CRÍTICA","C","P"),""))</f>
      </c>
      <c r="BL22" s="138">
        <f>IF(OR($D22="",$E22=""),"",IF(AND($D22&lt;=BL$6+6,$E22&gt;=BL$6),IF($N22="CRÍTICA","C","P"),""))</f>
      </c>
      <c r="BM22" s="138">
        <f>IF(OR($D22="",$E22=""),"",IF(AND($D22&lt;=BM$6+6,$E22&gt;=BM$6),IF($N22="CRÍTICA","C","P"),""))</f>
      </c>
      <c r="BN22" s="138">
        <f>IF(OR($D22="",$E22=""),"",IF(AND($D22&lt;=BN$6+6,$E22&gt;=BN$6),IF($N22="CRÍTICA","C","P"),""))</f>
      </c>
      <c r="BO22" s="138">
        <f>IF(OR($D22="",$E22=""),"",IF(AND($D22&lt;=BO$6+6,$E22&gt;=BO$6),IF($N22="CRÍTICA","C","P"),""))</f>
      </c>
      <c r="BP22" s="138">
        <f>IF(OR($D22="",$E22=""),"",IF(AND($D22&lt;=BP$6+6,$E22&gt;=BP$6),IF($N22="CRÍTICA","C","P"),""))</f>
      </c>
      <c r="BQ22" s="138">
        <f>IF(OR($D22="",$E22=""),"",IF(AND($D22&lt;=BQ$6+6,$E22&gt;=BQ$6),IF($N22="CRÍTICA","C","P"),""))</f>
      </c>
      <c r="BR22" s="138">
        <f>IF(OR($D22="",$E22=""),"",IF(AND($D22&lt;=BR$6+6,$E22&gt;=BR$6),IF($N22="CRÍTICA","C","P"),""))</f>
      </c>
      <c r="BT22" s="127">
        <f>IF(SUM($D48:$O48)=0,"",_xlfn.MINIFS($D$32:$O$32,$D48:$O48,"&gt;0"))</f>
        <v>46266.0</v>
      </c>
      <c r="BU22" s="127">
        <f>IF(BT22="","",EOMONTH(_xlfn.MAXIFS($D$32:$O$32,$D48:$O48,"&gt;0"),0))</f>
        <v>46538.0</v>
      </c>
      <c r="BV22" s="73" t="inlineStr">
        <is>
          <t>Contrato</t>
        </is>
      </c>
      <c r="BW22" s="73" t="n">
        <v>343</v>
      </c>
      <c r="BX22" s="127">
        <f>IF(E22="","",IF(COUNTIF($G23:$G$28,$A22)+COUNTIF($H23:$H$28,$A22)+COUNTIF($I23:$I$28,$A22)=0,_xlfn.MAXIFS($E$7:$E$27,$BW$7:$BW$27,$BW22),MIN(IF(COUNTIF($G23:$G$28,$A22)&gt;0,_xlfn.MINIFS($BY23:$BY$28,$G23:$G$28,$A22),99999999),IF(COUNTIF($H23:$H$28,$A22)&gt;0,_xlfn.MINIFS($BY23:$BY$28,$H23:$H$28,$A22),99999999),IF(COUNTIF($I23:$I$28,$A22)&gt;0,_xlfn.MINIFS($BY23:$BY$28,$I23:$I$28,$A22),99999999))-1))</f>
        <v>46538.0</v>
      </c>
      <c r="BY22" s="127">
        <f>IF(BX22="","",BX22-F22+1)</f>
        <v>46266.0</v>
      </c>
      <c r="BZ22" s="140">
        <f>IF(AND(D22&lt;&gt;"",D22&gt;DATA_GESTAO),D22+ROW()/1000000,"")</f>
      </c>
      <c r="CA22" s="73">
        <f>SUMPRODUCT(($BW$7:$BW$27=$BW22)*($G$7:$I$27&lt;&gt;""))</f>
        <v>0</v>
      </c>
    </row>
    <row r="23">
      <c r="A23" s="153" t="inlineStr">
        <is>
          <t>343-M1</t>
        </is>
      </c>
      <c r="B23" s="154" t="n">
        <v>343</v>
      </c>
      <c r="C23" s="155" t="inlineStr">
        <is>
          <t>Plano do motor: F01 Subadutora SAT.SB1.192 · ADUT_PEAD</t>
        </is>
      </c>
      <c r="D23" s="156">
        <f>IF(BT23="","",MAX(BT23,IF($G23="",0,_xlfn.MAXIFS($E$6:$E22,$A$6:$A22,$G23)+1),IF($H23="",0,_xlfn.MAXIFS($E$6:$E22,$A$6:$A22,$H23)+1),IF($I23="",0,_xlfn.MAXIFS($E$6:$E22,$A$6:$A22,$I23)+1)))</f>
        <v>46296.0</v>
      </c>
      <c r="E23" s="156">
        <f>IF(D23="","",D23+F23-1)</f>
        <v>46343.0</v>
      </c>
      <c r="F23" s="157">
        <f>IF(OR(BT23="",BU23=""),"",BU23-BT23+1)</f>
        <v>48</v>
      </c>
      <c r="G23" s="158" t="n"/>
      <c r="H23" s="158" t="n"/>
      <c r="I23" s="159" t="n"/>
      <c r="J23" s="160" t="n"/>
      <c r="K23" s="165" t="n">
        <v>906096.5884922271</v>
      </c>
      <c r="L23" s="165" t="n">
        <v>543880.9358254545</v>
      </c>
      <c r="M23" s="163">
        <f>IF(OR(BX23="",E23=""),"",BX23-E23)</f>
        <v>182</v>
      </c>
      <c r="N23" s="154" t="str">
        <f>IF(M23="","",IF(CA23=0,"sem rede",IF(M23&lt;=0,"CRÍTICA","")))</f>
        <v>sem rede</v>
      </c>
      <c r="O23" s="161">
        <f>IF(OR(J23="",K23=""),"",J23*K23)</f>
      </c>
      <c r="P23" s="155" t="str">
        <f>IF(OR(BT23="",BU23=""),"sem data",IF(OR(AND(G23&lt;&gt;"",COUNTIF($A$7:$A$27,G23)=0),AND(H23&lt;&gt;"",COUNTIF($A$7:$A$27,H23)=0),AND(I23&lt;&gt;"",COUNTIF($A$7:$A$27,I23)=0)),"predecessora inexistente",IF(OR(AND(G23&lt;&gt;"",COUNTIF($A$6:$A22,G23)=0),AND(H23&lt;&gt;"",COUNTIF($A$6:$A22,H23)=0),AND(I23&lt;&gt;"",COUNTIF($A$6:$A22,I23)=0)),"predecessora abaixo da tarefa","ok")))</f>
        <v>ok</v>
      </c>
      <c r="Q23" s="164">
        <f>IF(OR($D23="",$E23=""),"",IF(AND($D23&lt;=Q$6+6,$E23&gt;=Q$6),IF($N23="CRÍTICA","C","P"),""))</f>
      </c>
      <c r="R23" s="164">
        <f>IF(OR($D23="",$E23=""),"",IF(AND($D23&lt;=R$6+6,$E23&gt;=R$6),IF($N23="CRÍTICA","C","P"),""))</f>
      </c>
      <c r="S23" s="164">
        <f>IF(OR($D23="",$E23=""),"",IF(AND($D23&lt;=S$6+6,$E23&gt;=S$6),IF($N23="CRÍTICA","C","P"),""))</f>
      </c>
      <c r="T23" s="164">
        <f>IF(OR($D23="",$E23=""),"",IF(AND($D23&lt;=T$6+6,$E23&gt;=T$6),IF($N23="CRÍTICA","C","P"),""))</f>
      </c>
      <c r="U23" s="164" t="str">
        <f>IF(OR($D23="",$E23=""),"",IF(AND($D23&lt;=U$6+6,$E23&gt;=U$6),IF($N23="CRÍTICA","C","P"),""))</f>
        <v>P</v>
      </c>
      <c r="V23" s="164" t="str">
        <f>IF(OR($D23="",$E23=""),"",IF(AND($D23&lt;=V$6+6,$E23&gt;=V$6),IF($N23="CRÍTICA","C","P"),""))</f>
        <v>P</v>
      </c>
      <c r="W23" s="164" t="str">
        <f>IF(OR($D23="",$E23=""),"",IF(AND($D23&lt;=W$6+6,$E23&gt;=W$6),IF($N23="CRÍTICA","C","P"),""))</f>
        <v>P</v>
      </c>
      <c r="X23" s="164" t="str">
        <f>IF(OR($D23="",$E23=""),"",IF(AND($D23&lt;=X$6+6,$E23&gt;=X$6),IF($N23="CRÍTICA","C","P"),""))</f>
        <v>P</v>
      </c>
      <c r="Y23" s="164" t="str">
        <f>IF(OR($D23="",$E23=""),"",IF(AND($D23&lt;=Y$6+6,$E23&gt;=Y$6),IF($N23="CRÍTICA","C","P"),""))</f>
        <v>P</v>
      </c>
      <c r="Z23" s="164" t="str">
        <f>IF(OR($D23="",$E23=""),"",IF(AND($D23&lt;=Z$6+6,$E23&gt;=Z$6),IF($N23="CRÍTICA","C","P"),""))</f>
        <v>P</v>
      </c>
      <c r="AA23" s="164" t="str">
        <f>IF(OR($D23="",$E23=""),"",IF(AND($D23&lt;=AA$6+6,$E23&gt;=AA$6),IF($N23="CRÍTICA","C","P"),""))</f>
        <v>P</v>
      </c>
      <c r="AB23" s="164" t="str">
        <f>IF(OR($D23="",$E23=""),"",IF(AND($D23&lt;=AB$6+6,$E23&gt;=AB$6),IF($N23="CRÍTICA","C","P"),""))</f>
        <v>P</v>
      </c>
      <c r="AC23" s="164">
        <f>IF(OR($D23="",$E23=""),"",IF(AND($D23&lt;=AC$6+6,$E23&gt;=AC$6),IF($N23="CRÍTICA","C","P"),""))</f>
      </c>
      <c r="AD23" s="164">
        <f>IF(OR($D23="",$E23=""),"",IF(AND($D23&lt;=AD$6+6,$E23&gt;=AD$6),IF($N23="CRÍTICA","C","P"),""))</f>
      </c>
      <c r="AE23" s="164">
        <f>IF(OR($D23="",$E23=""),"",IF(AND($D23&lt;=AE$6+6,$E23&gt;=AE$6),IF($N23="CRÍTICA","C","P"),""))</f>
      </c>
      <c r="AF23" s="164">
        <f>IF(OR($D23="",$E23=""),"",IF(AND($D23&lt;=AF$6+6,$E23&gt;=AF$6),IF($N23="CRÍTICA","C","P"),""))</f>
      </c>
      <c r="AG23" s="164">
        <f>IF(OR($D23="",$E23=""),"",IF(AND($D23&lt;=AG$6+6,$E23&gt;=AG$6),IF($N23="CRÍTICA","C","P"),""))</f>
      </c>
      <c r="AH23" s="164">
        <f>IF(OR($D23="",$E23=""),"",IF(AND($D23&lt;=AH$6+6,$E23&gt;=AH$6),IF($N23="CRÍTICA","C","P"),""))</f>
      </c>
      <c r="AI23" s="164">
        <f>IF(OR($D23="",$E23=""),"",IF(AND($D23&lt;=AI$6+6,$E23&gt;=AI$6),IF($N23="CRÍTICA","C","P"),""))</f>
      </c>
      <c r="AJ23" s="164">
        <f>IF(OR($D23="",$E23=""),"",IF(AND($D23&lt;=AJ$6+6,$E23&gt;=AJ$6),IF($N23="CRÍTICA","C","P"),""))</f>
      </c>
      <c r="AK23" s="164">
        <f>IF(OR($D23="",$E23=""),"",IF(AND($D23&lt;=AK$6+6,$E23&gt;=AK$6),IF($N23="CRÍTICA","C","P"),""))</f>
      </c>
      <c r="AL23" s="164">
        <f>IF(OR($D23="",$E23=""),"",IF(AND($D23&lt;=AL$6+6,$E23&gt;=AL$6),IF($N23="CRÍTICA","C","P"),""))</f>
      </c>
      <c r="AM23" s="164">
        <f>IF(OR($D23="",$E23=""),"",IF(AND($D23&lt;=AM$6+6,$E23&gt;=AM$6),IF($N23="CRÍTICA","C","P"),""))</f>
      </c>
      <c r="AN23" s="164">
        <f>IF(OR($D23="",$E23=""),"",IF(AND($D23&lt;=AN$6+6,$E23&gt;=AN$6),IF($N23="CRÍTICA","C","P"),""))</f>
      </c>
      <c r="AO23" s="164">
        <f>IF(OR($D23="",$E23=""),"",IF(AND($D23&lt;=AO$6+6,$E23&gt;=AO$6),IF($N23="CRÍTICA","C","P"),""))</f>
      </c>
      <c r="AP23" s="164">
        <f>IF(OR($D23="",$E23=""),"",IF(AND($D23&lt;=AP$6+6,$E23&gt;=AP$6),IF($N23="CRÍTICA","C","P"),""))</f>
      </c>
      <c r="AQ23" s="164">
        <f>IF(OR($D23="",$E23=""),"",IF(AND($D23&lt;=AQ$6+6,$E23&gt;=AQ$6),IF($N23="CRÍTICA","C","P"),""))</f>
      </c>
      <c r="AR23" s="164">
        <f>IF(OR($D23="",$E23=""),"",IF(AND($D23&lt;=AR$6+6,$E23&gt;=AR$6),IF($N23="CRÍTICA","C","P"),""))</f>
      </c>
      <c r="AS23" s="164">
        <f>IF(OR($D23="",$E23=""),"",IF(AND($D23&lt;=AS$6+6,$E23&gt;=AS$6),IF($N23="CRÍTICA","C","P"),""))</f>
      </c>
      <c r="AT23" s="164">
        <f>IF(OR($D23="",$E23=""),"",IF(AND($D23&lt;=AT$6+6,$E23&gt;=AT$6),IF($N23="CRÍTICA","C","P"),""))</f>
      </c>
      <c r="AU23" s="164">
        <f>IF(OR($D23="",$E23=""),"",IF(AND($D23&lt;=AU$6+6,$E23&gt;=AU$6),IF($N23="CRÍTICA","C","P"),""))</f>
      </c>
      <c r="AV23" s="164">
        <f>IF(OR($D23="",$E23=""),"",IF(AND($D23&lt;=AV$6+6,$E23&gt;=AV$6),IF($N23="CRÍTICA","C","P"),""))</f>
      </c>
      <c r="AW23" s="164">
        <f>IF(OR($D23="",$E23=""),"",IF(AND($D23&lt;=AW$6+6,$E23&gt;=AW$6),IF($N23="CRÍTICA","C","P"),""))</f>
      </c>
      <c r="AX23" s="164">
        <f>IF(OR($D23="",$E23=""),"",IF(AND($D23&lt;=AX$6+6,$E23&gt;=AX$6),IF($N23="CRÍTICA","C","P"),""))</f>
      </c>
      <c r="AY23" s="164">
        <f>IF(OR($D23="",$E23=""),"",IF(AND($D23&lt;=AY$6+6,$E23&gt;=AY$6),IF($N23="CRÍTICA","C","P"),""))</f>
      </c>
      <c r="AZ23" s="164">
        <f>IF(OR($D23="",$E23=""),"",IF(AND($D23&lt;=AZ$6+6,$E23&gt;=AZ$6),IF($N23="CRÍTICA","C","P"),""))</f>
      </c>
      <c r="BA23" s="164">
        <f>IF(OR($D23="",$E23=""),"",IF(AND($D23&lt;=BA$6+6,$E23&gt;=BA$6),IF($N23="CRÍTICA","C","P"),""))</f>
      </c>
      <c r="BB23" s="164">
        <f>IF(OR($D23="",$E23=""),"",IF(AND($D23&lt;=BB$6+6,$E23&gt;=BB$6),IF($N23="CRÍTICA","C","P"),""))</f>
      </c>
      <c r="BC23" s="164">
        <f>IF(OR($D23="",$E23=""),"",IF(AND($D23&lt;=BC$6+6,$E23&gt;=BC$6),IF($N23="CRÍTICA","C","P"),""))</f>
      </c>
      <c r="BD23" s="164">
        <f>IF(OR($D23="",$E23=""),"",IF(AND($D23&lt;=BD$6+6,$E23&gt;=BD$6),IF($N23="CRÍTICA","C","P"),""))</f>
      </c>
      <c r="BE23" s="164">
        <f>IF(OR($D23="",$E23=""),"",IF(AND($D23&lt;=BE$6+6,$E23&gt;=BE$6),IF($N23="CRÍTICA","C","P"),""))</f>
      </c>
      <c r="BF23" s="164">
        <f>IF(OR($D23="",$E23=""),"",IF(AND($D23&lt;=BF$6+6,$E23&gt;=BF$6),IF($N23="CRÍTICA","C","P"),""))</f>
      </c>
      <c r="BG23" s="164">
        <f>IF(OR($D23="",$E23=""),"",IF(AND($D23&lt;=BG$6+6,$E23&gt;=BG$6),IF($N23="CRÍTICA","C","P"),""))</f>
      </c>
      <c r="BH23" s="164">
        <f>IF(OR($D23="",$E23=""),"",IF(AND($D23&lt;=BH$6+6,$E23&gt;=BH$6),IF($N23="CRÍTICA","C","P"),""))</f>
      </c>
      <c r="BI23" s="164">
        <f>IF(OR($D23="",$E23=""),"",IF(AND($D23&lt;=BI$6+6,$E23&gt;=BI$6),IF($N23="CRÍTICA","C","P"),""))</f>
      </c>
      <c r="BJ23" s="164">
        <f>IF(OR($D23="",$E23=""),"",IF(AND($D23&lt;=BJ$6+6,$E23&gt;=BJ$6),IF($N23="CRÍTICA","C","P"),""))</f>
      </c>
      <c r="BK23" s="164">
        <f>IF(OR($D23="",$E23=""),"",IF(AND($D23&lt;=BK$6+6,$E23&gt;=BK$6),IF($N23="CRÍTICA","C","P"),""))</f>
      </c>
      <c r="BL23" s="164">
        <f>IF(OR($D23="",$E23=""),"",IF(AND($D23&lt;=BL$6+6,$E23&gt;=BL$6),IF($N23="CRÍTICA","C","P"),""))</f>
      </c>
      <c r="BM23" s="164">
        <f>IF(OR($D23="",$E23=""),"",IF(AND($D23&lt;=BM$6+6,$E23&gt;=BM$6),IF($N23="CRÍTICA","C","P"),""))</f>
      </c>
      <c r="BN23" s="164">
        <f>IF(OR($D23="",$E23=""),"",IF(AND($D23&lt;=BN$6+6,$E23&gt;=BN$6),IF($N23="CRÍTICA","C","P"),""))</f>
      </c>
      <c r="BO23" s="164">
        <f>IF(OR($D23="",$E23=""),"",IF(AND($D23&lt;=BO$6+6,$E23&gt;=BO$6),IF($N23="CRÍTICA","C","P"),""))</f>
      </c>
      <c r="BP23" s="164">
        <f>IF(OR($D23="",$E23=""),"",IF(AND($D23&lt;=BP$6+6,$E23&gt;=BP$6),IF($N23="CRÍTICA","C","P"),""))</f>
      </c>
      <c r="BQ23" s="164">
        <f>IF(OR($D23="",$E23=""),"",IF(AND($D23&lt;=BQ$6+6,$E23&gt;=BQ$6),IF($N23="CRÍTICA","C","P"),""))</f>
      </c>
      <c r="BR23" s="164">
        <f>IF(OR($D23="",$E23=""),"",IF(AND($D23&lt;=BR$6+6,$E23&gt;=BR$6),IF($N23="CRÍTICA","C","P"),""))</f>
      </c>
      <c r="BT23" s="139" t="n">
        <v>46296</v>
      </c>
      <c r="BU23" s="139" t="n">
        <v>46343</v>
      </c>
      <c r="BV23" s="73" t="inlineStr">
        <is>
          <t>Motor</t>
        </is>
      </c>
      <c r="BW23" s="73" t="inlineStr">
        <is>
          <t>343M</t>
        </is>
      </c>
      <c r="BX23" s="127">
        <f>IF(E23="","",IF(COUNTIF($G24:$G$28,$A23)+COUNTIF($H24:$H$28,$A23)+COUNTIF($I24:$I$28,$A23)=0,_xlfn.MAXIFS($E$7:$E$27,$BW$7:$BW$27,$BW23),MIN(IF(COUNTIF($G24:$G$28,$A23)&gt;0,_xlfn.MINIFS($BY24:$BY$28,$G24:$G$28,$A23),99999999),IF(COUNTIF($H24:$H$28,$A23)&gt;0,_xlfn.MINIFS($BY24:$BY$28,$H24:$H$28,$A23),99999999),IF(COUNTIF($I24:$I$28,$A23)&gt;0,_xlfn.MINIFS($BY24:$BY$28,$I24:$I$28,$A23),99999999))-1))</f>
        <v>46525.0</v>
      </c>
      <c r="BY23" s="127">
        <f>IF(BX23="","",BX23-F23+1)</f>
        <v>46478.0</v>
      </c>
      <c r="BZ23" s="140">
        <f>IF(AND(D23&lt;&gt;"",D23&gt;DATA_GESTAO),D23+ROW()/1000000,"")</f>
      </c>
      <c r="CA23" s="73">
        <f>SUMPRODUCT(($BW$7:$BW$27=$BW23)*($G$7:$I$27&lt;&gt;""))</f>
        <v>0</v>
      </c>
    </row>
    <row r="24">
      <c r="A24" s="81" t="inlineStr">
        <is>
          <t>343-M2</t>
        </is>
      </c>
      <c r="B24" s="126" t="n">
        <v>343</v>
      </c>
      <c r="C24" s="73" t="inlineStr">
        <is>
          <t>Plano do motor: F01 Subadutora SAT.SB1.192 · ADUT_FOFO</t>
        </is>
      </c>
      <c r="D24" s="128">
        <f>IF(BT24="","",MAX(BT24,IF($G24="",0,_xlfn.MAXIFS($E$6:$E23,$A$6:$A23,$G24)+1),IF($H24="",0,_xlfn.MAXIFS($E$6:$E23,$A$6:$A23,$H24)+1),IF($I24="",0,_xlfn.MAXIFS($E$6:$E23,$A$6:$A23,$I24)+1)))</f>
        <v>46344.0</v>
      </c>
      <c r="E24" s="128">
        <f>IF(D24="","",D24+F24-1)</f>
        <v>46358.0</v>
      </c>
      <c r="F24" s="143">
        <f>IF(OR(BT24="",BU24=""),"",BU24-BT24+1)</f>
        <v>15</v>
      </c>
      <c r="G24" s="149" t="n"/>
      <c r="H24" s="149" t="n"/>
      <c r="I24" s="150" t="n"/>
      <c r="J24" s="152" t="n"/>
      <c r="K24" s="146" t="n">
        <v>94175.28467907719</v>
      </c>
      <c r="L24" s="146" t="n">
        <v>56528.3465509091</v>
      </c>
      <c r="M24" s="144">
        <f>IF(OR(BX24="",E24=""),"",BX24-E24)</f>
        <v>167</v>
      </c>
      <c r="N24" s="126" t="str">
        <f>IF(M24="","",IF(CA24=0,"sem rede",IF(M24&lt;=0,"CRÍTICA","")))</f>
        <v>sem rede</v>
      </c>
      <c r="O24" s="145">
        <f>IF(OR(J24="",K24=""),"",J24*K24)</f>
      </c>
      <c r="P24" s="73" t="str">
        <f>IF(OR(BT24="",BU24=""),"sem data",IF(OR(AND(G24&lt;&gt;"",COUNTIF($A$7:$A$27,G24)=0),AND(H24&lt;&gt;"",COUNTIF($A$7:$A$27,H24)=0),AND(I24&lt;&gt;"",COUNTIF($A$7:$A$27,I24)=0)),"predecessora inexistente",IF(OR(AND(G24&lt;&gt;"",COUNTIF($A$6:$A23,G24)=0),AND(H24&lt;&gt;"",COUNTIF($A$6:$A23,H24)=0),AND(I24&lt;&gt;"",COUNTIF($A$6:$A23,I24)=0)),"predecessora abaixo da tarefa","ok")))</f>
        <v>ok</v>
      </c>
      <c r="Q24" s="138">
        <f>IF(OR($D24="",$E24=""),"",IF(AND($D24&lt;=Q$6+6,$E24&gt;=Q$6),IF($N24="CRÍTICA","C","P"),""))</f>
      </c>
      <c r="R24" s="138">
        <f>IF(OR($D24="",$E24=""),"",IF(AND($D24&lt;=R$6+6,$E24&gt;=R$6),IF($N24="CRÍTICA","C","P"),""))</f>
      </c>
      <c r="S24" s="138">
        <f>IF(OR($D24="",$E24=""),"",IF(AND($D24&lt;=S$6+6,$E24&gt;=S$6),IF($N24="CRÍTICA","C","P"),""))</f>
      </c>
      <c r="T24" s="138">
        <f>IF(OR($D24="",$E24=""),"",IF(AND($D24&lt;=T$6+6,$E24&gt;=T$6),IF($N24="CRÍTICA","C","P"),""))</f>
      </c>
      <c r="U24" s="138">
        <f>IF(OR($D24="",$E24=""),"",IF(AND($D24&lt;=U$6+6,$E24&gt;=U$6),IF($N24="CRÍTICA","C","P"),""))</f>
      </c>
      <c r="V24" s="138">
        <f>IF(OR($D24="",$E24=""),"",IF(AND($D24&lt;=V$6+6,$E24&gt;=V$6),IF($N24="CRÍTICA","C","P"),""))</f>
      </c>
      <c r="W24" s="138">
        <f>IF(OR($D24="",$E24=""),"",IF(AND($D24&lt;=W$6+6,$E24&gt;=W$6),IF($N24="CRÍTICA","C","P"),""))</f>
      </c>
      <c r="X24" s="138">
        <f>IF(OR($D24="",$E24=""),"",IF(AND($D24&lt;=X$6+6,$E24&gt;=X$6),IF($N24="CRÍTICA","C","P"),""))</f>
      </c>
      <c r="Y24" s="138">
        <f>IF(OR($D24="",$E24=""),"",IF(AND($D24&lt;=Y$6+6,$E24&gt;=Y$6),IF($N24="CRÍTICA","C","P"),""))</f>
      </c>
      <c r="Z24" s="138">
        <f>IF(OR($D24="",$E24=""),"",IF(AND($D24&lt;=Z$6+6,$E24&gt;=Z$6),IF($N24="CRÍTICA","C","P"),""))</f>
      </c>
      <c r="AA24" s="138">
        <f>IF(OR($D24="",$E24=""),"",IF(AND($D24&lt;=AA$6+6,$E24&gt;=AA$6),IF($N24="CRÍTICA","C","P"),""))</f>
      </c>
      <c r="AB24" s="138" t="str">
        <f>IF(OR($D24="",$E24=""),"",IF(AND($D24&lt;=AB$6+6,$E24&gt;=AB$6),IF($N24="CRÍTICA","C","P"),""))</f>
        <v>P</v>
      </c>
      <c r="AC24" s="138" t="str">
        <f>IF(OR($D24="",$E24=""),"",IF(AND($D24&lt;=AC$6+6,$E24&gt;=AC$6),IF($N24="CRÍTICA","C","P"),""))</f>
        <v>P</v>
      </c>
      <c r="AD24" s="138" t="str">
        <f>IF(OR($D24="",$E24=""),"",IF(AND($D24&lt;=AD$6+6,$E24&gt;=AD$6),IF($N24="CRÍTICA","C","P"),""))</f>
        <v>P</v>
      </c>
      <c r="AE24" s="138">
        <f>IF(OR($D24="",$E24=""),"",IF(AND($D24&lt;=AE$6+6,$E24&gt;=AE$6),IF($N24="CRÍTICA","C","P"),""))</f>
      </c>
      <c r="AF24" s="138">
        <f>IF(OR($D24="",$E24=""),"",IF(AND($D24&lt;=AF$6+6,$E24&gt;=AF$6),IF($N24="CRÍTICA","C","P"),""))</f>
      </c>
      <c r="AG24" s="138">
        <f>IF(OR($D24="",$E24=""),"",IF(AND($D24&lt;=AG$6+6,$E24&gt;=AG$6),IF($N24="CRÍTICA","C","P"),""))</f>
      </c>
      <c r="AH24" s="138">
        <f>IF(OR($D24="",$E24=""),"",IF(AND($D24&lt;=AH$6+6,$E24&gt;=AH$6),IF($N24="CRÍTICA","C","P"),""))</f>
      </c>
      <c r="AI24" s="138">
        <f>IF(OR($D24="",$E24=""),"",IF(AND($D24&lt;=AI$6+6,$E24&gt;=AI$6),IF($N24="CRÍTICA","C","P"),""))</f>
      </c>
      <c r="AJ24" s="138">
        <f>IF(OR($D24="",$E24=""),"",IF(AND($D24&lt;=AJ$6+6,$E24&gt;=AJ$6),IF($N24="CRÍTICA","C","P"),""))</f>
      </c>
      <c r="AK24" s="138">
        <f>IF(OR($D24="",$E24=""),"",IF(AND($D24&lt;=AK$6+6,$E24&gt;=AK$6),IF($N24="CRÍTICA","C","P"),""))</f>
      </c>
      <c r="AL24" s="138">
        <f>IF(OR($D24="",$E24=""),"",IF(AND($D24&lt;=AL$6+6,$E24&gt;=AL$6),IF($N24="CRÍTICA","C","P"),""))</f>
      </c>
      <c r="AM24" s="138">
        <f>IF(OR($D24="",$E24=""),"",IF(AND($D24&lt;=AM$6+6,$E24&gt;=AM$6),IF($N24="CRÍTICA","C","P"),""))</f>
      </c>
      <c r="AN24" s="138">
        <f>IF(OR($D24="",$E24=""),"",IF(AND($D24&lt;=AN$6+6,$E24&gt;=AN$6),IF($N24="CRÍTICA","C","P"),""))</f>
      </c>
      <c r="AO24" s="138">
        <f>IF(OR($D24="",$E24=""),"",IF(AND($D24&lt;=AO$6+6,$E24&gt;=AO$6),IF($N24="CRÍTICA","C","P"),""))</f>
      </c>
      <c r="AP24" s="138">
        <f>IF(OR($D24="",$E24=""),"",IF(AND($D24&lt;=AP$6+6,$E24&gt;=AP$6),IF($N24="CRÍTICA","C","P"),""))</f>
      </c>
      <c r="AQ24" s="138">
        <f>IF(OR($D24="",$E24=""),"",IF(AND($D24&lt;=AQ$6+6,$E24&gt;=AQ$6),IF($N24="CRÍTICA","C","P"),""))</f>
      </c>
      <c r="AR24" s="138">
        <f>IF(OR($D24="",$E24=""),"",IF(AND($D24&lt;=AR$6+6,$E24&gt;=AR$6),IF($N24="CRÍTICA","C","P"),""))</f>
      </c>
      <c r="AS24" s="138">
        <f>IF(OR($D24="",$E24=""),"",IF(AND($D24&lt;=AS$6+6,$E24&gt;=AS$6),IF($N24="CRÍTICA","C","P"),""))</f>
      </c>
      <c r="AT24" s="138">
        <f>IF(OR($D24="",$E24=""),"",IF(AND($D24&lt;=AT$6+6,$E24&gt;=AT$6),IF($N24="CRÍTICA","C","P"),""))</f>
      </c>
      <c r="AU24" s="138">
        <f>IF(OR($D24="",$E24=""),"",IF(AND($D24&lt;=AU$6+6,$E24&gt;=AU$6),IF($N24="CRÍTICA","C","P"),""))</f>
      </c>
      <c r="AV24" s="138">
        <f>IF(OR($D24="",$E24=""),"",IF(AND($D24&lt;=AV$6+6,$E24&gt;=AV$6),IF($N24="CRÍTICA","C","P"),""))</f>
      </c>
      <c r="AW24" s="138">
        <f>IF(OR($D24="",$E24=""),"",IF(AND($D24&lt;=AW$6+6,$E24&gt;=AW$6),IF($N24="CRÍTICA","C","P"),""))</f>
      </c>
      <c r="AX24" s="138">
        <f>IF(OR($D24="",$E24=""),"",IF(AND($D24&lt;=AX$6+6,$E24&gt;=AX$6),IF($N24="CRÍTICA","C","P"),""))</f>
      </c>
      <c r="AY24" s="138">
        <f>IF(OR($D24="",$E24=""),"",IF(AND($D24&lt;=AY$6+6,$E24&gt;=AY$6),IF($N24="CRÍTICA","C","P"),""))</f>
      </c>
      <c r="AZ24" s="138">
        <f>IF(OR($D24="",$E24=""),"",IF(AND($D24&lt;=AZ$6+6,$E24&gt;=AZ$6),IF($N24="CRÍTICA","C","P"),""))</f>
      </c>
      <c r="BA24" s="138">
        <f>IF(OR($D24="",$E24=""),"",IF(AND($D24&lt;=BA$6+6,$E24&gt;=BA$6),IF($N24="CRÍTICA","C","P"),""))</f>
      </c>
      <c r="BB24" s="138">
        <f>IF(OR($D24="",$E24=""),"",IF(AND($D24&lt;=BB$6+6,$E24&gt;=BB$6),IF($N24="CRÍTICA","C","P"),""))</f>
      </c>
      <c r="BC24" s="138">
        <f>IF(OR($D24="",$E24=""),"",IF(AND($D24&lt;=BC$6+6,$E24&gt;=BC$6),IF($N24="CRÍTICA","C","P"),""))</f>
      </c>
      <c r="BD24" s="138">
        <f>IF(OR($D24="",$E24=""),"",IF(AND($D24&lt;=BD$6+6,$E24&gt;=BD$6),IF($N24="CRÍTICA","C","P"),""))</f>
      </c>
      <c r="BE24" s="138">
        <f>IF(OR($D24="",$E24=""),"",IF(AND($D24&lt;=BE$6+6,$E24&gt;=BE$6),IF($N24="CRÍTICA","C","P"),""))</f>
      </c>
      <c r="BF24" s="138">
        <f>IF(OR($D24="",$E24=""),"",IF(AND($D24&lt;=BF$6+6,$E24&gt;=BF$6),IF($N24="CRÍTICA","C","P"),""))</f>
      </c>
      <c r="BG24" s="138">
        <f>IF(OR($D24="",$E24=""),"",IF(AND($D24&lt;=BG$6+6,$E24&gt;=BG$6),IF($N24="CRÍTICA","C","P"),""))</f>
      </c>
      <c r="BH24" s="138">
        <f>IF(OR($D24="",$E24=""),"",IF(AND($D24&lt;=BH$6+6,$E24&gt;=BH$6),IF($N24="CRÍTICA","C","P"),""))</f>
      </c>
      <c r="BI24" s="138">
        <f>IF(OR($D24="",$E24=""),"",IF(AND($D24&lt;=BI$6+6,$E24&gt;=BI$6),IF($N24="CRÍTICA","C","P"),""))</f>
      </c>
      <c r="BJ24" s="138">
        <f>IF(OR($D24="",$E24=""),"",IF(AND($D24&lt;=BJ$6+6,$E24&gt;=BJ$6),IF($N24="CRÍTICA","C","P"),""))</f>
      </c>
      <c r="BK24" s="138">
        <f>IF(OR($D24="",$E24=""),"",IF(AND($D24&lt;=BK$6+6,$E24&gt;=BK$6),IF($N24="CRÍTICA","C","P"),""))</f>
      </c>
      <c r="BL24" s="138">
        <f>IF(OR($D24="",$E24=""),"",IF(AND($D24&lt;=BL$6+6,$E24&gt;=BL$6),IF($N24="CRÍTICA","C","P"),""))</f>
      </c>
      <c r="BM24" s="138">
        <f>IF(OR($D24="",$E24=""),"",IF(AND($D24&lt;=BM$6+6,$E24&gt;=BM$6),IF($N24="CRÍTICA","C","P"),""))</f>
      </c>
      <c r="BN24" s="138">
        <f>IF(OR($D24="",$E24=""),"",IF(AND($D24&lt;=BN$6+6,$E24&gt;=BN$6),IF($N24="CRÍTICA","C","P"),""))</f>
      </c>
      <c r="BO24" s="138">
        <f>IF(OR($D24="",$E24=""),"",IF(AND($D24&lt;=BO$6+6,$E24&gt;=BO$6),IF($N24="CRÍTICA","C","P"),""))</f>
      </c>
      <c r="BP24" s="138">
        <f>IF(OR($D24="",$E24=""),"",IF(AND($D24&lt;=BP$6+6,$E24&gt;=BP$6),IF($N24="CRÍTICA","C","P"),""))</f>
      </c>
      <c r="BQ24" s="138">
        <f>IF(OR($D24="",$E24=""),"",IF(AND($D24&lt;=BQ$6+6,$E24&gt;=BQ$6),IF($N24="CRÍTICA","C","P"),""))</f>
      </c>
      <c r="BR24" s="138">
        <f>IF(OR($D24="",$E24=""),"",IF(AND($D24&lt;=BR$6+6,$E24&gt;=BR$6),IF($N24="CRÍTICA","C","P"),""))</f>
      </c>
      <c r="BT24" s="139" t="n">
        <v>46344</v>
      </c>
      <c r="BU24" s="139" t="n">
        <v>46358</v>
      </c>
      <c r="BV24" s="73" t="inlineStr">
        <is>
          <t>Motor</t>
        </is>
      </c>
      <c r="BW24" s="73" t="inlineStr">
        <is>
          <t>343M</t>
        </is>
      </c>
      <c r="BX24" s="127">
        <f>IF(E24="","",IF(COUNTIF($G25:$G$28,$A24)+COUNTIF($H25:$H$28,$A24)+COUNTIF($I25:$I$28,$A24)=0,_xlfn.MAXIFS($E$7:$E$27,$BW$7:$BW$27,$BW24),MIN(IF(COUNTIF($G25:$G$28,$A24)&gt;0,_xlfn.MINIFS($BY25:$BY$28,$G25:$G$28,$A24),99999999),IF(COUNTIF($H25:$H$28,$A24)&gt;0,_xlfn.MINIFS($BY25:$BY$28,$H25:$H$28,$A24),99999999),IF(COUNTIF($I25:$I$28,$A24)&gt;0,_xlfn.MINIFS($BY25:$BY$28,$I25:$I$28,$A24),99999999))-1))</f>
        <v>46525.0</v>
      </c>
      <c r="BY24" s="127">
        <f>IF(BX24="","",BX24-F24+1)</f>
        <v>46511.0</v>
      </c>
      <c r="BZ24" s="140">
        <f>IF(AND(D24&lt;&gt;"",D24&gt;DATA_GESTAO),D24+ROW()/1000000,"")</f>
        <v>46344.000024</v>
      </c>
      <c r="CA24" s="73">
        <f>SUMPRODUCT(($BW$7:$BW$27=$BW24)*($G$7:$I$27&lt;&gt;""))</f>
        <v>0</v>
      </c>
    </row>
    <row r="25">
      <c r="A25" s="81" t="inlineStr">
        <is>
          <t>343-M3</t>
        </is>
      </c>
      <c r="B25" s="126" t="n">
        <v>343</v>
      </c>
      <c r="C25" s="73" t="inlineStr">
        <is>
          <t>Plano do motor: F02 Civil: canteiro, caixas e interligações · CIVIL EQUIPE CIVIL TAF</t>
        </is>
      </c>
      <c r="D25" s="128">
        <f>IF(BT25="","",MAX(BT25,IF($G25="",0,_xlfn.MAXIFS($E$6:$E24,$A$6:$A24,$G25)+1),IF($H25="",0,_xlfn.MAXIFS($E$6:$E24,$A$6:$A24,$H25)+1),IF($I25="",0,_xlfn.MAXIFS($E$6:$E24,$A$6:$A24,$I25)+1)))</f>
        <v>46296.0</v>
      </c>
      <c r="E25" s="128">
        <f>IF(D25="","",D25+F25-1)</f>
        <v>46482.0</v>
      </c>
      <c r="F25" s="143">
        <f>IF(OR(BT25="",BU25=""),"",BU25-BT25+1)</f>
        <v>187</v>
      </c>
      <c r="G25" s="149" t="n"/>
      <c r="H25" s="149" t="n"/>
      <c r="I25" s="150" t="n"/>
      <c r="J25" s="152" t="n"/>
      <c r="K25" s="146" t="n">
        <v>294931.066585676</v>
      </c>
      <c r="L25" s="146" t="n">
        <v>177031.22</v>
      </c>
      <c r="M25" s="144">
        <f>IF(OR(BX25="",E25=""),"",BX25-E25)</f>
        <v>43</v>
      </c>
      <c r="N25" s="126" t="str">
        <f>IF(M25="","",IF(CA25=0,"sem rede",IF(M25&lt;=0,"CRÍTICA","")))</f>
        <v>sem rede</v>
      </c>
      <c r="O25" s="145">
        <f>IF(OR(J25="",K25=""),"",J25*K25)</f>
      </c>
      <c r="P25" s="73" t="str">
        <f>IF(OR(BT25="",BU25=""),"sem data",IF(OR(AND(G25&lt;&gt;"",COUNTIF($A$7:$A$27,G25)=0),AND(H25&lt;&gt;"",COUNTIF($A$7:$A$27,H25)=0),AND(I25&lt;&gt;"",COUNTIF($A$7:$A$27,I25)=0)),"predecessora inexistente",IF(OR(AND(G25&lt;&gt;"",COUNTIF($A$6:$A24,G25)=0),AND(H25&lt;&gt;"",COUNTIF($A$6:$A24,H25)=0),AND(I25&lt;&gt;"",COUNTIF($A$6:$A24,I25)=0)),"predecessora abaixo da tarefa","ok")))</f>
        <v>ok</v>
      </c>
      <c r="Q25" s="138">
        <f>IF(OR($D25="",$E25=""),"",IF(AND($D25&lt;=Q$6+6,$E25&gt;=Q$6),IF($N25="CRÍTICA","C","P"),""))</f>
      </c>
      <c r="R25" s="138">
        <f>IF(OR($D25="",$E25=""),"",IF(AND($D25&lt;=R$6+6,$E25&gt;=R$6),IF($N25="CRÍTICA","C","P"),""))</f>
      </c>
      <c r="S25" s="138">
        <f>IF(OR($D25="",$E25=""),"",IF(AND($D25&lt;=S$6+6,$E25&gt;=S$6),IF($N25="CRÍTICA","C","P"),""))</f>
      </c>
      <c r="T25" s="138">
        <f>IF(OR($D25="",$E25=""),"",IF(AND($D25&lt;=T$6+6,$E25&gt;=T$6),IF($N25="CRÍTICA","C","P"),""))</f>
      </c>
      <c r="U25" s="138" t="str">
        <f>IF(OR($D25="",$E25=""),"",IF(AND($D25&lt;=U$6+6,$E25&gt;=U$6),IF($N25="CRÍTICA","C","P"),""))</f>
        <v>P</v>
      </c>
      <c r="V25" s="138" t="str">
        <f>IF(OR($D25="",$E25=""),"",IF(AND($D25&lt;=V$6+6,$E25&gt;=V$6),IF($N25="CRÍTICA","C","P"),""))</f>
        <v>P</v>
      </c>
      <c r="W25" s="138" t="str">
        <f>IF(OR($D25="",$E25=""),"",IF(AND($D25&lt;=W$6+6,$E25&gt;=W$6),IF($N25="CRÍTICA","C","P"),""))</f>
        <v>P</v>
      </c>
      <c r="X25" s="138" t="str">
        <f>IF(OR($D25="",$E25=""),"",IF(AND($D25&lt;=X$6+6,$E25&gt;=X$6),IF($N25="CRÍTICA","C","P"),""))</f>
        <v>P</v>
      </c>
      <c r="Y25" s="138" t="str">
        <f>IF(OR($D25="",$E25=""),"",IF(AND($D25&lt;=Y$6+6,$E25&gt;=Y$6),IF($N25="CRÍTICA","C","P"),""))</f>
        <v>P</v>
      </c>
      <c r="Z25" s="138" t="str">
        <f>IF(OR($D25="",$E25=""),"",IF(AND($D25&lt;=Z$6+6,$E25&gt;=Z$6),IF($N25="CRÍTICA","C","P"),""))</f>
        <v>P</v>
      </c>
      <c r="AA25" s="138" t="str">
        <f>IF(OR($D25="",$E25=""),"",IF(AND($D25&lt;=AA$6+6,$E25&gt;=AA$6),IF($N25="CRÍTICA","C","P"),""))</f>
        <v>P</v>
      </c>
      <c r="AB25" s="138" t="str">
        <f>IF(OR($D25="",$E25=""),"",IF(AND($D25&lt;=AB$6+6,$E25&gt;=AB$6),IF($N25="CRÍTICA","C","P"),""))</f>
        <v>P</v>
      </c>
      <c r="AC25" s="138" t="str">
        <f>IF(OR($D25="",$E25=""),"",IF(AND($D25&lt;=AC$6+6,$E25&gt;=AC$6),IF($N25="CRÍTICA","C","P"),""))</f>
        <v>P</v>
      </c>
      <c r="AD25" s="138" t="str">
        <f>IF(OR($D25="",$E25=""),"",IF(AND($D25&lt;=AD$6+6,$E25&gt;=AD$6),IF($N25="CRÍTICA","C","P"),""))</f>
        <v>P</v>
      </c>
      <c r="AE25" s="138" t="str">
        <f>IF(OR($D25="",$E25=""),"",IF(AND($D25&lt;=AE$6+6,$E25&gt;=AE$6),IF($N25="CRÍTICA","C","P"),""))</f>
        <v>P</v>
      </c>
      <c r="AF25" s="138" t="str">
        <f>IF(OR($D25="",$E25=""),"",IF(AND($D25&lt;=AF$6+6,$E25&gt;=AF$6),IF($N25="CRÍTICA","C","P"),""))</f>
        <v>P</v>
      </c>
      <c r="AG25" s="138" t="str">
        <f>IF(OR($D25="",$E25=""),"",IF(AND($D25&lt;=AG$6+6,$E25&gt;=AG$6),IF($N25="CRÍTICA","C","P"),""))</f>
        <v>P</v>
      </c>
      <c r="AH25" s="138" t="str">
        <f>IF(OR($D25="",$E25=""),"",IF(AND($D25&lt;=AH$6+6,$E25&gt;=AH$6),IF($N25="CRÍTICA","C","P"),""))</f>
        <v>P</v>
      </c>
      <c r="AI25" s="138" t="str">
        <f>IF(OR($D25="",$E25=""),"",IF(AND($D25&lt;=AI$6+6,$E25&gt;=AI$6),IF($N25="CRÍTICA","C","P"),""))</f>
        <v>P</v>
      </c>
      <c r="AJ25" s="138" t="str">
        <f>IF(OR($D25="",$E25=""),"",IF(AND($D25&lt;=AJ$6+6,$E25&gt;=AJ$6),IF($N25="CRÍTICA","C","P"),""))</f>
        <v>P</v>
      </c>
      <c r="AK25" s="138" t="str">
        <f>IF(OR($D25="",$E25=""),"",IF(AND($D25&lt;=AK$6+6,$E25&gt;=AK$6),IF($N25="CRÍTICA","C","P"),""))</f>
        <v>P</v>
      </c>
      <c r="AL25" s="138" t="str">
        <f>IF(OR($D25="",$E25=""),"",IF(AND($D25&lt;=AL$6+6,$E25&gt;=AL$6),IF($N25="CRÍTICA","C","P"),""))</f>
        <v>P</v>
      </c>
      <c r="AM25" s="138" t="str">
        <f>IF(OR($D25="",$E25=""),"",IF(AND($D25&lt;=AM$6+6,$E25&gt;=AM$6),IF($N25="CRÍTICA","C","P"),""))</f>
        <v>P</v>
      </c>
      <c r="AN25" s="138" t="str">
        <f>IF(OR($D25="",$E25=""),"",IF(AND($D25&lt;=AN$6+6,$E25&gt;=AN$6),IF($N25="CRÍTICA","C","P"),""))</f>
        <v>P</v>
      </c>
      <c r="AO25" s="138" t="str">
        <f>IF(OR($D25="",$E25=""),"",IF(AND($D25&lt;=AO$6+6,$E25&gt;=AO$6),IF($N25="CRÍTICA","C","P"),""))</f>
        <v>P</v>
      </c>
      <c r="AP25" s="138" t="str">
        <f>IF(OR($D25="",$E25=""),"",IF(AND($D25&lt;=AP$6+6,$E25&gt;=AP$6),IF($N25="CRÍTICA","C","P"),""))</f>
        <v>P</v>
      </c>
      <c r="AQ25" s="138" t="str">
        <f>IF(OR($D25="",$E25=""),"",IF(AND($D25&lt;=AQ$6+6,$E25&gt;=AQ$6),IF($N25="CRÍTICA","C","P"),""))</f>
        <v>P</v>
      </c>
      <c r="AR25" s="138" t="str">
        <f>IF(OR($D25="",$E25=""),"",IF(AND($D25&lt;=AR$6+6,$E25&gt;=AR$6),IF($N25="CRÍTICA","C","P"),""))</f>
        <v>P</v>
      </c>
      <c r="AS25" s="138" t="str">
        <f>IF(OR($D25="",$E25=""),"",IF(AND($D25&lt;=AS$6+6,$E25&gt;=AS$6),IF($N25="CRÍTICA","C","P"),""))</f>
        <v>P</v>
      </c>
      <c r="AT25" s="138" t="str">
        <f>IF(OR($D25="",$E25=""),"",IF(AND($D25&lt;=AT$6+6,$E25&gt;=AT$6),IF($N25="CRÍTICA","C","P"),""))</f>
        <v>P</v>
      </c>
      <c r="AU25" s="138" t="str">
        <f>IF(OR($D25="",$E25=""),"",IF(AND($D25&lt;=AU$6+6,$E25&gt;=AU$6),IF($N25="CRÍTICA","C","P"),""))</f>
        <v>P</v>
      </c>
      <c r="AV25" s="138" t="str">
        <f>IF(OR($D25="",$E25=""),"",IF(AND($D25&lt;=AV$6+6,$E25&gt;=AV$6),IF($N25="CRÍTICA","C","P"),""))</f>
        <v>P</v>
      </c>
      <c r="AW25" s="138">
        <f>IF(OR($D25="",$E25=""),"",IF(AND($D25&lt;=AW$6+6,$E25&gt;=AW$6),IF($N25="CRÍTICA","C","P"),""))</f>
      </c>
      <c r="AX25" s="138">
        <f>IF(OR($D25="",$E25=""),"",IF(AND($D25&lt;=AX$6+6,$E25&gt;=AX$6),IF($N25="CRÍTICA","C","P"),""))</f>
      </c>
      <c r="AY25" s="138">
        <f>IF(OR($D25="",$E25=""),"",IF(AND($D25&lt;=AY$6+6,$E25&gt;=AY$6),IF($N25="CRÍTICA","C","P"),""))</f>
      </c>
      <c r="AZ25" s="138">
        <f>IF(OR($D25="",$E25=""),"",IF(AND($D25&lt;=AZ$6+6,$E25&gt;=AZ$6),IF($N25="CRÍTICA","C","P"),""))</f>
      </c>
      <c r="BA25" s="138">
        <f>IF(OR($D25="",$E25=""),"",IF(AND($D25&lt;=BA$6+6,$E25&gt;=BA$6),IF($N25="CRÍTICA","C","P"),""))</f>
      </c>
      <c r="BB25" s="138">
        <f>IF(OR($D25="",$E25=""),"",IF(AND($D25&lt;=BB$6+6,$E25&gt;=BB$6),IF($N25="CRÍTICA","C","P"),""))</f>
      </c>
      <c r="BC25" s="138">
        <f>IF(OR($D25="",$E25=""),"",IF(AND($D25&lt;=BC$6+6,$E25&gt;=BC$6),IF($N25="CRÍTICA","C","P"),""))</f>
      </c>
      <c r="BD25" s="138">
        <f>IF(OR($D25="",$E25=""),"",IF(AND($D25&lt;=BD$6+6,$E25&gt;=BD$6),IF($N25="CRÍTICA","C","P"),""))</f>
      </c>
      <c r="BE25" s="138">
        <f>IF(OR($D25="",$E25=""),"",IF(AND($D25&lt;=BE$6+6,$E25&gt;=BE$6),IF($N25="CRÍTICA","C","P"),""))</f>
      </c>
      <c r="BF25" s="138">
        <f>IF(OR($D25="",$E25=""),"",IF(AND($D25&lt;=BF$6+6,$E25&gt;=BF$6),IF($N25="CRÍTICA","C","P"),""))</f>
      </c>
      <c r="BG25" s="138">
        <f>IF(OR($D25="",$E25=""),"",IF(AND($D25&lt;=BG$6+6,$E25&gt;=BG$6),IF($N25="CRÍTICA","C","P"),""))</f>
      </c>
      <c r="BH25" s="138">
        <f>IF(OR($D25="",$E25=""),"",IF(AND($D25&lt;=BH$6+6,$E25&gt;=BH$6),IF($N25="CRÍTICA","C","P"),""))</f>
      </c>
      <c r="BI25" s="138">
        <f>IF(OR($D25="",$E25=""),"",IF(AND($D25&lt;=BI$6+6,$E25&gt;=BI$6),IF($N25="CRÍTICA","C","P"),""))</f>
      </c>
      <c r="BJ25" s="138">
        <f>IF(OR($D25="",$E25=""),"",IF(AND($D25&lt;=BJ$6+6,$E25&gt;=BJ$6),IF($N25="CRÍTICA","C","P"),""))</f>
      </c>
      <c r="BK25" s="138">
        <f>IF(OR($D25="",$E25=""),"",IF(AND($D25&lt;=BK$6+6,$E25&gt;=BK$6),IF($N25="CRÍTICA","C","P"),""))</f>
      </c>
      <c r="BL25" s="138">
        <f>IF(OR($D25="",$E25=""),"",IF(AND($D25&lt;=BL$6+6,$E25&gt;=BL$6),IF($N25="CRÍTICA","C","P"),""))</f>
      </c>
      <c r="BM25" s="138">
        <f>IF(OR($D25="",$E25=""),"",IF(AND($D25&lt;=BM$6+6,$E25&gt;=BM$6),IF($N25="CRÍTICA","C","P"),""))</f>
      </c>
      <c r="BN25" s="138">
        <f>IF(OR($D25="",$E25=""),"",IF(AND($D25&lt;=BN$6+6,$E25&gt;=BN$6),IF($N25="CRÍTICA","C","P"),""))</f>
      </c>
      <c r="BO25" s="138">
        <f>IF(OR($D25="",$E25=""),"",IF(AND($D25&lt;=BO$6+6,$E25&gt;=BO$6),IF($N25="CRÍTICA","C","P"),""))</f>
      </c>
      <c r="BP25" s="138">
        <f>IF(OR($D25="",$E25=""),"",IF(AND($D25&lt;=BP$6+6,$E25&gt;=BP$6),IF($N25="CRÍTICA","C","P"),""))</f>
      </c>
      <c r="BQ25" s="138">
        <f>IF(OR($D25="",$E25=""),"",IF(AND($D25&lt;=BQ$6+6,$E25&gt;=BQ$6),IF($N25="CRÍTICA","C","P"),""))</f>
      </c>
      <c r="BR25" s="138">
        <f>IF(OR($D25="",$E25=""),"",IF(AND($D25&lt;=BR$6+6,$E25&gt;=BR$6),IF($N25="CRÍTICA","C","P"),""))</f>
      </c>
      <c r="BT25" s="139" t="n">
        <v>46296</v>
      </c>
      <c r="BU25" s="139" t="n">
        <v>46482</v>
      </c>
      <c r="BV25" s="73" t="inlineStr">
        <is>
          <t>Motor</t>
        </is>
      </c>
      <c r="BW25" s="73" t="inlineStr">
        <is>
          <t>343M</t>
        </is>
      </c>
      <c r="BX25" s="127">
        <f>IF(E25="","",IF(COUNTIF($G26:$G$28,$A25)+COUNTIF($H26:$H$28,$A25)+COUNTIF($I26:$I$28,$A25)=0,_xlfn.MAXIFS($E$7:$E$27,$BW$7:$BW$27,$BW25),MIN(IF(COUNTIF($G26:$G$28,$A25)&gt;0,_xlfn.MINIFS($BY26:$BY$28,$G26:$G$28,$A25),99999999),IF(COUNTIF($H26:$H$28,$A25)&gt;0,_xlfn.MINIFS($BY26:$BY$28,$H26:$H$28,$A25),99999999),IF(COUNTIF($I26:$I$28,$A25)&gt;0,_xlfn.MINIFS($BY26:$BY$28,$I26:$I$28,$A25),99999999))-1))</f>
        <v>46525.0</v>
      </c>
      <c r="BY25" s="127">
        <f>IF(BX25="","",BX25-F25+1)</f>
        <v>46339.0</v>
      </c>
      <c r="BZ25" s="140">
        <f>IF(AND(D25&lt;&gt;"",D25&gt;DATA_GESTAO),D25+ROW()/1000000,"")</f>
      </c>
      <c r="CA25" s="73">
        <f>SUMPRODUCT(($BW$7:$BW$27=$BW25)*($G$7:$I$27&lt;&gt;""))</f>
        <v>0</v>
      </c>
    </row>
    <row r="26">
      <c r="A26" s="81" t="inlineStr">
        <is>
          <t>343-M4</t>
        </is>
      </c>
      <c r="B26" s="126" t="n">
        <v>343</v>
      </c>
      <c r="C26" s="73" t="inlineStr">
        <is>
          <t>Plano do motor: F03 Material da obra · MATERIAL VIABILIDADE TAF</t>
        </is>
      </c>
      <c r="D26" s="128">
        <f>IF(BT26="","",MAX(BT26,IF($G26="",0,_xlfn.MAXIFS($E$6:$E25,$A$6:$A25,$G26)+1),IF($H26="",0,_xlfn.MAXIFS($E$6:$E25,$A$6:$A25,$H26)+1),IF($I26="",0,_xlfn.MAXIFS($E$6:$E25,$A$6:$A25,$I26)+1)))</f>
        <v>46296.0</v>
      </c>
      <c r="E26" s="128">
        <f>IF(D26="","",D26+F26-1)</f>
        <v>46525.0</v>
      </c>
      <c r="F26" s="143">
        <f>IF(OR(BT26="",BU26=""),"",BU26-BT26+1)</f>
        <v>230</v>
      </c>
      <c r="G26" s="149" t="n"/>
      <c r="H26" s="149" t="n"/>
      <c r="I26" s="150" t="n"/>
      <c r="J26" s="152" t="n"/>
      <c r="K26" s="146" t="n">
        <v>3938808.154209548</v>
      </c>
      <c r="L26" s="146" t="n">
        <v>2364254.2</v>
      </c>
      <c r="M26" s="144">
        <f>IF(OR(BX26="",E26=""),"",BX26-E26)</f>
        <v>0</v>
      </c>
      <c r="N26" s="126" t="str">
        <f>IF(M26="","",IF(CA26=0,"sem rede",IF(M26&lt;=0,"CRÍTICA","")))</f>
        <v>sem rede</v>
      </c>
      <c r="O26" s="145">
        <f>IF(OR(J26="",K26=""),"",J26*K26)</f>
      </c>
      <c r="P26" s="73" t="str">
        <f>IF(OR(BT26="",BU26=""),"sem data",IF(OR(AND(G26&lt;&gt;"",COUNTIF($A$7:$A$27,G26)=0),AND(H26&lt;&gt;"",COUNTIF($A$7:$A$27,H26)=0),AND(I26&lt;&gt;"",COUNTIF($A$7:$A$27,I26)=0)),"predecessora inexistente",IF(OR(AND(G26&lt;&gt;"",COUNTIF($A$6:$A25,G26)=0),AND(H26&lt;&gt;"",COUNTIF($A$6:$A25,H26)=0),AND(I26&lt;&gt;"",COUNTIF($A$6:$A25,I26)=0)),"predecessora abaixo da tarefa","ok")))</f>
        <v>ok</v>
      </c>
      <c r="Q26" s="138">
        <f>IF(OR($D26="",$E26=""),"",IF(AND($D26&lt;=Q$6+6,$E26&gt;=Q$6),IF($N26="CRÍTICA","C","P"),""))</f>
      </c>
      <c r="R26" s="138">
        <f>IF(OR($D26="",$E26=""),"",IF(AND($D26&lt;=R$6+6,$E26&gt;=R$6),IF($N26="CRÍTICA","C","P"),""))</f>
      </c>
      <c r="S26" s="138">
        <f>IF(OR($D26="",$E26=""),"",IF(AND($D26&lt;=S$6+6,$E26&gt;=S$6),IF($N26="CRÍTICA","C","P"),""))</f>
      </c>
      <c r="T26" s="138">
        <f>IF(OR($D26="",$E26=""),"",IF(AND($D26&lt;=T$6+6,$E26&gt;=T$6),IF($N26="CRÍTICA","C","P"),""))</f>
      </c>
      <c r="U26" s="138" t="str">
        <f>IF(OR($D26="",$E26=""),"",IF(AND($D26&lt;=U$6+6,$E26&gt;=U$6),IF($N26="CRÍTICA","C","P"),""))</f>
        <v>P</v>
      </c>
      <c r="V26" s="138" t="str">
        <f>IF(OR($D26="",$E26=""),"",IF(AND($D26&lt;=V$6+6,$E26&gt;=V$6),IF($N26="CRÍTICA","C","P"),""))</f>
        <v>P</v>
      </c>
      <c r="W26" s="138" t="str">
        <f>IF(OR($D26="",$E26=""),"",IF(AND($D26&lt;=W$6+6,$E26&gt;=W$6),IF($N26="CRÍTICA","C","P"),""))</f>
        <v>P</v>
      </c>
      <c r="X26" s="138" t="str">
        <f>IF(OR($D26="",$E26=""),"",IF(AND($D26&lt;=X$6+6,$E26&gt;=X$6),IF($N26="CRÍTICA","C","P"),""))</f>
        <v>P</v>
      </c>
      <c r="Y26" s="138" t="str">
        <f>IF(OR($D26="",$E26=""),"",IF(AND($D26&lt;=Y$6+6,$E26&gt;=Y$6),IF($N26="CRÍTICA","C","P"),""))</f>
        <v>P</v>
      </c>
      <c r="Z26" s="138" t="str">
        <f>IF(OR($D26="",$E26=""),"",IF(AND($D26&lt;=Z$6+6,$E26&gt;=Z$6),IF($N26="CRÍTICA","C","P"),""))</f>
        <v>P</v>
      </c>
      <c r="AA26" s="138" t="str">
        <f>IF(OR($D26="",$E26=""),"",IF(AND($D26&lt;=AA$6+6,$E26&gt;=AA$6),IF($N26="CRÍTICA","C","P"),""))</f>
        <v>P</v>
      </c>
      <c r="AB26" s="138" t="str">
        <f>IF(OR($D26="",$E26=""),"",IF(AND($D26&lt;=AB$6+6,$E26&gt;=AB$6),IF($N26="CRÍTICA","C","P"),""))</f>
        <v>P</v>
      </c>
      <c r="AC26" s="138" t="str">
        <f>IF(OR($D26="",$E26=""),"",IF(AND($D26&lt;=AC$6+6,$E26&gt;=AC$6),IF($N26="CRÍTICA","C","P"),""))</f>
        <v>P</v>
      </c>
      <c r="AD26" s="138" t="str">
        <f>IF(OR($D26="",$E26=""),"",IF(AND($D26&lt;=AD$6+6,$E26&gt;=AD$6),IF($N26="CRÍTICA","C","P"),""))</f>
        <v>P</v>
      </c>
      <c r="AE26" s="138" t="str">
        <f>IF(OR($D26="",$E26=""),"",IF(AND($D26&lt;=AE$6+6,$E26&gt;=AE$6),IF($N26="CRÍTICA","C","P"),""))</f>
        <v>P</v>
      </c>
      <c r="AF26" s="138" t="str">
        <f>IF(OR($D26="",$E26=""),"",IF(AND($D26&lt;=AF$6+6,$E26&gt;=AF$6),IF($N26="CRÍTICA","C","P"),""))</f>
        <v>P</v>
      </c>
      <c r="AG26" s="138" t="str">
        <f>IF(OR($D26="",$E26=""),"",IF(AND($D26&lt;=AG$6+6,$E26&gt;=AG$6),IF($N26="CRÍTICA","C","P"),""))</f>
        <v>P</v>
      </c>
      <c r="AH26" s="138" t="str">
        <f>IF(OR($D26="",$E26=""),"",IF(AND($D26&lt;=AH$6+6,$E26&gt;=AH$6),IF($N26="CRÍTICA","C","P"),""))</f>
        <v>P</v>
      </c>
      <c r="AI26" s="138" t="str">
        <f>IF(OR($D26="",$E26=""),"",IF(AND($D26&lt;=AI$6+6,$E26&gt;=AI$6),IF($N26="CRÍTICA","C","P"),""))</f>
        <v>P</v>
      </c>
      <c r="AJ26" s="138" t="str">
        <f>IF(OR($D26="",$E26=""),"",IF(AND($D26&lt;=AJ$6+6,$E26&gt;=AJ$6),IF($N26="CRÍTICA","C","P"),""))</f>
        <v>P</v>
      </c>
      <c r="AK26" s="138" t="str">
        <f>IF(OR($D26="",$E26=""),"",IF(AND($D26&lt;=AK$6+6,$E26&gt;=AK$6),IF($N26="CRÍTICA","C","P"),""))</f>
        <v>P</v>
      </c>
      <c r="AL26" s="138" t="str">
        <f>IF(OR($D26="",$E26=""),"",IF(AND($D26&lt;=AL$6+6,$E26&gt;=AL$6),IF($N26="CRÍTICA","C","P"),""))</f>
        <v>P</v>
      </c>
      <c r="AM26" s="138" t="str">
        <f>IF(OR($D26="",$E26=""),"",IF(AND($D26&lt;=AM$6+6,$E26&gt;=AM$6),IF($N26="CRÍTICA","C","P"),""))</f>
        <v>P</v>
      </c>
      <c r="AN26" s="138" t="str">
        <f>IF(OR($D26="",$E26=""),"",IF(AND($D26&lt;=AN$6+6,$E26&gt;=AN$6),IF($N26="CRÍTICA","C","P"),""))</f>
        <v>P</v>
      </c>
      <c r="AO26" s="138" t="str">
        <f>IF(OR($D26="",$E26=""),"",IF(AND($D26&lt;=AO$6+6,$E26&gt;=AO$6),IF($N26="CRÍTICA","C","P"),""))</f>
        <v>P</v>
      </c>
      <c r="AP26" s="138" t="str">
        <f>IF(OR($D26="",$E26=""),"",IF(AND($D26&lt;=AP$6+6,$E26&gt;=AP$6),IF($N26="CRÍTICA","C","P"),""))</f>
        <v>P</v>
      </c>
      <c r="AQ26" s="138" t="str">
        <f>IF(OR($D26="",$E26=""),"",IF(AND($D26&lt;=AQ$6+6,$E26&gt;=AQ$6),IF($N26="CRÍTICA","C","P"),""))</f>
        <v>P</v>
      </c>
      <c r="AR26" s="138" t="str">
        <f>IF(OR($D26="",$E26=""),"",IF(AND($D26&lt;=AR$6+6,$E26&gt;=AR$6),IF($N26="CRÍTICA","C","P"),""))</f>
        <v>P</v>
      </c>
      <c r="AS26" s="138" t="str">
        <f>IF(OR($D26="",$E26=""),"",IF(AND($D26&lt;=AS$6+6,$E26&gt;=AS$6),IF($N26="CRÍTICA","C","P"),""))</f>
        <v>P</v>
      </c>
      <c r="AT26" s="138" t="str">
        <f>IF(OR($D26="",$E26=""),"",IF(AND($D26&lt;=AT$6+6,$E26&gt;=AT$6),IF($N26="CRÍTICA","C","P"),""))</f>
        <v>P</v>
      </c>
      <c r="AU26" s="138" t="str">
        <f>IF(OR($D26="",$E26=""),"",IF(AND($D26&lt;=AU$6+6,$E26&gt;=AU$6),IF($N26="CRÍTICA","C","P"),""))</f>
        <v>P</v>
      </c>
      <c r="AV26" s="138" t="str">
        <f>IF(OR($D26="",$E26=""),"",IF(AND($D26&lt;=AV$6+6,$E26&gt;=AV$6),IF($N26="CRÍTICA","C","P"),""))</f>
        <v>P</v>
      </c>
      <c r="AW26" s="138" t="str">
        <f>IF(OR($D26="",$E26=""),"",IF(AND($D26&lt;=AW$6+6,$E26&gt;=AW$6),IF($N26="CRÍTICA","C","P"),""))</f>
        <v>P</v>
      </c>
      <c r="AX26" s="138" t="str">
        <f>IF(OR($D26="",$E26=""),"",IF(AND($D26&lt;=AX$6+6,$E26&gt;=AX$6),IF($N26="CRÍTICA","C","P"),""))</f>
        <v>P</v>
      </c>
      <c r="AY26" s="138" t="str">
        <f>IF(OR($D26="",$E26=""),"",IF(AND($D26&lt;=AY$6+6,$E26&gt;=AY$6),IF($N26="CRÍTICA","C","P"),""))</f>
        <v>P</v>
      </c>
      <c r="AZ26" s="138" t="str">
        <f>IF(OR($D26="",$E26=""),"",IF(AND($D26&lt;=AZ$6+6,$E26&gt;=AZ$6),IF($N26="CRÍTICA","C","P"),""))</f>
        <v>P</v>
      </c>
      <c r="BA26" s="138" t="str">
        <f>IF(OR($D26="",$E26=""),"",IF(AND($D26&lt;=BA$6+6,$E26&gt;=BA$6),IF($N26="CRÍTICA","C","P"),""))</f>
        <v>P</v>
      </c>
      <c r="BB26" s="138" t="str">
        <f>IF(OR($D26="",$E26=""),"",IF(AND($D26&lt;=BB$6+6,$E26&gt;=BB$6),IF($N26="CRÍTICA","C","P"),""))</f>
        <v>P</v>
      </c>
      <c r="BC26" s="138">
        <f>IF(OR($D26="",$E26=""),"",IF(AND($D26&lt;=BC$6+6,$E26&gt;=BC$6),IF($N26="CRÍTICA","C","P"),""))</f>
      </c>
      <c r="BD26" s="138">
        <f>IF(OR($D26="",$E26=""),"",IF(AND($D26&lt;=BD$6+6,$E26&gt;=BD$6),IF($N26="CRÍTICA","C","P"),""))</f>
      </c>
      <c r="BE26" s="138">
        <f>IF(OR($D26="",$E26=""),"",IF(AND($D26&lt;=BE$6+6,$E26&gt;=BE$6),IF($N26="CRÍTICA","C","P"),""))</f>
      </c>
      <c r="BF26" s="138">
        <f>IF(OR($D26="",$E26=""),"",IF(AND($D26&lt;=BF$6+6,$E26&gt;=BF$6),IF($N26="CRÍTICA","C","P"),""))</f>
      </c>
      <c r="BG26" s="138">
        <f>IF(OR($D26="",$E26=""),"",IF(AND($D26&lt;=BG$6+6,$E26&gt;=BG$6),IF($N26="CRÍTICA","C","P"),""))</f>
      </c>
      <c r="BH26" s="138">
        <f>IF(OR($D26="",$E26=""),"",IF(AND($D26&lt;=BH$6+6,$E26&gt;=BH$6),IF($N26="CRÍTICA","C","P"),""))</f>
      </c>
      <c r="BI26" s="138">
        <f>IF(OR($D26="",$E26=""),"",IF(AND($D26&lt;=BI$6+6,$E26&gt;=BI$6),IF($N26="CRÍTICA","C","P"),""))</f>
      </c>
      <c r="BJ26" s="138">
        <f>IF(OR($D26="",$E26=""),"",IF(AND($D26&lt;=BJ$6+6,$E26&gt;=BJ$6),IF($N26="CRÍTICA","C","P"),""))</f>
      </c>
      <c r="BK26" s="138">
        <f>IF(OR($D26="",$E26=""),"",IF(AND($D26&lt;=BK$6+6,$E26&gt;=BK$6),IF($N26="CRÍTICA","C","P"),""))</f>
      </c>
      <c r="BL26" s="138">
        <f>IF(OR($D26="",$E26=""),"",IF(AND($D26&lt;=BL$6+6,$E26&gt;=BL$6),IF($N26="CRÍTICA","C","P"),""))</f>
      </c>
      <c r="BM26" s="138">
        <f>IF(OR($D26="",$E26=""),"",IF(AND($D26&lt;=BM$6+6,$E26&gt;=BM$6),IF($N26="CRÍTICA","C","P"),""))</f>
      </c>
      <c r="BN26" s="138">
        <f>IF(OR($D26="",$E26=""),"",IF(AND($D26&lt;=BN$6+6,$E26&gt;=BN$6),IF($N26="CRÍTICA","C","P"),""))</f>
      </c>
      <c r="BO26" s="138">
        <f>IF(OR($D26="",$E26=""),"",IF(AND($D26&lt;=BO$6+6,$E26&gt;=BO$6),IF($N26="CRÍTICA","C","P"),""))</f>
      </c>
      <c r="BP26" s="138">
        <f>IF(OR($D26="",$E26=""),"",IF(AND($D26&lt;=BP$6+6,$E26&gt;=BP$6),IF($N26="CRÍTICA","C","P"),""))</f>
      </c>
      <c r="BQ26" s="138">
        <f>IF(OR($D26="",$E26=""),"",IF(AND($D26&lt;=BQ$6+6,$E26&gt;=BQ$6),IF($N26="CRÍTICA","C","P"),""))</f>
      </c>
      <c r="BR26" s="138">
        <f>IF(OR($D26="",$E26=""),"",IF(AND($D26&lt;=BR$6+6,$E26&gt;=BR$6),IF($N26="CRÍTICA","C","P"),""))</f>
      </c>
      <c r="BT26" s="139" t="n">
        <v>46296</v>
      </c>
      <c r="BU26" s="139" t="n">
        <v>46525</v>
      </c>
      <c r="BV26" s="73" t="inlineStr">
        <is>
          <t>Motor</t>
        </is>
      </c>
      <c r="BW26" s="73" t="inlineStr">
        <is>
          <t>343M</t>
        </is>
      </c>
      <c r="BX26" s="127">
        <f>IF(E26="","",IF(COUNTIF($G27:$G$28,$A26)+COUNTIF($H27:$H$28,$A26)+COUNTIF($I27:$I$28,$A26)=0,_xlfn.MAXIFS($E$7:$E$27,$BW$7:$BW$27,$BW26),MIN(IF(COUNTIF($G27:$G$28,$A26)&gt;0,_xlfn.MINIFS($BY27:$BY$28,$G27:$G$28,$A26),99999999),IF(COUNTIF($H27:$H$28,$A26)&gt;0,_xlfn.MINIFS($BY27:$BY$28,$H27:$H$28,$A26),99999999),IF(COUNTIF($I27:$I$28,$A26)&gt;0,_xlfn.MINIFS($BY27:$BY$28,$I27:$I$28,$A26),99999999))-1))</f>
        <v>46525.0</v>
      </c>
      <c r="BY26" s="127">
        <f>IF(BX26="","",BX26-F26+1)</f>
        <v>46296.0</v>
      </c>
      <c r="BZ26" s="140">
        <f>IF(AND(D26&lt;&gt;"",D26&gt;DATA_GESTAO),D26+ROW()/1000000,"")</f>
      </c>
      <c r="CA26" s="73">
        <f>SUMPRODUCT(($BW$7:$BW$27=$BW26)*($G$7:$I$27&lt;&gt;""))</f>
        <v>0</v>
      </c>
    </row>
    <row r="27">
      <c r="A27" s="81" t="inlineStr">
        <is>
          <t>343-M5</t>
        </is>
      </c>
      <c r="B27" s="126" t="n">
        <v>343</v>
      </c>
      <c r="C27" s="73" t="inlineStr">
        <is>
          <t>Plano do motor: Administração do contrato (ADM)</t>
        </is>
      </c>
      <c r="D27" s="128">
        <f>IF(BT27="","",MAX(BT27,IF($G27="",0,_xlfn.MAXIFS($E$6:$E26,$A$6:$A26,$G27)+1),IF($H27="",0,_xlfn.MAXIFS($E$6:$E26,$A$6:$A26,$H27)+1),IF($I27="",0,_xlfn.MAXIFS($E$6:$E26,$A$6:$A26,$I27)+1)))</f>
        <v>46266.0</v>
      </c>
      <c r="E27" s="128">
        <f>IF(D27="","",D27+F27-1)</f>
        <v>46525.0</v>
      </c>
      <c r="F27" s="143">
        <f>IF(OR(BT27="",BU27=""),"",BU27-BT27+1)</f>
        <v>260</v>
      </c>
      <c r="G27" s="149" t="n"/>
      <c r="H27" s="149" t="n"/>
      <c r="I27" s="150" t="n"/>
      <c r="J27" s="152" t="n"/>
      <c r="K27" s="146" t="n"/>
      <c r="L27" s="146" t="n">
        <v>463923.0054</v>
      </c>
      <c r="M27" s="144">
        <f>IF(OR(BX27="",E27=""),"",BX27-E27)</f>
        <v>0</v>
      </c>
      <c r="N27" s="126" t="str">
        <f>IF(M27="","",IF(CA27=0,"sem rede",IF(M27&lt;=0,"CRÍTICA","")))</f>
        <v>sem rede</v>
      </c>
      <c r="O27" s="145">
        <f>IF(OR(J27="",K27=""),"",J27*K27)</f>
      </c>
      <c r="P27" s="73" t="str">
        <f>IF(OR(BT27="",BU27=""),"sem data",IF(OR(AND(G27&lt;&gt;"",COUNTIF($A$7:$A$27,G27)=0),AND(H27&lt;&gt;"",COUNTIF($A$7:$A$27,H27)=0),AND(I27&lt;&gt;"",COUNTIF($A$7:$A$27,I27)=0)),"predecessora inexistente",IF(OR(AND(G27&lt;&gt;"",COUNTIF($A$6:$A26,G27)=0),AND(H27&lt;&gt;"",COUNTIF($A$6:$A26,H27)=0),AND(I27&lt;&gt;"",COUNTIF($A$6:$A26,I27)=0)),"predecessora abaixo da tarefa","ok")))</f>
        <v>ok</v>
      </c>
      <c r="Q27" s="138" t="str">
        <f>IF(OR($D27="",$E27=""),"",IF(AND($D27&lt;=Q$6+6,$E27&gt;=Q$6),IF($N27="CRÍTICA","C","P"),""))</f>
        <v>P</v>
      </c>
      <c r="R27" s="138" t="str">
        <f>IF(OR($D27="",$E27=""),"",IF(AND($D27&lt;=R$6+6,$E27&gt;=R$6),IF($N27="CRÍTICA","C","P"),""))</f>
        <v>P</v>
      </c>
      <c r="S27" s="138" t="str">
        <f>IF(OR($D27="",$E27=""),"",IF(AND($D27&lt;=S$6+6,$E27&gt;=S$6),IF($N27="CRÍTICA","C","P"),""))</f>
        <v>P</v>
      </c>
      <c r="T27" s="138" t="str">
        <f>IF(OR($D27="",$E27=""),"",IF(AND($D27&lt;=T$6+6,$E27&gt;=T$6),IF($N27="CRÍTICA","C","P"),""))</f>
        <v>P</v>
      </c>
      <c r="U27" s="138" t="str">
        <f>IF(OR($D27="",$E27=""),"",IF(AND($D27&lt;=U$6+6,$E27&gt;=U$6),IF($N27="CRÍTICA","C","P"),""))</f>
        <v>P</v>
      </c>
      <c r="V27" s="138" t="str">
        <f>IF(OR($D27="",$E27=""),"",IF(AND($D27&lt;=V$6+6,$E27&gt;=V$6),IF($N27="CRÍTICA","C","P"),""))</f>
        <v>P</v>
      </c>
      <c r="W27" s="138" t="str">
        <f>IF(OR($D27="",$E27=""),"",IF(AND($D27&lt;=W$6+6,$E27&gt;=W$6),IF($N27="CRÍTICA","C","P"),""))</f>
        <v>P</v>
      </c>
      <c r="X27" s="138" t="str">
        <f>IF(OR($D27="",$E27=""),"",IF(AND($D27&lt;=X$6+6,$E27&gt;=X$6),IF($N27="CRÍTICA","C","P"),""))</f>
        <v>P</v>
      </c>
      <c r="Y27" s="138" t="str">
        <f>IF(OR($D27="",$E27=""),"",IF(AND($D27&lt;=Y$6+6,$E27&gt;=Y$6),IF($N27="CRÍTICA","C","P"),""))</f>
        <v>P</v>
      </c>
      <c r="Z27" s="138" t="str">
        <f>IF(OR($D27="",$E27=""),"",IF(AND($D27&lt;=Z$6+6,$E27&gt;=Z$6),IF($N27="CRÍTICA","C","P"),""))</f>
        <v>P</v>
      </c>
      <c r="AA27" s="138" t="str">
        <f>IF(OR($D27="",$E27=""),"",IF(AND($D27&lt;=AA$6+6,$E27&gt;=AA$6),IF($N27="CRÍTICA","C","P"),""))</f>
        <v>P</v>
      </c>
      <c r="AB27" s="138" t="str">
        <f>IF(OR($D27="",$E27=""),"",IF(AND($D27&lt;=AB$6+6,$E27&gt;=AB$6),IF($N27="CRÍTICA","C","P"),""))</f>
        <v>P</v>
      </c>
      <c r="AC27" s="138" t="str">
        <f>IF(OR($D27="",$E27=""),"",IF(AND($D27&lt;=AC$6+6,$E27&gt;=AC$6),IF($N27="CRÍTICA","C","P"),""))</f>
        <v>P</v>
      </c>
      <c r="AD27" s="138" t="str">
        <f>IF(OR($D27="",$E27=""),"",IF(AND($D27&lt;=AD$6+6,$E27&gt;=AD$6),IF($N27="CRÍTICA","C","P"),""))</f>
        <v>P</v>
      </c>
      <c r="AE27" s="138" t="str">
        <f>IF(OR($D27="",$E27=""),"",IF(AND($D27&lt;=AE$6+6,$E27&gt;=AE$6),IF($N27="CRÍTICA","C","P"),""))</f>
        <v>P</v>
      </c>
      <c r="AF27" s="138" t="str">
        <f>IF(OR($D27="",$E27=""),"",IF(AND($D27&lt;=AF$6+6,$E27&gt;=AF$6),IF($N27="CRÍTICA","C","P"),""))</f>
        <v>P</v>
      </c>
      <c r="AG27" s="138" t="str">
        <f>IF(OR($D27="",$E27=""),"",IF(AND($D27&lt;=AG$6+6,$E27&gt;=AG$6),IF($N27="CRÍTICA","C","P"),""))</f>
        <v>P</v>
      </c>
      <c r="AH27" s="138" t="str">
        <f>IF(OR($D27="",$E27=""),"",IF(AND($D27&lt;=AH$6+6,$E27&gt;=AH$6),IF($N27="CRÍTICA","C","P"),""))</f>
        <v>P</v>
      </c>
      <c r="AI27" s="138" t="str">
        <f>IF(OR($D27="",$E27=""),"",IF(AND($D27&lt;=AI$6+6,$E27&gt;=AI$6),IF($N27="CRÍTICA","C","P"),""))</f>
        <v>P</v>
      </c>
      <c r="AJ27" s="138" t="str">
        <f>IF(OR($D27="",$E27=""),"",IF(AND($D27&lt;=AJ$6+6,$E27&gt;=AJ$6),IF($N27="CRÍTICA","C","P"),""))</f>
        <v>P</v>
      </c>
      <c r="AK27" s="138" t="str">
        <f>IF(OR($D27="",$E27=""),"",IF(AND($D27&lt;=AK$6+6,$E27&gt;=AK$6),IF($N27="CRÍTICA","C","P"),""))</f>
        <v>P</v>
      </c>
      <c r="AL27" s="138" t="str">
        <f>IF(OR($D27="",$E27=""),"",IF(AND($D27&lt;=AL$6+6,$E27&gt;=AL$6),IF($N27="CRÍTICA","C","P"),""))</f>
        <v>P</v>
      </c>
      <c r="AM27" s="138" t="str">
        <f>IF(OR($D27="",$E27=""),"",IF(AND($D27&lt;=AM$6+6,$E27&gt;=AM$6),IF($N27="CRÍTICA","C","P"),""))</f>
        <v>P</v>
      </c>
      <c r="AN27" s="138" t="str">
        <f>IF(OR($D27="",$E27=""),"",IF(AND($D27&lt;=AN$6+6,$E27&gt;=AN$6),IF($N27="CRÍTICA","C","P"),""))</f>
        <v>P</v>
      </c>
      <c r="AO27" s="138" t="str">
        <f>IF(OR($D27="",$E27=""),"",IF(AND($D27&lt;=AO$6+6,$E27&gt;=AO$6),IF($N27="CRÍTICA","C","P"),""))</f>
        <v>P</v>
      </c>
      <c r="AP27" s="138" t="str">
        <f>IF(OR($D27="",$E27=""),"",IF(AND($D27&lt;=AP$6+6,$E27&gt;=AP$6),IF($N27="CRÍTICA","C","P"),""))</f>
        <v>P</v>
      </c>
      <c r="AQ27" s="138" t="str">
        <f>IF(OR($D27="",$E27=""),"",IF(AND($D27&lt;=AQ$6+6,$E27&gt;=AQ$6),IF($N27="CRÍTICA","C","P"),""))</f>
        <v>P</v>
      </c>
      <c r="AR27" s="138" t="str">
        <f>IF(OR($D27="",$E27=""),"",IF(AND($D27&lt;=AR$6+6,$E27&gt;=AR$6),IF($N27="CRÍTICA","C","P"),""))</f>
        <v>P</v>
      </c>
      <c r="AS27" s="138" t="str">
        <f>IF(OR($D27="",$E27=""),"",IF(AND($D27&lt;=AS$6+6,$E27&gt;=AS$6),IF($N27="CRÍTICA","C","P"),""))</f>
        <v>P</v>
      </c>
      <c r="AT27" s="138" t="str">
        <f>IF(OR($D27="",$E27=""),"",IF(AND($D27&lt;=AT$6+6,$E27&gt;=AT$6),IF($N27="CRÍTICA","C","P"),""))</f>
        <v>P</v>
      </c>
      <c r="AU27" s="138" t="str">
        <f>IF(OR($D27="",$E27=""),"",IF(AND($D27&lt;=AU$6+6,$E27&gt;=AU$6),IF($N27="CRÍTICA","C","P"),""))</f>
        <v>P</v>
      </c>
      <c r="AV27" s="138" t="str">
        <f>IF(OR($D27="",$E27=""),"",IF(AND($D27&lt;=AV$6+6,$E27&gt;=AV$6),IF($N27="CRÍTICA","C","P"),""))</f>
        <v>P</v>
      </c>
      <c r="AW27" s="138" t="str">
        <f>IF(OR($D27="",$E27=""),"",IF(AND($D27&lt;=AW$6+6,$E27&gt;=AW$6),IF($N27="CRÍTICA","C","P"),""))</f>
        <v>P</v>
      </c>
      <c r="AX27" s="138" t="str">
        <f>IF(OR($D27="",$E27=""),"",IF(AND($D27&lt;=AX$6+6,$E27&gt;=AX$6),IF($N27="CRÍTICA","C","P"),""))</f>
        <v>P</v>
      </c>
      <c r="AY27" s="138" t="str">
        <f>IF(OR($D27="",$E27=""),"",IF(AND($D27&lt;=AY$6+6,$E27&gt;=AY$6),IF($N27="CRÍTICA","C","P"),""))</f>
        <v>P</v>
      </c>
      <c r="AZ27" s="138" t="str">
        <f>IF(OR($D27="",$E27=""),"",IF(AND($D27&lt;=AZ$6+6,$E27&gt;=AZ$6),IF($N27="CRÍTICA","C","P"),""))</f>
        <v>P</v>
      </c>
      <c r="BA27" s="138" t="str">
        <f>IF(OR($D27="",$E27=""),"",IF(AND($D27&lt;=BA$6+6,$E27&gt;=BA$6),IF($N27="CRÍTICA","C","P"),""))</f>
        <v>P</v>
      </c>
      <c r="BB27" s="138" t="str">
        <f>IF(OR($D27="",$E27=""),"",IF(AND($D27&lt;=BB$6+6,$E27&gt;=BB$6),IF($N27="CRÍTICA","C","P"),""))</f>
        <v>P</v>
      </c>
      <c r="BC27" s="138">
        <f>IF(OR($D27="",$E27=""),"",IF(AND($D27&lt;=BC$6+6,$E27&gt;=BC$6),IF($N27="CRÍTICA","C","P"),""))</f>
      </c>
      <c r="BD27" s="138">
        <f>IF(OR($D27="",$E27=""),"",IF(AND($D27&lt;=BD$6+6,$E27&gt;=BD$6),IF($N27="CRÍTICA","C","P"),""))</f>
      </c>
      <c r="BE27" s="138">
        <f>IF(OR($D27="",$E27=""),"",IF(AND($D27&lt;=BE$6+6,$E27&gt;=BE$6),IF($N27="CRÍTICA","C","P"),""))</f>
      </c>
      <c r="BF27" s="138">
        <f>IF(OR($D27="",$E27=""),"",IF(AND($D27&lt;=BF$6+6,$E27&gt;=BF$6),IF($N27="CRÍTICA","C","P"),""))</f>
      </c>
      <c r="BG27" s="138">
        <f>IF(OR($D27="",$E27=""),"",IF(AND($D27&lt;=BG$6+6,$E27&gt;=BG$6),IF($N27="CRÍTICA","C","P"),""))</f>
      </c>
      <c r="BH27" s="138">
        <f>IF(OR($D27="",$E27=""),"",IF(AND($D27&lt;=BH$6+6,$E27&gt;=BH$6),IF($N27="CRÍTICA","C","P"),""))</f>
      </c>
      <c r="BI27" s="138">
        <f>IF(OR($D27="",$E27=""),"",IF(AND($D27&lt;=BI$6+6,$E27&gt;=BI$6),IF($N27="CRÍTICA","C","P"),""))</f>
      </c>
      <c r="BJ27" s="138">
        <f>IF(OR($D27="",$E27=""),"",IF(AND($D27&lt;=BJ$6+6,$E27&gt;=BJ$6),IF($N27="CRÍTICA","C","P"),""))</f>
      </c>
      <c r="BK27" s="138">
        <f>IF(OR($D27="",$E27=""),"",IF(AND($D27&lt;=BK$6+6,$E27&gt;=BK$6),IF($N27="CRÍTICA","C","P"),""))</f>
      </c>
      <c r="BL27" s="138">
        <f>IF(OR($D27="",$E27=""),"",IF(AND($D27&lt;=BL$6+6,$E27&gt;=BL$6),IF($N27="CRÍTICA","C","P"),""))</f>
      </c>
      <c r="BM27" s="138">
        <f>IF(OR($D27="",$E27=""),"",IF(AND($D27&lt;=BM$6+6,$E27&gt;=BM$6),IF($N27="CRÍTICA","C","P"),""))</f>
      </c>
      <c r="BN27" s="138">
        <f>IF(OR($D27="",$E27=""),"",IF(AND($D27&lt;=BN$6+6,$E27&gt;=BN$6),IF($N27="CRÍTICA","C","P"),""))</f>
      </c>
      <c r="BO27" s="138">
        <f>IF(OR($D27="",$E27=""),"",IF(AND($D27&lt;=BO$6+6,$E27&gt;=BO$6),IF($N27="CRÍTICA","C","P"),""))</f>
      </c>
      <c r="BP27" s="138">
        <f>IF(OR($D27="",$E27=""),"",IF(AND($D27&lt;=BP$6+6,$E27&gt;=BP$6),IF($N27="CRÍTICA","C","P"),""))</f>
      </c>
      <c r="BQ27" s="138">
        <f>IF(OR($D27="",$E27=""),"",IF(AND($D27&lt;=BQ$6+6,$E27&gt;=BQ$6),IF($N27="CRÍTICA","C","P"),""))</f>
      </c>
      <c r="BR27" s="138">
        <f>IF(OR($D27="",$E27=""),"",IF(AND($D27&lt;=BR$6+6,$E27&gt;=BR$6),IF($N27="CRÍTICA","C","P"),""))</f>
      </c>
      <c r="BT27" s="139" t="n">
        <v>46266</v>
      </c>
      <c r="BU27" s="139" t="n">
        <v>46525</v>
      </c>
      <c r="BV27" s="73" t="inlineStr">
        <is>
          <t>Motor</t>
        </is>
      </c>
      <c r="BW27" s="73" t="inlineStr">
        <is>
          <t>343M</t>
        </is>
      </c>
      <c r="BX27" s="127">
        <f>IF(E27="","",IF(COUNTIF($G28:$G$28,$A27)+COUNTIF($H28:$H$28,$A27)+COUNTIF($I28:$I$28,$A27)=0,_xlfn.MAXIFS($E$7:$E$27,$BW$7:$BW$27,$BW27),MIN(IF(COUNTIF($G28:$G$28,$A27)&gt;0,_xlfn.MINIFS($BY28:$BY$28,$G28:$G$28,$A27),99999999),IF(COUNTIF($H28:$H$28,$A27)&gt;0,_xlfn.MINIFS($BY28:$BY$28,$H28:$H$28,$A27),99999999),IF(COUNTIF($I28:$I$28,$A27)&gt;0,_xlfn.MINIFS($BY28:$BY$28,$I28:$I$28,$A27),99999999))-1))</f>
        <v>46525.0</v>
      </c>
      <c r="BY27" s="127">
        <f>IF(BX27="","",BX27-F27+1)</f>
        <v>46266.0</v>
      </c>
      <c r="BZ27" s="140">
        <f>IF(AND(D27&lt;&gt;"",D27&gt;DATA_GESTAO),D27+ROW()/1000000,"")</f>
      </c>
      <c r="CA27" s="73">
        <f>SUMPRODUCT(($BW$7:$BW$27=$BW27)*($G$7:$I$27&lt;&gt;""))</f>
        <v>0</v>
      </c>
    </row>
    <row r="28"/>
    <row r="29">
      <c r="A29" s="167" t="inlineStr">
        <is>
          <t>Barras: azul = planejado; vermelho = etapa crítica (folga 0 e rede com predecessoras); ▼ vermelho = data de gestão (corte da 02. PARÂMETROS); ▲ azul = hoje. Digitou predecessora? Início = o maior entre a data da fonte e o fim da predecessora + 1.</t>
        </is>
      </c>
    </row>
    <row r="30">
      <c r="A30" s="167" t="inlineStr">
        <is>
          <t>Valor da 342 = eventograma Anexo VII distribuído pelos dias de execução de cada evento no plano REV13; a medição de cada BM (UN só na conclusão) está na 04, linha 6. Valor da 343 = cronograma CAESB; o plano do motor (linhas 343-M) segue a execução, porque a 343 é medida por preço unitário. Custo planejado por etapa: a fonte não traz (só por mês, na grade abaixo), então fica 'pendente'.</t>
        </is>
      </c>
    </row>
    <row r="31">
      <c r="A31" s="80" t="inlineStr">
        <is>
          <t>VALOR PLANEJADO POR ETAPA E POR MÊS (R$, cronograma de cada obra). É daqui que saem as datas de início e fim.</t>
        </is>
      </c>
      <c r="B31" s="80" t="n"/>
      <c r="C31" s="80" t="n"/>
      <c r="D31" s="80" t="n"/>
      <c r="E31" s="80" t="n"/>
      <c r="F31" s="80" t="n"/>
      <c r="G31" s="80" t="n"/>
      <c r="H31" s="80" t="n"/>
      <c r="I31" s="80" t="n"/>
      <c r="J31" s="80" t="n"/>
      <c r="K31" s="80" t="n"/>
      <c r="L31" s="80" t="n"/>
      <c r="M31" s="80" t="n"/>
      <c r="N31" s="80" t="n"/>
      <c r="O31" s="80" t="n"/>
      <c r="P31" s="80" t="n"/>
    </row>
    <row r="32">
      <c r="A32" s="88" t="inlineStr">
        <is>
          <t>ID</t>
        </is>
      </c>
      <c r="B32" s="88" t="inlineStr">
        <is>
          <t>Obra</t>
        </is>
      </c>
      <c r="C32" s="88" t="inlineStr">
        <is>
          <t>Etapa</t>
        </is>
      </c>
      <c r="D32" s="89" t="n">
        <v>46266</v>
      </c>
      <c r="E32" s="89">
        <f>EDATE(D32,1)</f>
        <v>46296.0</v>
      </c>
      <c r="F32" s="89">
        <f>EDATE(E32,1)</f>
        <v>46327.0</v>
      </c>
      <c r="G32" s="89">
        <f>EDATE(F32,1)</f>
        <v>46357.0</v>
      </c>
      <c r="H32" s="89">
        <f>EDATE(G32,1)</f>
        <v>46388.0</v>
      </c>
      <c r="I32" s="89">
        <f>EDATE(H32,1)</f>
        <v>46419.0</v>
      </c>
      <c r="J32" s="89">
        <f>EDATE(I32,1)</f>
        <v>46447.0</v>
      </c>
      <c r="K32" s="89">
        <f>EDATE(J32,1)</f>
        <v>46478.0</v>
      </c>
      <c r="L32" s="89">
        <f>EDATE(K32,1)</f>
        <v>46508.0</v>
      </c>
      <c r="M32" s="89">
        <f>EDATE(L32,1)</f>
        <v>46539.0</v>
      </c>
      <c r="N32" s="89">
        <f>EDATE(M32,1)</f>
        <v>46569.0</v>
      </c>
      <c r="O32" s="89">
        <f>EDATE(N32,1)</f>
        <v>46600.0</v>
      </c>
      <c r="P32" s="88" t="inlineStr">
        <is>
          <t>Total</t>
        </is>
      </c>
    </row>
    <row r="33">
      <c r="A33" s="81" t="inlineStr">
        <is>
          <t>342-01</t>
        </is>
      </c>
      <c r="B33" s="126" t="n">
        <v>342</v>
      </c>
      <c r="C33" s="73" t="inlineStr">
        <is>
          <t>CANTEIRO DE OBRAS</t>
        </is>
      </c>
      <c r="D33" s="214">
        <f>SUMPRODUCT(($D$74:$D$103=$A33)*$F$74:$F$103*(((($H$74:$H$103&lt;EOMONTH(D$32,0))*$H$74:$H$103+($H$74:$H$103&gt;=EOMONTH(D$32,0))*EOMONTH(D$32,0))-(($G$74:$G$103&gt;D$32)*$G$74:$G$103+($G$74:$G$103&lt;=D$32)*D$32)+1)&gt;0)*((($H$74:$H$103&lt;EOMONTH(D$32,0))*$H$74:$H$103+($H$74:$H$103&gt;=EOMONTH(D$32,0))*EOMONTH(D$32,0))-(($G$74:$G$103&gt;D$32)*$G$74:$G$103+($G$74:$G$103&lt;=D$32)*D$32)+1)/($H$74:$H$103-$G$74:$G$103+1))</f>
        <v>0</v>
      </c>
      <c r="E33" s="214">
        <f>SUMPRODUCT(($D$74:$D$103=$A33)*$F$74:$F$103*(((($H$74:$H$103&lt;EOMONTH(E$32,0))*$H$74:$H$103+($H$74:$H$103&gt;=EOMONTH(E$32,0))*EOMONTH(E$32,0))-(($G$74:$G$103&gt;E$32)*$G$74:$G$103+($G$74:$G$103&lt;=E$32)*E$32)+1)&gt;0)*((($H$74:$H$103&lt;EOMONTH(E$32,0))*$H$74:$H$103+($H$74:$H$103&gt;=EOMONTH(E$32,0))*EOMONTH(E$32,0))-(($G$74:$G$103&gt;E$32)*$G$74:$G$103+($G$74:$G$103&lt;=E$32)*E$32)+1)/($H$74:$H$103-$G$74:$G$103+1))</f>
        <v>5467.77319587629</v>
      </c>
      <c r="F33" s="214">
        <f>SUMPRODUCT(($D$74:$D$103=$A33)*$F$74:$F$103*(((($H$74:$H$103&lt;EOMONTH(F$32,0))*$H$74:$H$103+($H$74:$H$103&gt;=EOMONTH(F$32,0))*EOMONTH(F$32,0))-(($G$74:$G$103&gt;F$32)*$G$74:$G$103+($G$74:$G$103&lt;=F$32)*F$32)+1)&gt;0)*((($H$74:$H$103&lt;EOMONTH(F$32,0))*$H$74:$H$103+($H$74:$H$103&gt;=EOMONTH(F$32,0))*EOMONTH(F$32,0))-(($G$74:$G$103&gt;F$32)*$G$74:$G$103+($G$74:$G$103&lt;=F$32)*F$32)+1)/($H$74:$H$103-$G$74:$G$103+1))</f>
        <v>12617.9381443299</v>
      </c>
      <c r="G33" s="214">
        <f>SUMPRODUCT(($D$74:$D$103=$A33)*$F$74:$F$103*(((($H$74:$H$103&lt;EOMONTH(G$32,0))*$H$74:$H$103+($H$74:$H$103&gt;=EOMONTH(G$32,0))*EOMONTH(G$32,0))-(($G$74:$G$103&gt;G$32)*$G$74:$G$103+($G$74:$G$103&lt;=G$32)*G$32)+1)&gt;0)*((($H$74:$H$103&lt;EOMONTH(G$32,0))*$H$74:$H$103+($H$74:$H$103&gt;=EOMONTH(G$32,0))*EOMONTH(G$32,0))-(($G$74:$G$103&gt;G$32)*$G$74:$G$103+($G$74:$G$103&lt;=G$32)*G$32)+1)/($H$74:$H$103-$G$74:$G$103+1))</f>
        <v>13038.5360824742</v>
      </c>
      <c r="H33" s="214">
        <f>SUMPRODUCT(($D$74:$D$103=$A33)*$F$74:$F$103*(((($H$74:$H$103&lt;EOMONTH(H$32,0))*$H$74:$H$103+($H$74:$H$103&gt;=EOMONTH(H$32,0))*EOMONTH(H$32,0))-(($G$74:$G$103&gt;H$32)*$G$74:$G$103+($G$74:$G$103&lt;=H$32)*H$32)+1)&gt;0)*((($H$74:$H$103&lt;EOMONTH(H$32,0))*$H$74:$H$103+($H$74:$H$103&gt;=EOMONTH(H$32,0))*EOMONTH(H$32,0))-(($G$74:$G$103&gt;H$32)*$G$74:$G$103+($G$74:$G$103&lt;=H$32)*H$32)+1)/($H$74:$H$103-$G$74:$G$103+1))</f>
        <v>13038.5360824742</v>
      </c>
      <c r="I33" s="214">
        <f>SUMPRODUCT(($D$74:$D$103=$A33)*$F$74:$F$103*(((($H$74:$H$103&lt;EOMONTH(I$32,0))*$H$74:$H$103+($H$74:$H$103&gt;=EOMONTH(I$32,0))*EOMONTH(I$32,0))-(($G$74:$G$103&gt;I$32)*$G$74:$G$103+($G$74:$G$103&lt;=I$32)*I$32)+1)&gt;0)*((($H$74:$H$103&lt;EOMONTH(I$32,0))*$H$74:$H$103+($H$74:$H$103&gt;=EOMONTH(I$32,0))*EOMONTH(I$32,0))-(($G$74:$G$103&gt;I$32)*$G$74:$G$103+($G$74:$G$103&lt;=I$32)*I$32)+1)/($H$74:$H$103-$G$74:$G$103+1))</f>
        <v>11776.7422680412</v>
      </c>
      <c r="J33" s="214">
        <f>SUMPRODUCT(($D$74:$D$103=$A33)*$F$74:$F$103*(((($H$74:$H$103&lt;EOMONTH(J$32,0))*$H$74:$H$103+($H$74:$H$103&gt;=EOMONTH(J$32,0))*EOMONTH(J$32,0))-(($G$74:$G$103&gt;J$32)*$G$74:$G$103+($G$74:$G$103&lt;=J$32)*J$32)+1)&gt;0)*((($H$74:$H$103&lt;EOMONTH(J$32,0))*$H$74:$H$103+($H$74:$H$103&gt;=EOMONTH(J$32,0))*EOMONTH(J$32,0))-(($G$74:$G$103&gt;J$32)*$G$74:$G$103+($G$74:$G$103&lt;=J$32)*J$32)+1)/($H$74:$H$103-$G$74:$G$103+1))</f>
        <v>13038.5360824742</v>
      </c>
      <c r="K33" s="214">
        <f>SUMPRODUCT(($D$74:$D$103=$A33)*$F$74:$F$103*(((($H$74:$H$103&lt;EOMONTH(K$32,0))*$H$74:$H$103+($H$74:$H$103&gt;=EOMONTH(K$32,0))*EOMONTH(K$32,0))-(($G$74:$G$103&gt;K$32)*$G$74:$G$103+($G$74:$G$103&lt;=K$32)*K$32)+1)&gt;0)*((($H$74:$H$103&lt;EOMONTH(K$32,0))*$H$74:$H$103+($H$74:$H$103&gt;=EOMONTH(K$32,0))*EOMONTH(K$32,0))-(($G$74:$G$103&gt;K$32)*$G$74:$G$103+($G$74:$G$103&lt;=K$32)*K$32)+1)/($H$74:$H$103-$G$74:$G$103+1))</f>
        <v>12617.9381443299</v>
      </c>
      <c r="L33" s="214">
        <f>SUMPRODUCT(($D$74:$D$103=$A33)*$F$74:$F$103*(((($H$74:$H$103&lt;EOMONTH(L$32,0))*$H$74:$H$103+($H$74:$H$103&gt;=EOMONTH(L$32,0))*EOMONTH(L$32,0))-(($G$74:$G$103&gt;L$32)*$G$74:$G$103+($G$74:$G$103&lt;=L$32)*L$32)+1)&gt;0)*((($H$74:$H$103&lt;EOMONTH(L$32,0))*$H$74:$H$103+($H$74:$H$103&gt;=EOMONTH(L$32,0))*EOMONTH(L$32,0))-(($G$74:$G$103&gt;L$32)*$G$74:$G$103+($G$74:$G$103&lt;=L$32)*L$32)+1)/($H$74:$H$103-$G$74:$G$103+1))</f>
        <v>13038.5360824742</v>
      </c>
      <c r="M33" s="214">
        <f>SUMPRODUCT(($D$74:$D$103=$A33)*$F$74:$F$103*(((($H$74:$H$103&lt;EOMONTH(M$32,0))*$H$74:$H$103+($H$74:$H$103&gt;=EOMONTH(M$32,0))*EOMONTH(M$32,0))-(($G$74:$G$103&gt;M$32)*$G$74:$G$103+($G$74:$G$103&lt;=M$32)*M$32)+1)&gt;0)*((($H$74:$H$103&lt;EOMONTH(M$32,0))*$H$74:$H$103+($H$74:$H$103&gt;=EOMONTH(M$32,0))*EOMONTH(M$32,0))-(($G$74:$G$103&gt;M$32)*$G$74:$G$103+($G$74:$G$103&lt;=M$32)*M$32)+1)/($H$74:$H$103-$G$74:$G$103+1))</f>
        <v>12617.9381443299</v>
      </c>
      <c r="N33" s="214">
        <f>SUMPRODUCT(($D$74:$D$103=$A33)*$F$74:$F$103*(((($H$74:$H$103&lt;EOMONTH(N$32,0))*$H$74:$H$103+($H$74:$H$103&gt;=EOMONTH(N$32,0))*EOMONTH(N$32,0))-(($G$74:$G$103&gt;N$32)*$G$74:$G$103+($G$74:$G$103&lt;=N$32)*N$32)+1)&gt;0)*((($H$74:$H$103&lt;EOMONTH(N$32,0))*$H$74:$H$103+($H$74:$H$103&gt;=EOMONTH(N$32,0))*EOMONTH(N$32,0))-(($G$74:$G$103&gt;N$32)*$G$74:$G$103+($G$74:$G$103&lt;=N$32)*N$32)+1)/($H$74:$H$103-$G$74:$G$103+1))</f>
        <v>13038.5360824742</v>
      </c>
      <c r="O33" s="214">
        <f>SUMPRODUCT(($D$74:$D$103=$A33)*$F$74:$F$103*(((($H$74:$H$103&lt;EOMONTH(O$32,0))*$H$74:$H$103+($H$74:$H$103&gt;=EOMONTH(O$32,0))*EOMONTH(O$32,0))-(($G$74:$G$103&gt;O$32)*$G$74:$G$103+($G$74:$G$103&lt;=O$32)*O$32)+1)&gt;0)*((($H$74:$H$103&lt;EOMONTH(O$32,0))*$H$74:$H$103+($H$74:$H$103&gt;=EOMONTH(O$32,0))*EOMONTH(O$32,0))-(($G$74:$G$103&gt;O$32)*$G$74:$G$103+($G$74:$G$103&lt;=O$32)*O$32)+1)/($H$74:$H$103-$G$74:$G$103+1))</f>
        <v>2102.98969072165</v>
      </c>
      <c r="P33" s="102">
        <f>SUM(D33:O33)</f>
        <v>122394</v>
      </c>
    </row>
    <row r="34">
      <c r="A34" s="81" t="inlineStr">
        <is>
          <t>342-02</t>
        </is>
      </c>
      <c r="B34" s="126" t="n">
        <v>342</v>
      </c>
      <c r="C34" s="73" t="inlineStr">
        <is>
          <t>ADMINISTRAÇÃO LOCAL</t>
        </is>
      </c>
      <c r="D34" s="214">
        <f>SUMPRODUCT(($D$74:$D$103=$A34)*$F$74:$F$103*(((($H$74:$H$103&lt;EOMONTH(D$32,0))*$H$74:$H$103+($H$74:$H$103&gt;=EOMONTH(D$32,0))*EOMONTH(D$32,0))-(($G$74:$G$103&gt;D$32)*$G$74:$G$103+($G$74:$G$103&lt;=D$32)*D$32)+1)&gt;0)*((($H$74:$H$103&lt;EOMONTH(D$32,0))*$H$74:$H$103+($H$74:$H$103&gt;=EOMONTH(D$32,0))*EOMONTH(D$32,0))-(($G$74:$G$103&gt;D$32)*$G$74:$G$103+($G$74:$G$103&lt;=D$32)*D$32)+1)/($H$74:$H$103-$G$74:$G$103+1))</f>
        <v>0</v>
      </c>
      <c r="E34" s="214">
        <f>SUMPRODUCT(($D$74:$D$103=$A34)*$F$74:$F$103*(((($H$74:$H$103&lt;EOMONTH(E$32,0))*$H$74:$H$103+($H$74:$H$103&gt;=EOMONTH(E$32,0))*EOMONTH(E$32,0))-(($G$74:$G$103&gt;E$32)*$G$74:$G$103+($G$74:$G$103&lt;=E$32)*E$32)+1)&gt;0)*((($H$74:$H$103&lt;EOMONTH(E$32,0))*$H$74:$H$103+($H$74:$H$103&gt;=EOMONTH(E$32,0))*EOMONTH(E$32,0))-(($G$74:$G$103&gt;E$32)*$G$74:$G$103+($G$74:$G$103&lt;=E$32)*E$32)+1)/($H$74:$H$103-$G$74:$G$103+1))</f>
        <v>21439.323024055</v>
      </c>
      <c r="F34" s="214">
        <f>SUMPRODUCT(($D$74:$D$103=$A34)*$F$74:$F$103*(((($H$74:$H$103&lt;EOMONTH(F$32,0))*$H$74:$H$103+($H$74:$H$103&gt;=EOMONTH(F$32,0))*EOMONTH(F$32,0))-(($G$74:$G$103&gt;F$32)*$G$74:$G$103+($G$74:$G$103&lt;=F$32)*F$32)+1)&gt;0)*((($H$74:$H$103&lt;EOMONTH(F$32,0))*$H$74:$H$103+($H$74:$H$103&gt;=EOMONTH(F$32,0))*EOMONTH(F$32,0))-(($G$74:$G$103&gt;F$32)*$G$74:$G$103+($G$74:$G$103&lt;=F$32)*F$32)+1)/($H$74:$H$103-$G$74:$G$103+1))</f>
        <v>49475.3608247423</v>
      </c>
      <c r="G34" s="214">
        <f>SUMPRODUCT(($D$74:$D$103=$A34)*$F$74:$F$103*(((($H$74:$H$103&lt;EOMONTH(G$32,0))*$H$74:$H$103+($H$74:$H$103&gt;=EOMONTH(G$32,0))*EOMONTH(G$32,0))-(($G$74:$G$103&gt;G$32)*$G$74:$G$103+($G$74:$G$103&lt;=G$32)*G$32)+1)&gt;0)*((($H$74:$H$103&lt;EOMONTH(G$32,0))*$H$74:$H$103+($H$74:$H$103&gt;=EOMONTH(G$32,0))*EOMONTH(G$32,0))-(($G$74:$G$103&gt;G$32)*$G$74:$G$103+($G$74:$G$103&lt;=G$32)*G$32)+1)/($H$74:$H$103-$G$74:$G$103+1))</f>
        <v>51124.5395189004</v>
      </c>
      <c r="H34" s="214">
        <f>SUMPRODUCT(($D$74:$D$103=$A34)*$F$74:$F$103*(((($H$74:$H$103&lt;EOMONTH(H$32,0))*$H$74:$H$103+($H$74:$H$103&gt;=EOMONTH(H$32,0))*EOMONTH(H$32,0))-(($G$74:$G$103&gt;H$32)*$G$74:$G$103+($G$74:$G$103&lt;=H$32)*H$32)+1)&gt;0)*((($H$74:$H$103&lt;EOMONTH(H$32,0))*$H$74:$H$103+($H$74:$H$103&gt;=EOMONTH(H$32,0))*EOMONTH(H$32,0))-(($G$74:$G$103&gt;H$32)*$G$74:$G$103+($G$74:$G$103&lt;=H$32)*H$32)+1)/($H$74:$H$103-$G$74:$G$103+1))</f>
        <v>51124.5395189004</v>
      </c>
      <c r="I34" s="214">
        <f>SUMPRODUCT(($D$74:$D$103=$A34)*$F$74:$F$103*(((($H$74:$H$103&lt;EOMONTH(I$32,0))*$H$74:$H$103+($H$74:$H$103&gt;=EOMONTH(I$32,0))*EOMONTH(I$32,0))-(($G$74:$G$103&gt;I$32)*$G$74:$G$103+($G$74:$G$103&lt;=I$32)*I$32)+1)&gt;0)*((($H$74:$H$103&lt;EOMONTH(I$32,0))*$H$74:$H$103+($H$74:$H$103&gt;=EOMONTH(I$32,0))*EOMONTH(I$32,0))-(($G$74:$G$103&gt;I$32)*$G$74:$G$103+($G$74:$G$103&lt;=I$32)*I$32)+1)/($H$74:$H$103-$G$74:$G$103+1))</f>
        <v>46177.0034364261</v>
      </c>
      <c r="J34" s="214">
        <f>SUMPRODUCT(($D$74:$D$103=$A34)*$F$74:$F$103*(((($H$74:$H$103&lt;EOMONTH(J$32,0))*$H$74:$H$103+($H$74:$H$103&gt;=EOMONTH(J$32,0))*EOMONTH(J$32,0))-(($G$74:$G$103&gt;J$32)*$G$74:$G$103+($G$74:$G$103&lt;=J$32)*J$32)+1)&gt;0)*((($H$74:$H$103&lt;EOMONTH(J$32,0))*$H$74:$H$103+($H$74:$H$103&gt;=EOMONTH(J$32,0))*EOMONTH(J$32,0))-(($G$74:$G$103&gt;J$32)*$G$74:$G$103+($G$74:$G$103&lt;=J$32)*J$32)+1)/($H$74:$H$103-$G$74:$G$103+1))</f>
        <v>51124.5395189004</v>
      </c>
      <c r="K34" s="214">
        <f>SUMPRODUCT(($D$74:$D$103=$A34)*$F$74:$F$103*(((($H$74:$H$103&lt;EOMONTH(K$32,0))*$H$74:$H$103+($H$74:$H$103&gt;=EOMONTH(K$32,0))*EOMONTH(K$32,0))-(($G$74:$G$103&gt;K$32)*$G$74:$G$103+($G$74:$G$103&lt;=K$32)*K$32)+1)&gt;0)*((($H$74:$H$103&lt;EOMONTH(K$32,0))*$H$74:$H$103+($H$74:$H$103&gt;=EOMONTH(K$32,0))*EOMONTH(K$32,0))-(($G$74:$G$103&gt;K$32)*$G$74:$G$103+($G$74:$G$103&lt;=K$32)*K$32)+1)/($H$74:$H$103-$G$74:$G$103+1))</f>
        <v>49475.3608247423</v>
      </c>
      <c r="L34" s="214">
        <f>SUMPRODUCT(($D$74:$D$103=$A34)*$F$74:$F$103*(((($H$74:$H$103&lt;EOMONTH(L$32,0))*$H$74:$H$103+($H$74:$H$103&gt;=EOMONTH(L$32,0))*EOMONTH(L$32,0))-(($G$74:$G$103&gt;L$32)*$G$74:$G$103+($G$74:$G$103&lt;=L$32)*L$32)+1)&gt;0)*((($H$74:$H$103&lt;EOMONTH(L$32,0))*$H$74:$H$103+($H$74:$H$103&gt;=EOMONTH(L$32,0))*EOMONTH(L$32,0))-(($G$74:$G$103&gt;L$32)*$G$74:$G$103+($G$74:$G$103&lt;=L$32)*L$32)+1)/($H$74:$H$103-$G$74:$G$103+1))</f>
        <v>51124.5395189004</v>
      </c>
      <c r="M34" s="214">
        <f>SUMPRODUCT(($D$74:$D$103=$A34)*$F$74:$F$103*(((($H$74:$H$103&lt;EOMONTH(M$32,0))*$H$74:$H$103+($H$74:$H$103&gt;=EOMONTH(M$32,0))*EOMONTH(M$32,0))-(($G$74:$G$103&gt;M$32)*$G$74:$G$103+($G$74:$G$103&lt;=M$32)*M$32)+1)&gt;0)*((($H$74:$H$103&lt;EOMONTH(M$32,0))*$H$74:$H$103+($H$74:$H$103&gt;=EOMONTH(M$32,0))*EOMONTH(M$32,0))-(($G$74:$G$103&gt;M$32)*$G$74:$G$103+($G$74:$G$103&lt;=M$32)*M$32)+1)/($H$74:$H$103-$G$74:$G$103+1))</f>
        <v>49475.3608247423</v>
      </c>
      <c r="N34" s="214">
        <f>SUMPRODUCT(($D$74:$D$103=$A34)*$F$74:$F$103*(((($H$74:$H$103&lt;EOMONTH(N$32,0))*$H$74:$H$103+($H$74:$H$103&gt;=EOMONTH(N$32,0))*EOMONTH(N$32,0))-(($G$74:$G$103&gt;N$32)*$G$74:$G$103+($G$74:$G$103&lt;=N$32)*N$32)+1)&gt;0)*((($H$74:$H$103&lt;EOMONTH(N$32,0))*$H$74:$H$103+($H$74:$H$103&gt;=EOMONTH(N$32,0))*EOMONTH(N$32,0))-(($G$74:$G$103&gt;N$32)*$G$74:$G$103+($G$74:$G$103&lt;=N$32)*N$32)+1)/($H$74:$H$103-$G$74:$G$103+1))</f>
        <v>51124.5395189004</v>
      </c>
      <c r="O34" s="214">
        <f>SUMPRODUCT(($D$74:$D$103=$A34)*$F$74:$F$103*(((($H$74:$H$103&lt;EOMONTH(O$32,0))*$H$74:$H$103+($H$74:$H$103&gt;=EOMONTH(O$32,0))*EOMONTH(O$32,0))-(($G$74:$G$103&gt;O$32)*$G$74:$G$103+($G$74:$G$103&lt;=O$32)*O$32)+1)&gt;0)*((($H$74:$H$103&lt;EOMONTH(O$32,0))*$H$74:$H$103+($H$74:$H$103&gt;=EOMONTH(O$32,0))*EOMONTH(O$32,0))-(($G$74:$G$103&gt;O$32)*$G$74:$G$103+($G$74:$G$103&lt;=O$32)*O$32)+1)/($H$74:$H$103-$G$74:$G$103+1))</f>
        <v>8245.89347079038</v>
      </c>
      <c r="P34" s="102">
        <f>SUM(D34:O34)</f>
        <v>479911</v>
      </c>
    </row>
    <row r="35">
      <c r="A35" s="81" t="inlineStr">
        <is>
          <t>342-03</t>
        </is>
      </c>
      <c r="B35" s="126" t="n">
        <v>342</v>
      </c>
      <c r="C35" s="73" t="inlineStr">
        <is>
          <t>TERRAPLANAGEM E DESVIO DE TUBULAÇÃO</t>
        </is>
      </c>
      <c r="D35" s="214">
        <f>SUMPRODUCT(($D$74:$D$103=$A35)*$F$74:$F$103*(((($H$74:$H$103&lt;EOMONTH(D$32,0))*$H$74:$H$103+($H$74:$H$103&gt;=EOMONTH(D$32,0))*EOMONTH(D$32,0))-(($G$74:$G$103&gt;D$32)*$G$74:$G$103+($G$74:$G$103&lt;=D$32)*D$32)+1)&gt;0)*((($H$74:$H$103&lt;EOMONTH(D$32,0))*$H$74:$H$103+($H$74:$H$103&gt;=EOMONTH(D$32,0))*EOMONTH(D$32,0))-(($G$74:$G$103&gt;D$32)*$G$74:$G$103+($G$74:$G$103&lt;=D$32)*D$32)+1)/($H$74:$H$103-$G$74:$G$103+1))</f>
        <v>0</v>
      </c>
      <c r="E35" s="214">
        <f>SUMPRODUCT(($D$74:$D$103=$A35)*$F$74:$F$103*(((($H$74:$H$103&lt;EOMONTH(E$32,0))*$H$74:$H$103+($H$74:$H$103&gt;=EOMONTH(E$32,0))*EOMONTH(E$32,0))-(($G$74:$G$103&gt;E$32)*$G$74:$G$103+($G$74:$G$103&lt;=E$32)*E$32)+1)&gt;0)*((($H$74:$H$103&lt;EOMONTH(E$32,0))*$H$74:$H$103+($H$74:$H$103&gt;=EOMONTH(E$32,0))*EOMONTH(E$32,0))-(($G$74:$G$103&gt;E$32)*$G$74:$G$103+($G$74:$G$103&lt;=E$32)*E$32)+1)/($H$74:$H$103-$G$74:$G$103+1))</f>
        <v>131545.55</v>
      </c>
      <c r="F35" s="214">
        <f>SUMPRODUCT(($D$74:$D$103=$A35)*$F$74:$F$103*(((($H$74:$H$103&lt;EOMONTH(F$32,0))*$H$74:$H$103+($H$74:$H$103&gt;=EOMONTH(F$32,0))*EOMONTH(F$32,0))-(($G$74:$G$103&gt;F$32)*$G$74:$G$103+($G$74:$G$103&lt;=F$32)*F$32)+1)&gt;0)*((($H$74:$H$103&lt;EOMONTH(F$32,0))*$H$74:$H$103+($H$74:$H$103&gt;=EOMONTH(F$32,0))*EOMONTH(F$32,0))-(($G$74:$G$103&gt;F$32)*$G$74:$G$103+($G$74:$G$103&lt;=F$32)*F$32)+1)/($H$74:$H$103-$G$74:$G$103+1))</f>
        <v>0</v>
      </c>
      <c r="G35" s="214">
        <f>SUMPRODUCT(($D$74:$D$103=$A35)*$F$74:$F$103*(((($H$74:$H$103&lt;EOMONTH(G$32,0))*$H$74:$H$103+($H$74:$H$103&gt;=EOMONTH(G$32,0))*EOMONTH(G$32,0))-(($G$74:$G$103&gt;G$32)*$G$74:$G$103+($G$74:$G$103&lt;=G$32)*G$32)+1)&gt;0)*((($H$74:$H$103&lt;EOMONTH(G$32,0))*$H$74:$H$103+($H$74:$H$103&gt;=EOMONTH(G$32,0))*EOMONTH(G$32,0))-(($G$74:$G$103&gt;G$32)*$G$74:$G$103+($G$74:$G$103&lt;=G$32)*G$32)+1)/($H$74:$H$103-$G$74:$G$103+1))</f>
        <v>0</v>
      </c>
      <c r="H35" s="214">
        <f>SUMPRODUCT(($D$74:$D$103=$A35)*$F$74:$F$103*(((($H$74:$H$103&lt;EOMONTH(H$32,0))*$H$74:$H$103+($H$74:$H$103&gt;=EOMONTH(H$32,0))*EOMONTH(H$32,0))-(($G$74:$G$103&gt;H$32)*$G$74:$G$103+($G$74:$G$103&lt;=H$32)*H$32)+1)&gt;0)*((($H$74:$H$103&lt;EOMONTH(H$32,0))*$H$74:$H$103+($H$74:$H$103&gt;=EOMONTH(H$32,0))*EOMONTH(H$32,0))-(($G$74:$G$103&gt;H$32)*$G$74:$G$103+($G$74:$G$103&lt;=H$32)*H$32)+1)/($H$74:$H$103-$G$74:$G$103+1))</f>
        <v>0</v>
      </c>
      <c r="I35" s="214">
        <f>SUMPRODUCT(($D$74:$D$103=$A35)*$F$74:$F$103*(((($H$74:$H$103&lt;EOMONTH(I$32,0))*$H$74:$H$103+($H$74:$H$103&gt;=EOMONTH(I$32,0))*EOMONTH(I$32,0))-(($G$74:$G$103&gt;I$32)*$G$74:$G$103+($G$74:$G$103&lt;=I$32)*I$32)+1)&gt;0)*((($H$74:$H$103&lt;EOMONTH(I$32,0))*$H$74:$H$103+($H$74:$H$103&gt;=EOMONTH(I$32,0))*EOMONTH(I$32,0))-(($G$74:$G$103&gt;I$32)*$G$74:$G$103+($G$74:$G$103&lt;=I$32)*I$32)+1)/($H$74:$H$103-$G$74:$G$103+1))</f>
        <v>0</v>
      </c>
      <c r="J35" s="214">
        <f>SUMPRODUCT(($D$74:$D$103=$A35)*$F$74:$F$103*(((($H$74:$H$103&lt;EOMONTH(J$32,0))*$H$74:$H$103+($H$74:$H$103&gt;=EOMONTH(J$32,0))*EOMONTH(J$32,0))-(($G$74:$G$103&gt;J$32)*$G$74:$G$103+($G$74:$G$103&lt;=J$32)*J$32)+1)&gt;0)*((($H$74:$H$103&lt;EOMONTH(J$32,0))*$H$74:$H$103+($H$74:$H$103&gt;=EOMONTH(J$32,0))*EOMONTH(J$32,0))-(($G$74:$G$103&gt;J$32)*$G$74:$G$103+($G$74:$G$103&lt;=J$32)*J$32)+1)/($H$74:$H$103-$G$74:$G$103+1))</f>
        <v>0</v>
      </c>
      <c r="K35" s="214">
        <f>SUMPRODUCT(($D$74:$D$103=$A35)*$F$74:$F$103*(((($H$74:$H$103&lt;EOMONTH(K$32,0))*$H$74:$H$103+($H$74:$H$103&gt;=EOMONTH(K$32,0))*EOMONTH(K$32,0))-(($G$74:$G$103&gt;K$32)*$G$74:$G$103+($G$74:$G$103&lt;=K$32)*K$32)+1)&gt;0)*((($H$74:$H$103&lt;EOMONTH(K$32,0))*$H$74:$H$103+($H$74:$H$103&gt;=EOMONTH(K$32,0))*EOMONTH(K$32,0))-(($G$74:$G$103&gt;K$32)*$G$74:$G$103+($G$74:$G$103&lt;=K$32)*K$32)+1)/($H$74:$H$103-$G$74:$G$103+1))</f>
        <v>0</v>
      </c>
      <c r="L35" s="214">
        <f>SUMPRODUCT(($D$74:$D$103=$A35)*$F$74:$F$103*(((($H$74:$H$103&lt;EOMONTH(L$32,0))*$H$74:$H$103+($H$74:$H$103&gt;=EOMONTH(L$32,0))*EOMONTH(L$32,0))-(($G$74:$G$103&gt;L$32)*$G$74:$G$103+($G$74:$G$103&lt;=L$32)*L$32)+1)&gt;0)*((($H$74:$H$103&lt;EOMONTH(L$32,0))*$H$74:$H$103+($H$74:$H$103&gt;=EOMONTH(L$32,0))*EOMONTH(L$32,0))-(($G$74:$G$103&gt;L$32)*$G$74:$G$103+($G$74:$G$103&lt;=L$32)*L$32)+1)/($H$74:$H$103-$G$74:$G$103+1))</f>
        <v>0</v>
      </c>
      <c r="M35" s="214">
        <f>SUMPRODUCT(($D$74:$D$103=$A35)*$F$74:$F$103*(((($H$74:$H$103&lt;EOMONTH(M$32,0))*$H$74:$H$103+($H$74:$H$103&gt;=EOMONTH(M$32,0))*EOMONTH(M$32,0))-(($G$74:$G$103&gt;M$32)*$G$74:$G$103+($G$74:$G$103&lt;=M$32)*M$32)+1)&gt;0)*((($H$74:$H$103&lt;EOMONTH(M$32,0))*$H$74:$H$103+($H$74:$H$103&gt;=EOMONTH(M$32,0))*EOMONTH(M$32,0))-(($G$74:$G$103&gt;M$32)*$G$74:$G$103+($G$74:$G$103&lt;=M$32)*M$32)+1)/($H$74:$H$103-$G$74:$G$103+1))</f>
        <v>0</v>
      </c>
      <c r="N35" s="214">
        <f>SUMPRODUCT(($D$74:$D$103=$A35)*$F$74:$F$103*(((($H$74:$H$103&lt;EOMONTH(N$32,0))*$H$74:$H$103+($H$74:$H$103&gt;=EOMONTH(N$32,0))*EOMONTH(N$32,0))-(($G$74:$G$103&gt;N$32)*$G$74:$G$103+($G$74:$G$103&lt;=N$32)*N$32)+1)&gt;0)*((($H$74:$H$103&lt;EOMONTH(N$32,0))*$H$74:$H$103+($H$74:$H$103&gt;=EOMONTH(N$32,0))*EOMONTH(N$32,0))-(($G$74:$G$103&gt;N$32)*$G$74:$G$103+($G$74:$G$103&lt;=N$32)*N$32)+1)/($H$74:$H$103-$G$74:$G$103+1))</f>
        <v>0</v>
      </c>
      <c r="O35" s="214">
        <f>SUMPRODUCT(($D$74:$D$103=$A35)*$F$74:$F$103*(((($H$74:$H$103&lt;EOMONTH(O$32,0))*$H$74:$H$103+($H$74:$H$103&gt;=EOMONTH(O$32,0))*EOMONTH(O$32,0))-(($G$74:$G$103&gt;O$32)*$G$74:$G$103+($G$74:$G$103&lt;=O$32)*O$32)+1)&gt;0)*((($H$74:$H$103&lt;EOMONTH(O$32,0))*$H$74:$H$103+($H$74:$H$103&gt;=EOMONTH(O$32,0))*EOMONTH(O$32,0))-(($G$74:$G$103&gt;O$32)*$G$74:$G$103+($G$74:$G$103&lt;=O$32)*O$32)+1)/($H$74:$H$103-$G$74:$G$103+1))</f>
        <v>0</v>
      </c>
      <c r="P35" s="102">
        <f>SUM(D35:O35)</f>
        <v>131545.55</v>
      </c>
    </row>
    <row r="36">
      <c r="A36" s="81" t="inlineStr">
        <is>
          <t>342-04</t>
        </is>
      </c>
      <c r="B36" s="126" t="n">
        <v>342</v>
      </c>
      <c r="C36" s="73" t="inlineStr">
        <is>
          <t>INTERLIGAÇÕES ETA × UTR</t>
        </is>
      </c>
      <c r="D36" s="214">
        <f>SUMPRODUCT(($D$74:$D$103=$A36)*$F$74:$F$103*(((($H$74:$H$103&lt;EOMONTH(D$32,0))*$H$74:$H$103+($H$74:$H$103&gt;=EOMONTH(D$32,0))*EOMONTH(D$32,0))-(($G$74:$G$103&gt;D$32)*$G$74:$G$103+($G$74:$G$103&lt;=D$32)*D$32)+1)&gt;0)*((($H$74:$H$103&lt;EOMONTH(D$32,0))*$H$74:$H$103+($H$74:$H$103&gt;=EOMONTH(D$32,0))*EOMONTH(D$32,0))-(($G$74:$G$103&gt;D$32)*$G$74:$G$103+($G$74:$G$103&lt;=D$32)*D$32)+1)/($H$74:$H$103-$G$74:$G$103+1))</f>
        <v>0</v>
      </c>
      <c r="E36" s="214">
        <f>SUMPRODUCT(($D$74:$D$103=$A36)*$F$74:$F$103*(((($H$74:$H$103&lt;EOMONTH(E$32,0))*$H$74:$H$103+($H$74:$H$103&gt;=EOMONTH(E$32,0))*EOMONTH(E$32,0))-(($G$74:$G$103&gt;E$32)*$G$74:$G$103+($G$74:$G$103&lt;=E$32)*E$32)+1)&gt;0)*((($H$74:$H$103&lt;EOMONTH(E$32,0))*$H$74:$H$103+($H$74:$H$103&gt;=EOMONTH(E$32,0))*EOMONTH(E$32,0))-(($G$74:$G$103&gt;E$32)*$G$74:$G$103+($G$74:$G$103&lt;=E$32)*E$32)+1)/($H$74:$H$103-$G$74:$G$103+1))</f>
        <v>0</v>
      </c>
      <c r="F36" s="214">
        <f>SUMPRODUCT(($D$74:$D$103=$A36)*$F$74:$F$103*(((($H$74:$H$103&lt;EOMONTH(F$32,0))*$H$74:$H$103+($H$74:$H$103&gt;=EOMONTH(F$32,0))*EOMONTH(F$32,0))-(($G$74:$G$103&gt;F$32)*$G$74:$G$103+($G$74:$G$103&lt;=F$32)*F$32)+1)&gt;0)*((($H$74:$H$103&lt;EOMONTH(F$32,0))*$H$74:$H$103+($H$74:$H$103&gt;=EOMONTH(F$32,0))*EOMONTH(F$32,0))-(($G$74:$G$103&gt;F$32)*$G$74:$G$103+($G$74:$G$103&lt;=F$32)*F$32)+1)/($H$74:$H$103-$G$74:$G$103+1))</f>
        <v>0</v>
      </c>
      <c r="G36" s="214">
        <f>SUMPRODUCT(($D$74:$D$103=$A36)*$F$74:$F$103*(((($H$74:$H$103&lt;EOMONTH(G$32,0))*$H$74:$H$103+($H$74:$H$103&gt;=EOMONTH(G$32,0))*EOMONTH(G$32,0))-(($G$74:$G$103&gt;G$32)*$G$74:$G$103+($G$74:$G$103&lt;=G$32)*G$32)+1)&gt;0)*((($H$74:$H$103&lt;EOMONTH(G$32,0))*$H$74:$H$103+($H$74:$H$103&gt;=EOMONTH(G$32,0))*EOMONTH(G$32,0))-(($G$74:$G$103&gt;G$32)*$G$74:$G$103+($G$74:$G$103&lt;=G$32)*G$32)+1)/($H$74:$H$103-$G$74:$G$103+1))</f>
        <v>334559.95</v>
      </c>
      <c r="H36" s="214">
        <f>SUMPRODUCT(($D$74:$D$103=$A36)*$F$74:$F$103*(((($H$74:$H$103&lt;EOMONTH(H$32,0))*$H$74:$H$103+($H$74:$H$103&gt;=EOMONTH(H$32,0))*EOMONTH(H$32,0))-(($G$74:$G$103&gt;H$32)*$G$74:$G$103+($G$74:$G$103&lt;=H$32)*H$32)+1)&gt;0)*((($H$74:$H$103&lt;EOMONTH(H$32,0))*$H$74:$H$103+($H$74:$H$103&gt;=EOMONTH(H$32,0))*EOMONTH(H$32,0))-(($G$74:$G$103&gt;H$32)*$G$74:$G$103+($G$74:$G$103&lt;=H$32)*H$32)+1)/($H$74:$H$103-$G$74:$G$103+1))</f>
        <v>0</v>
      </c>
      <c r="I36" s="214">
        <f>SUMPRODUCT(($D$74:$D$103=$A36)*$F$74:$F$103*(((($H$74:$H$103&lt;EOMONTH(I$32,0))*$H$74:$H$103+($H$74:$H$103&gt;=EOMONTH(I$32,0))*EOMONTH(I$32,0))-(($G$74:$G$103&gt;I$32)*$G$74:$G$103+($G$74:$G$103&lt;=I$32)*I$32)+1)&gt;0)*((($H$74:$H$103&lt;EOMONTH(I$32,0))*$H$74:$H$103+($H$74:$H$103&gt;=EOMONTH(I$32,0))*EOMONTH(I$32,0))-(($G$74:$G$103&gt;I$32)*$G$74:$G$103+($G$74:$G$103&lt;=I$32)*I$32)+1)/($H$74:$H$103-$G$74:$G$103+1))</f>
        <v>0</v>
      </c>
      <c r="J36" s="214">
        <f>SUMPRODUCT(($D$74:$D$103=$A36)*$F$74:$F$103*(((($H$74:$H$103&lt;EOMONTH(J$32,0))*$H$74:$H$103+($H$74:$H$103&gt;=EOMONTH(J$32,0))*EOMONTH(J$32,0))-(($G$74:$G$103&gt;J$32)*$G$74:$G$103+($G$74:$G$103&lt;=J$32)*J$32)+1)&gt;0)*((($H$74:$H$103&lt;EOMONTH(J$32,0))*$H$74:$H$103+($H$74:$H$103&gt;=EOMONTH(J$32,0))*EOMONTH(J$32,0))-(($G$74:$G$103&gt;J$32)*$G$74:$G$103+($G$74:$G$103&lt;=J$32)*J$32)+1)/($H$74:$H$103-$G$74:$G$103+1))</f>
        <v>0</v>
      </c>
      <c r="K36" s="214">
        <f>SUMPRODUCT(($D$74:$D$103=$A36)*$F$74:$F$103*(((($H$74:$H$103&lt;EOMONTH(K$32,0))*$H$74:$H$103+($H$74:$H$103&gt;=EOMONTH(K$32,0))*EOMONTH(K$32,0))-(($G$74:$G$103&gt;K$32)*$G$74:$G$103+($G$74:$G$103&lt;=K$32)*K$32)+1)&gt;0)*((($H$74:$H$103&lt;EOMONTH(K$32,0))*$H$74:$H$103+($H$74:$H$103&gt;=EOMONTH(K$32,0))*EOMONTH(K$32,0))-(($G$74:$G$103&gt;K$32)*$G$74:$G$103+($G$74:$G$103&lt;=K$32)*K$32)+1)/($H$74:$H$103-$G$74:$G$103+1))</f>
        <v>0</v>
      </c>
      <c r="L36" s="214">
        <f>SUMPRODUCT(($D$74:$D$103=$A36)*$F$74:$F$103*(((($H$74:$H$103&lt;EOMONTH(L$32,0))*$H$74:$H$103+($H$74:$H$103&gt;=EOMONTH(L$32,0))*EOMONTH(L$32,0))-(($G$74:$G$103&gt;L$32)*$G$74:$G$103+($G$74:$G$103&lt;=L$32)*L$32)+1)&gt;0)*((($H$74:$H$103&lt;EOMONTH(L$32,0))*$H$74:$H$103+($H$74:$H$103&gt;=EOMONTH(L$32,0))*EOMONTH(L$32,0))-(($G$74:$G$103&gt;L$32)*$G$74:$G$103+($G$74:$G$103&lt;=L$32)*L$32)+1)/($H$74:$H$103-$G$74:$G$103+1))</f>
        <v>0</v>
      </c>
      <c r="M36" s="214">
        <f>SUMPRODUCT(($D$74:$D$103=$A36)*$F$74:$F$103*(((($H$74:$H$103&lt;EOMONTH(M$32,0))*$H$74:$H$103+($H$74:$H$103&gt;=EOMONTH(M$32,0))*EOMONTH(M$32,0))-(($G$74:$G$103&gt;M$32)*$G$74:$G$103+($G$74:$G$103&lt;=M$32)*M$32)+1)&gt;0)*((($H$74:$H$103&lt;EOMONTH(M$32,0))*$H$74:$H$103+($H$74:$H$103&gt;=EOMONTH(M$32,0))*EOMONTH(M$32,0))-(($G$74:$G$103&gt;M$32)*$G$74:$G$103+($G$74:$G$103&lt;=M$32)*M$32)+1)/($H$74:$H$103-$G$74:$G$103+1))</f>
        <v>0</v>
      </c>
      <c r="N36" s="214">
        <f>SUMPRODUCT(($D$74:$D$103=$A36)*$F$74:$F$103*(((($H$74:$H$103&lt;EOMONTH(N$32,0))*$H$74:$H$103+($H$74:$H$103&gt;=EOMONTH(N$32,0))*EOMONTH(N$32,0))-(($G$74:$G$103&gt;N$32)*$G$74:$G$103+($G$74:$G$103&lt;=N$32)*N$32)+1)&gt;0)*((($H$74:$H$103&lt;EOMONTH(N$32,0))*$H$74:$H$103+($H$74:$H$103&gt;=EOMONTH(N$32,0))*EOMONTH(N$32,0))-(($G$74:$G$103&gt;N$32)*$G$74:$G$103+($G$74:$G$103&lt;=N$32)*N$32)+1)/($H$74:$H$103-$G$74:$G$103+1))</f>
        <v>0</v>
      </c>
      <c r="O36" s="214">
        <f>SUMPRODUCT(($D$74:$D$103=$A36)*$F$74:$F$103*(((($H$74:$H$103&lt;EOMONTH(O$32,0))*$H$74:$H$103+($H$74:$H$103&gt;=EOMONTH(O$32,0))*EOMONTH(O$32,0))-(($G$74:$G$103&gt;O$32)*$G$74:$G$103+($G$74:$G$103&lt;=O$32)*O$32)+1)&gt;0)*((($H$74:$H$103&lt;EOMONTH(O$32,0))*$H$74:$H$103+($H$74:$H$103&gt;=EOMONTH(O$32,0))*EOMONTH(O$32,0))-(($G$74:$G$103&gt;O$32)*$G$74:$G$103+($G$74:$G$103&lt;=O$32)*O$32)+1)/($H$74:$H$103-$G$74:$G$103+1))</f>
        <v>0</v>
      </c>
      <c r="P36" s="102">
        <f>SUM(D36:O36)</f>
        <v>334559.95</v>
      </c>
    </row>
    <row r="37">
      <c r="A37" s="81" t="inlineStr">
        <is>
          <t>342-05</t>
        </is>
      </c>
      <c r="B37" s="126" t="n">
        <v>342</v>
      </c>
      <c r="C37" s="73" t="inlineStr">
        <is>
          <t>INTERLIGAÇÕES LINHA DE RECALQUE UTR × ETA</t>
        </is>
      </c>
      <c r="D37" s="214">
        <f>SUMPRODUCT(($D$74:$D$103=$A37)*$F$74:$F$103*(((($H$74:$H$103&lt;EOMONTH(D$32,0))*$H$74:$H$103+($H$74:$H$103&gt;=EOMONTH(D$32,0))*EOMONTH(D$32,0))-(($G$74:$G$103&gt;D$32)*$G$74:$G$103+($G$74:$G$103&lt;=D$32)*D$32)+1)&gt;0)*((($H$74:$H$103&lt;EOMONTH(D$32,0))*$H$74:$H$103+($H$74:$H$103&gt;=EOMONTH(D$32,0))*EOMONTH(D$32,0))-(($G$74:$G$103&gt;D$32)*$G$74:$G$103+($G$74:$G$103&lt;=D$32)*D$32)+1)/($H$74:$H$103-$G$74:$G$103+1))</f>
        <v>0</v>
      </c>
      <c r="E37" s="214">
        <f>SUMPRODUCT(($D$74:$D$103=$A37)*$F$74:$F$103*(((($H$74:$H$103&lt;EOMONTH(E$32,0))*$H$74:$H$103+($H$74:$H$103&gt;=EOMONTH(E$32,0))*EOMONTH(E$32,0))-(($G$74:$G$103&gt;E$32)*$G$74:$G$103+($G$74:$G$103&lt;=E$32)*E$32)+1)&gt;0)*((($H$74:$H$103&lt;EOMONTH(E$32,0))*$H$74:$H$103+($H$74:$H$103&gt;=EOMONTH(E$32,0))*EOMONTH(E$32,0))-(($G$74:$G$103&gt;E$32)*$G$74:$G$103+($G$74:$G$103&lt;=E$32)*E$32)+1)/($H$74:$H$103-$G$74:$G$103+1))</f>
        <v>0</v>
      </c>
      <c r="F37" s="214">
        <f>SUMPRODUCT(($D$74:$D$103=$A37)*$F$74:$F$103*(((($H$74:$H$103&lt;EOMONTH(F$32,0))*$H$74:$H$103+($H$74:$H$103&gt;=EOMONTH(F$32,0))*EOMONTH(F$32,0))-(($G$74:$G$103&gt;F$32)*$G$74:$G$103+($G$74:$G$103&lt;=F$32)*F$32)+1)&gt;0)*((($H$74:$H$103&lt;EOMONTH(F$32,0))*$H$74:$H$103+($H$74:$H$103&gt;=EOMONTH(F$32,0))*EOMONTH(F$32,0))-(($G$74:$G$103&gt;F$32)*$G$74:$G$103+($G$74:$G$103&lt;=F$32)*F$32)+1)/($H$74:$H$103-$G$74:$G$103+1))</f>
        <v>0</v>
      </c>
      <c r="G37" s="214">
        <f>SUMPRODUCT(($D$74:$D$103=$A37)*$F$74:$F$103*(((($H$74:$H$103&lt;EOMONTH(G$32,0))*$H$74:$H$103+($H$74:$H$103&gt;=EOMONTH(G$32,0))*EOMONTH(G$32,0))-(($G$74:$G$103&gt;G$32)*$G$74:$G$103+($G$74:$G$103&lt;=G$32)*G$32)+1)&gt;0)*((($H$74:$H$103&lt;EOMONTH(G$32,0))*$H$74:$H$103+($H$74:$H$103&gt;=EOMONTH(G$32,0))*EOMONTH(G$32,0))-(($G$74:$G$103&gt;G$32)*$G$74:$G$103+($G$74:$G$103&lt;=G$32)*G$32)+1)/($H$74:$H$103-$G$74:$G$103+1))</f>
        <v>54857.68</v>
      </c>
      <c r="H37" s="214">
        <f>SUMPRODUCT(($D$74:$D$103=$A37)*$F$74:$F$103*(((($H$74:$H$103&lt;EOMONTH(H$32,0))*$H$74:$H$103+($H$74:$H$103&gt;=EOMONTH(H$32,0))*EOMONTH(H$32,0))-(($G$74:$G$103&gt;H$32)*$G$74:$G$103+($G$74:$G$103&lt;=H$32)*H$32)+1)&gt;0)*((($H$74:$H$103&lt;EOMONTH(H$32,0))*$H$74:$H$103+($H$74:$H$103&gt;=EOMONTH(H$32,0))*EOMONTH(H$32,0))-(($G$74:$G$103&gt;H$32)*$G$74:$G$103+($G$74:$G$103&lt;=H$32)*H$32)+1)/($H$74:$H$103-$G$74:$G$103+1))</f>
        <v>0</v>
      </c>
      <c r="I37" s="214">
        <f>SUMPRODUCT(($D$74:$D$103=$A37)*$F$74:$F$103*(((($H$74:$H$103&lt;EOMONTH(I$32,0))*$H$74:$H$103+($H$74:$H$103&gt;=EOMONTH(I$32,0))*EOMONTH(I$32,0))-(($G$74:$G$103&gt;I$32)*$G$74:$G$103+($G$74:$G$103&lt;=I$32)*I$32)+1)&gt;0)*((($H$74:$H$103&lt;EOMONTH(I$32,0))*$H$74:$H$103+($H$74:$H$103&gt;=EOMONTH(I$32,0))*EOMONTH(I$32,0))-(($G$74:$G$103&gt;I$32)*$G$74:$G$103+($G$74:$G$103&lt;=I$32)*I$32)+1)/($H$74:$H$103-$G$74:$G$103+1))</f>
        <v>0</v>
      </c>
      <c r="J37" s="214">
        <f>SUMPRODUCT(($D$74:$D$103=$A37)*$F$74:$F$103*(((($H$74:$H$103&lt;EOMONTH(J$32,0))*$H$74:$H$103+($H$74:$H$103&gt;=EOMONTH(J$32,0))*EOMONTH(J$32,0))-(($G$74:$G$103&gt;J$32)*$G$74:$G$103+($G$74:$G$103&lt;=J$32)*J$32)+1)&gt;0)*((($H$74:$H$103&lt;EOMONTH(J$32,0))*$H$74:$H$103+($H$74:$H$103&gt;=EOMONTH(J$32,0))*EOMONTH(J$32,0))-(($G$74:$G$103&gt;J$32)*$G$74:$G$103+($G$74:$G$103&lt;=J$32)*J$32)+1)/($H$74:$H$103-$G$74:$G$103+1))</f>
        <v>0</v>
      </c>
      <c r="K37" s="214">
        <f>SUMPRODUCT(($D$74:$D$103=$A37)*$F$74:$F$103*(((($H$74:$H$103&lt;EOMONTH(K$32,0))*$H$74:$H$103+($H$74:$H$103&gt;=EOMONTH(K$32,0))*EOMONTH(K$32,0))-(($G$74:$G$103&gt;K$32)*$G$74:$G$103+($G$74:$G$103&lt;=K$32)*K$32)+1)&gt;0)*((($H$74:$H$103&lt;EOMONTH(K$32,0))*$H$74:$H$103+($H$74:$H$103&gt;=EOMONTH(K$32,0))*EOMONTH(K$32,0))-(($G$74:$G$103&gt;K$32)*$G$74:$G$103+($G$74:$G$103&lt;=K$32)*K$32)+1)/($H$74:$H$103-$G$74:$G$103+1))</f>
        <v>0</v>
      </c>
      <c r="L37" s="214">
        <f>SUMPRODUCT(($D$74:$D$103=$A37)*$F$74:$F$103*(((($H$74:$H$103&lt;EOMONTH(L$32,0))*$H$74:$H$103+($H$74:$H$103&gt;=EOMONTH(L$32,0))*EOMONTH(L$32,0))-(($G$74:$G$103&gt;L$32)*$G$74:$G$103+($G$74:$G$103&lt;=L$32)*L$32)+1)&gt;0)*((($H$74:$H$103&lt;EOMONTH(L$32,0))*$H$74:$H$103+($H$74:$H$103&gt;=EOMONTH(L$32,0))*EOMONTH(L$32,0))-(($G$74:$G$103&gt;L$32)*$G$74:$G$103+($G$74:$G$103&lt;=L$32)*L$32)+1)/($H$74:$H$103-$G$74:$G$103+1))</f>
        <v>0</v>
      </c>
      <c r="M37" s="214">
        <f>SUMPRODUCT(($D$74:$D$103=$A37)*$F$74:$F$103*(((($H$74:$H$103&lt;EOMONTH(M$32,0))*$H$74:$H$103+($H$74:$H$103&gt;=EOMONTH(M$32,0))*EOMONTH(M$32,0))-(($G$74:$G$103&gt;M$32)*$G$74:$G$103+($G$74:$G$103&lt;=M$32)*M$32)+1)&gt;0)*((($H$74:$H$103&lt;EOMONTH(M$32,0))*$H$74:$H$103+($H$74:$H$103&gt;=EOMONTH(M$32,0))*EOMONTH(M$32,0))-(($G$74:$G$103&gt;M$32)*$G$74:$G$103+($G$74:$G$103&lt;=M$32)*M$32)+1)/($H$74:$H$103-$G$74:$G$103+1))</f>
        <v>0</v>
      </c>
      <c r="N37" s="214">
        <f>SUMPRODUCT(($D$74:$D$103=$A37)*$F$74:$F$103*(((($H$74:$H$103&lt;EOMONTH(N$32,0))*$H$74:$H$103+($H$74:$H$103&gt;=EOMONTH(N$32,0))*EOMONTH(N$32,0))-(($G$74:$G$103&gt;N$32)*$G$74:$G$103+($G$74:$G$103&lt;=N$32)*N$32)+1)&gt;0)*((($H$74:$H$103&lt;EOMONTH(N$32,0))*$H$74:$H$103+($H$74:$H$103&gt;=EOMONTH(N$32,0))*EOMONTH(N$32,0))-(($G$74:$G$103&gt;N$32)*$G$74:$G$103+($G$74:$G$103&lt;=N$32)*N$32)+1)/($H$74:$H$103-$G$74:$G$103+1))</f>
        <v>0</v>
      </c>
      <c r="O37" s="214">
        <f>SUMPRODUCT(($D$74:$D$103=$A37)*$F$74:$F$103*(((($H$74:$H$103&lt;EOMONTH(O$32,0))*$H$74:$H$103+($H$74:$H$103&gt;=EOMONTH(O$32,0))*EOMONTH(O$32,0))-(($G$74:$G$103&gt;O$32)*$G$74:$G$103+($G$74:$G$103&lt;=O$32)*O$32)+1)&gt;0)*((($H$74:$H$103&lt;EOMONTH(O$32,0))*$H$74:$H$103+($H$74:$H$103&gt;=EOMONTH(O$32,0))*EOMONTH(O$32,0))-(($G$74:$G$103&gt;O$32)*$G$74:$G$103+($G$74:$G$103&lt;=O$32)*O$32)+1)/($H$74:$H$103-$G$74:$G$103+1))</f>
        <v>0</v>
      </c>
      <c r="P37" s="102">
        <f>SUM(D37:O37)</f>
        <v>54857.68</v>
      </c>
    </row>
    <row r="38">
      <c r="A38" s="81" t="inlineStr">
        <is>
          <t>342-06</t>
        </is>
      </c>
      <c r="B38" s="126" t="n">
        <v>342</v>
      </c>
      <c r="C38" s="73" t="inlineStr">
        <is>
          <t>DRENAGENS, ESGOTAMENTO E CAIXA DE CHEGADA</t>
        </is>
      </c>
      <c r="D38" s="214">
        <f>SUMPRODUCT(($D$74:$D$103=$A38)*$F$74:$F$103*(((($H$74:$H$103&lt;EOMONTH(D$32,0))*$H$74:$H$103+($H$74:$H$103&gt;=EOMONTH(D$32,0))*EOMONTH(D$32,0))-(($G$74:$G$103&gt;D$32)*$G$74:$G$103+($G$74:$G$103&lt;=D$32)*D$32)+1)&gt;0)*((($H$74:$H$103&lt;EOMONTH(D$32,0))*$H$74:$H$103+($H$74:$H$103&gt;=EOMONTH(D$32,0))*EOMONTH(D$32,0))-(($G$74:$G$103&gt;D$32)*$G$74:$G$103+($G$74:$G$103&lt;=D$32)*D$32)+1)/($H$74:$H$103-$G$74:$G$103+1))</f>
        <v>0</v>
      </c>
      <c r="E38" s="214">
        <f>SUMPRODUCT(($D$74:$D$103=$A38)*$F$74:$F$103*(((($H$74:$H$103&lt;EOMONTH(E$32,0))*$H$74:$H$103+($H$74:$H$103&gt;=EOMONTH(E$32,0))*EOMONTH(E$32,0))-(($G$74:$G$103&gt;E$32)*$G$74:$G$103+($G$74:$G$103&lt;=E$32)*E$32)+1)&gt;0)*((($H$74:$H$103&lt;EOMONTH(E$32,0))*$H$74:$H$103+($H$74:$H$103&gt;=EOMONTH(E$32,0))*EOMONTH(E$32,0))-(($G$74:$G$103&gt;E$32)*$G$74:$G$103+($G$74:$G$103&lt;=E$32)*E$32)+1)/($H$74:$H$103-$G$74:$G$103+1))</f>
        <v>0</v>
      </c>
      <c r="F38" s="214">
        <f>SUMPRODUCT(($D$74:$D$103=$A38)*$F$74:$F$103*(((($H$74:$H$103&lt;EOMONTH(F$32,0))*$H$74:$H$103+($H$74:$H$103&gt;=EOMONTH(F$32,0))*EOMONTH(F$32,0))-(($G$74:$G$103&gt;F$32)*$G$74:$G$103+($G$74:$G$103&lt;=F$32)*F$32)+1)&gt;0)*((($H$74:$H$103&lt;EOMONTH(F$32,0))*$H$74:$H$103+($H$74:$H$103&gt;=EOMONTH(F$32,0))*EOMONTH(F$32,0))-(($G$74:$G$103&gt;F$32)*$G$74:$G$103+($G$74:$G$103&lt;=F$32)*F$32)+1)/($H$74:$H$103-$G$74:$G$103+1))</f>
        <v>32001.7244444444</v>
      </c>
      <c r="G38" s="214">
        <f>SUMPRODUCT(($D$74:$D$103=$A38)*$F$74:$F$103*(((($H$74:$H$103&lt;EOMONTH(G$32,0))*$H$74:$H$103+($H$74:$H$103&gt;=EOMONTH(G$32,0))*EOMONTH(G$32,0))-(($G$74:$G$103&gt;G$32)*$G$74:$G$103+($G$74:$G$103&lt;=G$32)*G$32)+1)&gt;0)*((($H$74:$H$103&lt;EOMONTH(G$32,0))*$H$74:$H$103+($H$74:$H$103&gt;=EOMONTH(G$32,0))*EOMONTH(G$32,0))-(($G$74:$G$103&gt;G$32)*$G$74:$G$103+($G$74:$G$103&lt;=G$32)*G$32)+1)/($H$74:$H$103-$G$74:$G$103+1))</f>
        <v>40002.1555555556</v>
      </c>
      <c r="H38" s="214">
        <f>SUMPRODUCT(($D$74:$D$103=$A38)*$F$74:$F$103*(((($H$74:$H$103&lt;EOMONTH(H$32,0))*$H$74:$H$103+($H$74:$H$103&gt;=EOMONTH(H$32,0))*EOMONTH(H$32,0))-(($G$74:$G$103&gt;H$32)*$G$74:$G$103+($G$74:$G$103&lt;=H$32)*H$32)+1)&gt;0)*((($H$74:$H$103&lt;EOMONTH(H$32,0))*$H$74:$H$103+($H$74:$H$103&gt;=EOMONTH(H$32,0))*EOMONTH(H$32,0))-(($G$74:$G$103&gt;H$32)*$G$74:$G$103+($G$74:$G$103&lt;=H$32)*H$32)+1)/($H$74:$H$103-$G$74:$G$103+1))</f>
        <v>0</v>
      </c>
      <c r="I38" s="214">
        <f>SUMPRODUCT(($D$74:$D$103=$A38)*$F$74:$F$103*(((($H$74:$H$103&lt;EOMONTH(I$32,0))*$H$74:$H$103+($H$74:$H$103&gt;=EOMONTH(I$32,0))*EOMONTH(I$32,0))-(($G$74:$G$103&gt;I$32)*$G$74:$G$103+($G$74:$G$103&lt;=I$32)*I$32)+1)&gt;0)*((($H$74:$H$103&lt;EOMONTH(I$32,0))*$H$74:$H$103+($H$74:$H$103&gt;=EOMONTH(I$32,0))*EOMONTH(I$32,0))-(($G$74:$G$103&gt;I$32)*$G$74:$G$103+($G$74:$G$103&lt;=I$32)*I$32)+1)/($H$74:$H$103-$G$74:$G$103+1))</f>
        <v>0</v>
      </c>
      <c r="J38" s="214">
        <f>SUMPRODUCT(($D$74:$D$103=$A38)*$F$74:$F$103*(((($H$74:$H$103&lt;EOMONTH(J$32,0))*$H$74:$H$103+($H$74:$H$103&gt;=EOMONTH(J$32,0))*EOMONTH(J$32,0))-(($G$74:$G$103&gt;J$32)*$G$74:$G$103+($G$74:$G$103&lt;=J$32)*J$32)+1)&gt;0)*((($H$74:$H$103&lt;EOMONTH(J$32,0))*$H$74:$H$103+($H$74:$H$103&gt;=EOMONTH(J$32,0))*EOMONTH(J$32,0))-(($G$74:$G$103&gt;J$32)*$G$74:$G$103+($G$74:$G$103&lt;=J$32)*J$32)+1)/($H$74:$H$103-$G$74:$G$103+1))</f>
        <v>0</v>
      </c>
      <c r="K38" s="214">
        <f>SUMPRODUCT(($D$74:$D$103=$A38)*$F$74:$F$103*(((($H$74:$H$103&lt;EOMONTH(K$32,0))*$H$74:$H$103+($H$74:$H$103&gt;=EOMONTH(K$32,0))*EOMONTH(K$32,0))-(($G$74:$G$103&gt;K$32)*$G$74:$G$103+($G$74:$G$103&lt;=K$32)*K$32)+1)&gt;0)*((($H$74:$H$103&lt;EOMONTH(K$32,0))*$H$74:$H$103+($H$74:$H$103&gt;=EOMONTH(K$32,0))*EOMONTH(K$32,0))-(($G$74:$G$103&gt;K$32)*$G$74:$G$103+($G$74:$G$103&lt;=K$32)*K$32)+1)/($H$74:$H$103-$G$74:$G$103+1))</f>
        <v>0</v>
      </c>
      <c r="L38" s="214">
        <f>SUMPRODUCT(($D$74:$D$103=$A38)*$F$74:$F$103*(((($H$74:$H$103&lt;EOMONTH(L$32,0))*$H$74:$H$103+($H$74:$H$103&gt;=EOMONTH(L$32,0))*EOMONTH(L$32,0))-(($G$74:$G$103&gt;L$32)*$G$74:$G$103+($G$74:$G$103&lt;=L$32)*L$32)+1)&gt;0)*((($H$74:$H$103&lt;EOMONTH(L$32,0))*$H$74:$H$103+($H$74:$H$103&gt;=EOMONTH(L$32,0))*EOMONTH(L$32,0))-(($G$74:$G$103&gt;L$32)*$G$74:$G$103+($G$74:$G$103&lt;=L$32)*L$32)+1)/($H$74:$H$103-$G$74:$G$103+1))</f>
        <v>0</v>
      </c>
      <c r="M38" s="214">
        <f>SUMPRODUCT(($D$74:$D$103=$A38)*$F$74:$F$103*(((($H$74:$H$103&lt;EOMONTH(M$32,0))*$H$74:$H$103+($H$74:$H$103&gt;=EOMONTH(M$32,0))*EOMONTH(M$32,0))-(($G$74:$G$103&gt;M$32)*$G$74:$G$103+($G$74:$G$103&lt;=M$32)*M$32)+1)&gt;0)*((($H$74:$H$103&lt;EOMONTH(M$32,0))*$H$74:$H$103+($H$74:$H$103&gt;=EOMONTH(M$32,0))*EOMONTH(M$32,0))-(($G$74:$G$103&gt;M$32)*$G$74:$G$103+($G$74:$G$103&lt;=M$32)*M$32)+1)/($H$74:$H$103-$G$74:$G$103+1))</f>
        <v>0</v>
      </c>
      <c r="N38" s="214">
        <f>SUMPRODUCT(($D$74:$D$103=$A38)*$F$74:$F$103*(((($H$74:$H$103&lt;EOMONTH(N$32,0))*$H$74:$H$103+($H$74:$H$103&gt;=EOMONTH(N$32,0))*EOMONTH(N$32,0))-(($G$74:$G$103&gt;N$32)*$G$74:$G$103+($G$74:$G$103&lt;=N$32)*N$32)+1)&gt;0)*((($H$74:$H$103&lt;EOMONTH(N$32,0))*$H$74:$H$103+($H$74:$H$103&gt;=EOMONTH(N$32,0))*EOMONTH(N$32,0))-(($G$74:$G$103&gt;N$32)*$G$74:$G$103+($G$74:$G$103&lt;=N$32)*N$32)+1)/($H$74:$H$103-$G$74:$G$103+1))</f>
        <v>0</v>
      </c>
      <c r="O38" s="214">
        <f>SUMPRODUCT(($D$74:$D$103=$A38)*$F$74:$F$103*(((($H$74:$H$103&lt;EOMONTH(O$32,0))*$H$74:$H$103+($H$74:$H$103&gt;=EOMONTH(O$32,0))*EOMONTH(O$32,0))-(($G$74:$G$103&gt;O$32)*$G$74:$G$103+($G$74:$G$103&lt;=O$32)*O$32)+1)&gt;0)*((($H$74:$H$103&lt;EOMONTH(O$32,0))*$H$74:$H$103+($H$74:$H$103&gt;=EOMONTH(O$32,0))*EOMONTH(O$32,0))-(($G$74:$G$103&gt;O$32)*$G$74:$G$103+($G$74:$G$103&lt;=O$32)*O$32)+1)/($H$74:$H$103-$G$74:$G$103+1))</f>
        <v>0</v>
      </c>
      <c r="P38" s="102">
        <f>SUM(D38:O38)</f>
        <v>72003.88</v>
      </c>
    </row>
    <row r="39">
      <c r="A39" s="81" t="inlineStr">
        <is>
          <t>342-07</t>
        </is>
      </c>
      <c r="B39" s="126" t="n">
        <v>342</v>
      </c>
      <c r="C39" s="73" t="inlineStr">
        <is>
          <t>TANQUE DE LODO</t>
        </is>
      </c>
      <c r="D39" s="214">
        <f>SUMPRODUCT(($D$74:$D$103=$A39)*$F$74:$F$103*(((($H$74:$H$103&lt;EOMONTH(D$32,0))*$H$74:$H$103+($H$74:$H$103&gt;=EOMONTH(D$32,0))*EOMONTH(D$32,0))-(($G$74:$G$103&gt;D$32)*$G$74:$G$103+($G$74:$G$103&lt;=D$32)*D$32)+1)&gt;0)*((($H$74:$H$103&lt;EOMONTH(D$32,0))*$H$74:$H$103+($H$74:$H$103&gt;=EOMONTH(D$32,0))*EOMONTH(D$32,0))-(($G$74:$G$103&gt;D$32)*$G$74:$G$103+($G$74:$G$103&lt;=D$32)*D$32)+1)/($H$74:$H$103-$G$74:$G$103+1))</f>
        <v>0</v>
      </c>
      <c r="E39" s="214">
        <f>SUMPRODUCT(($D$74:$D$103=$A39)*$F$74:$F$103*(((($H$74:$H$103&lt;EOMONTH(E$32,0))*$H$74:$H$103+($H$74:$H$103&gt;=EOMONTH(E$32,0))*EOMONTH(E$32,0))-(($G$74:$G$103&gt;E$32)*$G$74:$G$103+($G$74:$G$103&lt;=E$32)*E$32)+1)&gt;0)*((($H$74:$H$103&lt;EOMONTH(E$32,0))*$H$74:$H$103+($H$74:$H$103&gt;=EOMONTH(E$32,0))*EOMONTH(E$32,0))-(($G$74:$G$103&gt;E$32)*$G$74:$G$103+($G$74:$G$103&lt;=E$32)*E$32)+1)/($H$74:$H$103-$G$74:$G$103+1))</f>
        <v>0</v>
      </c>
      <c r="F39" s="214">
        <f>SUMPRODUCT(($D$74:$D$103=$A39)*$F$74:$F$103*(((($H$74:$H$103&lt;EOMONTH(F$32,0))*$H$74:$H$103+($H$74:$H$103&gt;=EOMONTH(F$32,0))*EOMONTH(F$32,0))-(($G$74:$G$103&gt;F$32)*$G$74:$G$103+($G$74:$G$103&lt;=F$32)*F$32)+1)&gt;0)*((($H$74:$H$103&lt;EOMONTH(F$32,0))*$H$74:$H$103+($H$74:$H$103&gt;=EOMONTH(F$32,0))*EOMONTH(F$32,0))-(($G$74:$G$103&gt;F$32)*$G$74:$G$103+($G$74:$G$103&lt;=F$32)*F$32)+1)/($H$74:$H$103-$G$74:$G$103+1))</f>
        <v>20399.37</v>
      </c>
      <c r="G39" s="214">
        <f>SUMPRODUCT(($D$74:$D$103=$A39)*$F$74:$F$103*(((($H$74:$H$103&lt;EOMONTH(G$32,0))*$H$74:$H$103+($H$74:$H$103&gt;=EOMONTH(G$32,0))*EOMONTH(G$32,0))-(($G$74:$G$103&gt;G$32)*$G$74:$G$103+($G$74:$G$103&lt;=G$32)*G$32)+1)&gt;0)*((($H$74:$H$103&lt;EOMONTH(G$32,0))*$H$74:$H$103+($H$74:$H$103&gt;=EOMONTH(G$32,0))*EOMONTH(G$32,0))-(($G$74:$G$103&gt;G$32)*$G$74:$G$103+($G$74:$G$103&lt;=G$32)*G$32)+1)/($H$74:$H$103-$G$74:$G$103+1))</f>
        <v>234077.112244898</v>
      </c>
      <c r="H39" s="214">
        <f>SUMPRODUCT(($D$74:$D$103=$A39)*$F$74:$F$103*(((($H$74:$H$103&lt;EOMONTH(H$32,0))*$H$74:$H$103+($H$74:$H$103&gt;=EOMONTH(H$32,0))*EOMONTH(H$32,0))-(($G$74:$G$103&gt;H$32)*$G$74:$G$103+($G$74:$G$103&lt;=H$32)*H$32)+1)&gt;0)*((($H$74:$H$103&lt;EOMONTH(H$32,0))*$H$74:$H$103+($H$74:$H$103&gt;=EOMONTH(H$32,0))*EOMONTH(H$32,0))-(($G$74:$G$103&gt;H$32)*$G$74:$G$103+($G$74:$G$103&lt;=H$32)*H$32)+1)/($H$74:$H$103-$G$74:$G$103+1))</f>
        <v>148248.837755102</v>
      </c>
      <c r="I39" s="214">
        <f>SUMPRODUCT(($D$74:$D$103=$A39)*$F$74:$F$103*(((($H$74:$H$103&lt;EOMONTH(I$32,0))*$H$74:$H$103+($H$74:$H$103&gt;=EOMONTH(I$32,0))*EOMONTH(I$32,0))-(($G$74:$G$103&gt;I$32)*$G$74:$G$103+($G$74:$G$103&lt;=I$32)*I$32)+1)&gt;0)*((($H$74:$H$103&lt;EOMONTH(I$32,0))*$H$74:$H$103+($H$74:$H$103&gt;=EOMONTH(I$32,0))*EOMONTH(I$32,0))-(($G$74:$G$103&gt;I$32)*$G$74:$G$103+($G$74:$G$103&lt;=I$32)*I$32)+1)/($H$74:$H$103-$G$74:$G$103+1))</f>
        <v>0</v>
      </c>
      <c r="J39" s="214">
        <f>SUMPRODUCT(($D$74:$D$103=$A39)*$F$74:$F$103*(((($H$74:$H$103&lt;EOMONTH(J$32,0))*$H$74:$H$103+($H$74:$H$103&gt;=EOMONTH(J$32,0))*EOMONTH(J$32,0))-(($G$74:$G$103&gt;J$32)*$G$74:$G$103+($G$74:$G$103&lt;=J$32)*J$32)+1)&gt;0)*((($H$74:$H$103&lt;EOMONTH(J$32,0))*$H$74:$H$103+($H$74:$H$103&gt;=EOMONTH(J$32,0))*EOMONTH(J$32,0))-(($G$74:$G$103&gt;J$32)*$G$74:$G$103+($G$74:$G$103&lt;=J$32)*J$32)+1)/($H$74:$H$103-$G$74:$G$103+1))</f>
        <v>67644.5975</v>
      </c>
      <c r="K39" s="214">
        <f>SUMPRODUCT(($D$74:$D$103=$A39)*$F$74:$F$103*(((($H$74:$H$103&lt;EOMONTH(K$32,0))*$H$74:$H$103+($H$74:$H$103&gt;=EOMONTH(K$32,0))*EOMONTH(K$32,0))-(($G$74:$G$103&gt;K$32)*$G$74:$G$103+($G$74:$G$103&lt;=K$32)*K$32)+1)&gt;0)*((($H$74:$H$103&lt;EOMONTH(K$32,0))*$H$74:$H$103+($H$74:$H$103&gt;=EOMONTH(K$32,0))*EOMONTH(K$32,0))-(($G$74:$G$103&gt;K$32)*$G$74:$G$103+($G$74:$G$103&lt;=K$32)*K$32)+1)/($H$74:$H$103-$G$74:$G$103+1))</f>
        <v>652699.5925</v>
      </c>
      <c r="L39" s="214">
        <f>SUMPRODUCT(($D$74:$D$103=$A39)*$F$74:$F$103*(((($H$74:$H$103&lt;EOMONTH(L$32,0))*$H$74:$H$103+($H$74:$H$103&gt;=EOMONTH(L$32,0))*EOMONTH(L$32,0))-(($G$74:$G$103&gt;L$32)*$G$74:$G$103+($G$74:$G$103&lt;=L$32)*L$32)+1)&gt;0)*((($H$74:$H$103&lt;EOMONTH(L$32,0))*$H$74:$H$103+($H$74:$H$103&gt;=EOMONTH(L$32,0))*EOMONTH(L$32,0))-(($G$74:$G$103&gt;L$32)*$G$74:$G$103+($G$74:$G$103&lt;=L$32)*L$32)+1)/($H$74:$H$103-$G$74:$G$103+1))</f>
        <v>57448.29</v>
      </c>
      <c r="M39" s="214">
        <f>SUMPRODUCT(($D$74:$D$103=$A39)*$F$74:$F$103*(((($H$74:$H$103&lt;EOMONTH(M$32,0))*$H$74:$H$103+($H$74:$H$103&gt;=EOMONTH(M$32,0))*EOMONTH(M$32,0))-(($G$74:$G$103&gt;M$32)*$G$74:$G$103+($G$74:$G$103&lt;=M$32)*M$32)+1)&gt;0)*((($H$74:$H$103&lt;EOMONTH(M$32,0))*$H$74:$H$103+($H$74:$H$103&gt;=EOMONTH(M$32,0))*EOMONTH(M$32,0))-(($G$74:$G$103&gt;M$32)*$G$74:$G$103+($G$74:$G$103&lt;=M$32)*M$32)+1)/($H$74:$H$103-$G$74:$G$103+1))</f>
        <v>0</v>
      </c>
      <c r="N39" s="214">
        <f>SUMPRODUCT(($D$74:$D$103=$A39)*$F$74:$F$103*(((($H$74:$H$103&lt;EOMONTH(N$32,0))*$H$74:$H$103+($H$74:$H$103&gt;=EOMONTH(N$32,0))*EOMONTH(N$32,0))-(($G$74:$G$103&gt;N$32)*$G$74:$G$103+($G$74:$G$103&lt;=N$32)*N$32)+1)&gt;0)*((($H$74:$H$103&lt;EOMONTH(N$32,0))*$H$74:$H$103+($H$74:$H$103&gt;=EOMONTH(N$32,0))*EOMONTH(N$32,0))-(($G$74:$G$103&gt;N$32)*$G$74:$G$103+($G$74:$G$103&lt;=N$32)*N$32)+1)/($H$74:$H$103-$G$74:$G$103+1))</f>
        <v>0</v>
      </c>
      <c r="O39" s="214">
        <f>SUMPRODUCT(($D$74:$D$103=$A39)*$F$74:$F$103*(((($H$74:$H$103&lt;EOMONTH(O$32,0))*$H$74:$H$103+($H$74:$H$103&gt;=EOMONTH(O$32,0))*EOMONTH(O$32,0))-(($G$74:$G$103&gt;O$32)*$G$74:$G$103+($G$74:$G$103&lt;=O$32)*O$32)+1)&gt;0)*((($H$74:$H$103&lt;EOMONTH(O$32,0))*$H$74:$H$103+($H$74:$H$103&gt;=EOMONTH(O$32,0))*EOMONTH(O$32,0))-(($G$74:$G$103&gt;O$32)*$G$74:$G$103+($G$74:$G$103&lt;=O$32)*O$32)+1)/($H$74:$H$103-$G$74:$G$103+1))</f>
        <v>0</v>
      </c>
      <c r="P39" s="102">
        <f>SUM(D39:O39)</f>
        <v>1180517.8</v>
      </c>
    </row>
    <row r="40">
      <c r="A40" s="81" t="inlineStr">
        <is>
          <t>342-08</t>
        </is>
      </c>
      <c r="B40" s="126" t="n">
        <v>342</v>
      </c>
      <c r="C40" s="73" t="inlineStr">
        <is>
          <t>ESTAÇÃO ELEVATÓRIA DE RECIRCULAÇÃO DE LODO</t>
        </is>
      </c>
      <c r="D40" s="214">
        <f>SUMPRODUCT(($D$74:$D$103=$A40)*$F$74:$F$103*(((($H$74:$H$103&lt;EOMONTH(D$32,0))*$H$74:$H$103+($H$74:$H$103&gt;=EOMONTH(D$32,0))*EOMONTH(D$32,0))-(($G$74:$G$103&gt;D$32)*$G$74:$G$103+($G$74:$G$103&lt;=D$32)*D$32)+1)&gt;0)*((($H$74:$H$103&lt;EOMONTH(D$32,0))*$H$74:$H$103+($H$74:$H$103&gt;=EOMONTH(D$32,0))*EOMONTH(D$32,0))-(($G$74:$G$103&gt;D$32)*$G$74:$G$103+($G$74:$G$103&lt;=D$32)*D$32)+1)/($H$74:$H$103-$G$74:$G$103+1))</f>
        <v>0</v>
      </c>
      <c r="E40" s="214">
        <f>SUMPRODUCT(($D$74:$D$103=$A40)*$F$74:$F$103*(((($H$74:$H$103&lt;EOMONTH(E$32,0))*$H$74:$H$103+($H$74:$H$103&gt;=EOMONTH(E$32,0))*EOMONTH(E$32,0))-(($G$74:$G$103&gt;E$32)*$G$74:$G$103+($G$74:$G$103&lt;=E$32)*E$32)+1)&gt;0)*((($H$74:$H$103&lt;EOMONTH(E$32,0))*$H$74:$H$103+($H$74:$H$103&gt;=EOMONTH(E$32,0))*EOMONTH(E$32,0))-(($G$74:$G$103&gt;E$32)*$G$74:$G$103+($G$74:$G$103&lt;=E$32)*E$32)+1)/($H$74:$H$103-$G$74:$G$103+1))</f>
        <v>0</v>
      </c>
      <c r="F40" s="214">
        <f>SUMPRODUCT(($D$74:$D$103=$A40)*$F$74:$F$103*(((($H$74:$H$103&lt;EOMONTH(F$32,0))*$H$74:$H$103+($H$74:$H$103&gt;=EOMONTH(F$32,0))*EOMONTH(F$32,0))-(($G$74:$G$103&gt;F$32)*$G$74:$G$103+($G$74:$G$103&lt;=F$32)*F$32)+1)&gt;0)*((($H$74:$H$103&lt;EOMONTH(F$32,0))*$H$74:$H$103+($H$74:$H$103&gt;=EOMONTH(F$32,0))*EOMONTH(F$32,0))-(($G$74:$G$103&gt;F$32)*$G$74:$G$103+($G$74:$G$103&lt;=F$32)*F$32)+1)/($H$74:$H$103-$G$74:$G$103+1))</f>
        <v>0</v>
      </c>
      <c r="G40" s="214">
        <f>SUMPRODUCT(($D$74:$D$103=$A40)*$F$74:$F$103*(((($H$74:$H$103&lt;EOMONTH(G$32,0))*$H$74:$H$103+($H$74:$H$103&gt;=EOMONTH(G$32,0))*EOMONTH(G$32,0))-(($G$74:$G$103&gt;G$32)*$G$74:$G$103+($G$74:$G$103&lt;=G$32)*G$32)+1)&gt;0)*((($H$74:$H$103&lt;EOMONTH(G$32,0))*$H$74:$H$103+($H$74:$H$103&gt;=EOMONTH(G$32,0))*EOMONTH(G$32,0))-(($G$74:$G$103&gt;G$32)*$G$74:$G$103+($G$74:$G$103&lt;=G$32)*G$32)+1)/($H$74:$H$103-$G$74:$G$103+1))</f>
        <v>0</v>
      </c>
      <c r="H40" s="214">
        <f>SUMPRODUCT(($D$74:$D$103=$A40)*$F$74:$F$103*(((($H$74:$H$103&lt;EOMONTH(H$32,0))*$H$74:$H$103+($H$74:$H$103&gt;=EOMONTH(H$32,0))*EOMONTH(H$32,0))-(($G$74:$G$103&gt;H$32)*$G$74:$G$103+($G$74:$G$103&lt;=H$32)*H$32)+1)&gt;0)*((($H$74:$H$103&lt;EOMONTH(H$32,0))*$H$74:$H$103+($H$74:$H$103&gt;=EOMONTH(H$32,0))*EOMONTH(H$32,0))-(($G$74:$G$103&gt;H$32)*$G$74:$G$103+($G$74:$G$103&lt;=H$32)*H$32)+1)/($H$74:$H$103-$G$74:$G$103+1))</f>
        <v>13202.9425</v>
      </c>
      <c r="I40" s="214">
        <f>SUMPRODUCT(($D$74:$D$103=$A40)*$F$74:$F$103*(((($H$74:$H$103&lt;EOMONTH(I$32,0))*$H$74:$H$103+($H$74:$H$103&gt;=EOMONTH(I$32,0))*EOMONTH(I$32,0))-(($G$74:$G$103&gt;I$32)*$G$74:$G$103+($G$74:$G$103&lt;=I$32)*I$32)+1)&gt;0)*((($H$74:$H$103&lt;EOMONTH(I$32,0))*$H$74:$H$103+($H$74:$H$103&gt;=EOMONTH(I$32,0))*EOMONTH(I$32,0))-(($G$74:$G$103&gt;I$32)*$G$74:$G$103+($G$74:$G$103&lt;=I$32)*I$32)+1)/($H$74:$H$103-$G$74:$G$103+1))</f>
        <v>130727.92625</v>
      </c>
      <c r="J40" s="214">
        <f>SUMPRODUCT(($D$74:$D$103=$A40)*$F$74:$F$103*(((($H$74:$H$103&lt;EOMONTH(J$32,0))*$H$74:$H$103+($H$74:$H$103&gt;=EOMONTH(J$32,0))*EOMONTH(J$32,0))-(($G$74:$G$103&gt;J$32)*$G$74:$G$103+($G$74:$G$103&lt;=J$32)*J$32)+1)&gt;0)*((($H$74:$H$103&lt;EOMONTH(J$32,0))*$H$74:$H$103+($H$74:$H$103&gt;=EOMONTH(J$32,0))*EOMONTH(J$32,0))-(($G$74:$G$103&gt;J$32)*$G$74:$G$103+($G$74:$G$103&lt;=J$32)*J$32)+1)/($H$74:$H$103-$G$74:$G$103+1))</f>
        <v>18503.95125</v>
      </c>
      <c r="K40" s="214">
        <f>SUMPRODUCT(($D$74:$D$103=$A40)*$F$74:$F$103*(((($H$74:$H$103&lt;EOMONTH(K$32,0))*$H$74:$H$103+($H$74:$H$103&gt;=EOMONTH(K$32,0))*EOMONTH(K$32,0))-(($G$74:$G$103&gt;K$32)*$G$74:$G$103+($G$74:$G$103&lt;=K$32)*K$32)+1)&gt;0)*((($H$74:$H$103&lt;EOMONTH(K$32,0))*$H$74:$H$103+($H$74:$H$103&gt;=EOMONTH(K$32,0))*EOMONTH(K$32,0))-(($G$74:$G$103&gt;K$32)*$G$74:$G$103+($G$74:$G$103&lt;=K$32)*K$32)+1)/($H$74:$H$103-$G$74:$G$103+1))</f>
        <v>63755.08</v>
      </c>
      <c r="L40" s="214">
        <f>SUMPRODUCT(($D$74:$D$103=$A40)*$F$74:$F$103*(((($H$74:$H$103&lt;EOMONTH(L$32,0))*$H$74:$H$103+($H$74:$H$103&gt;=EOMONTH(L$32,0))*EOMONTH(L$32,0))-(($G$74:$G$103&gt;L$32)*$G$74:$G$103+($G$74:$G$103&lt;=L$32)*L$32)+1)&gt;0)*((($H$74:$H$103&lt;EOMONTH(L$32,0))*$H$74:$H$103+($H$74:$H$103&gt;=EOMONTH(L$32,0))*EOMONTH(L$32,0))-(($G$74:$G$103&gt;L$32)*$G$74:$G$103+($G$74:$G$103&lt;=L$32)*L$32)+1)/($H$74:$H$103-$G$74:$G$103+1))</f>
        <v>289086.26</v>
      </c>
      <c r="M40" s="214">
        <f>SUMPRODUCT(($D$74:$D$103=$A40)*$F$74:$F$103*(((($H$74:$H$103&lt;EOMONTH(M$32,0))*$H$74:$H$103+($H$74:$H$103&gt;=EOMONTH(M$32,0))*EOMONTH(M$32,0))-(($G$74:$G$103&gt;M$32)*$G$74:$G$103+($G$74:$G$103&lt;=M$32)*M$32)+1)&gt;0)*((($H$74:$H$103&lt;EOMONTH(M$32,0))*$H$74:$H$103+($H$74:$H$103&gt;=EOMONTH(M$32,0))*EOMONTH(M$32,0))-(($G$74:$G$103&gt;M$32)*$G$74:$G$103+($G$74:$G$103&lt;=M$32)*M$32)+1)/($H$74:$H$103-$G$74:$G$103+1))</f>
        <v>15511.1</v>
      </c>
      <c r="N40" s="214">
        <f>SUMPRODUCT(($D$74:$D$103=$A40)*$F$74:$F$103*(((($H$74:$H$103&lt;EOMONTH(N$32,0))*$H$74:$H$103+($H$74:$H$103&gt;=EOMONTH(N$32,0))*EOMONTH(N$32,0))-(($G$74:$G$103&gt;N$32)*$G$74:$G$103+($G$74:$G$103&lt;=N$32)*N$32)+1)&gt;0)*((($H$74:$H$103&lt;EOMONTH(N$32,0))*$H$74:$H$103+($H$74:$H$103&gt;=EOMONTH(N$32,0))*EOMONTH(N$32,0))-(($G$74:$G$103&gt;N$32)*$G$74:$G$103+($G$74:$G$103&lt;=N$32)*N$32)+1)/($H$74:$H$103-$G$74:$G$103+1))</f>
        <v>0</v>
      </c>
      <c r="O40" s="214">
        <f>SUMPRODUCT(($D$74:$D$103=$A40)*$F$74:$F$103*(((($H$74:$H$103&lt;EOMONTH(O$32,0))*$H$74:$H$103+($H$74:$H$103&gt;=EOMONTH(O$32,0))*EOMONTH(O$32,0))-(($G$74:$G$103&gt;O$32)*$G$74:$G$103+($G$74:$G$103&lt;=O$32)*O$32)+1)&gt;0)*((($H$74:$H$103&lt;EOMONTH(O$32,0))*$H$74:$H$103+($H$74:$H$103&gt;=EOMONTH(O$32,0))*EOMONTH(O$32,0))-(($G$74:$G$103&gt;O$32)*$G$74:$G$103+($G$74:$G$103&lt;=O$32)*O$32)+1)/($H$74:$H$103-$G$74:$G$103+1))</f>
        <v>0</v>
      </c>
      <c r="P40" s="102">
        <f>SUM(D40:O40)</f>
        <v>530787.26</v>
      </c>
    </row>
    <row r="41">
      <c r="A41" s="81" t="inlineStr">
        <is>
          <t>342-09</t>
        </is>
      </c>
      <c r="B41" s="126" t="n">
        <v>342</v>
      </c>
      <c r="C41" s="73" t="inlineStr">
        <is>
          <t>URBANIZAÇÃO, CANALETAS, CAIXAS E SERVIÇOS COMPLEMENTARES</t>
        </is>
      </c>
      <c r="D41" s="214">
        <f>SUMPRODUCT(($D$74:$D$103=$A41)*$F$74:$F$103*(((($H$74:$H$103&lt;EOMONTH(D$32,0))*$H$74:$H$103+($H$74:$H$103&gt;=EOMONTH(D$32,0))*EOMONTH(D$32,0))-(($G$74:$G$103&gt;D$32)*$G$74:$G$103+($G$74:$G$103&lt;=D$32)*D$32)+1)&gt;0)*((($H$74:$H$103&lt;EOMONTH(D$32,0))*$H$74:$H$103+($H$74:$H$103&gt;=EOMONTH(D$32,0))*EOMONTH(D$32,0))-(($G$74:$G$103&gt;D$32)*$G$74:$G$103+($G$74:$G$103&lt;=D$32)*D$32)+1)/($H$74:$H$103-$G$74:$G$103+1))</f>
        <v>0</v>
      </c>
      <c r="E41" s="214">
        <f>SUMPRODUCT(($D$74:$D$103=$A41)*$F$74:$F$103*(((($H$74:$H$103&lt;EOMONTH(E$32,0))*$H$74:$H$103+($H$74:$H$103&gt;=EOMONTH(E$32,0))*EOMONTH(E$32,0))-(($G$74:$G$103&gt;E$32)*$G$74:$G$103+($G$74:$G$103&lt;=E$32)*E$32)+1)&gt;0)*((($H$74:$H$103&lt;EOMONTH(E$32,0))*$H$74:$H$103+($H$74:$H$103&gt;=EOMONTH(E$32,0))*EOMONTH(E$32,0))-(($G$74:$G$103&gt;E$32)*$G$74:$G$103+($G$74:$G$103&lt;=E$32)*E$32)+1)/($H$74:$H$103-$G$74:$G$103+1))</f>
        <v>0</v>
      </c>
      <c r="F41" s="214">
        <f>SUMPRODUCT(($D$74:$D$103=$A41)*$F$74:$F$103*(((($H$74:$H$103&lt;EOMONTH(F$32,0))*$H$74:$H$103+($H$74:$H$103&gt;=EOMONTH(F$32,0))*EOMONTH(F$32,0))-(($G$74:$G$103&gt;F$32)*$G$74:$G$103+($G$74:$G$103&lt;=F$32)*F$32)+1)&gt;0)*((($H$74:$H$103&lt;EOMONTH(F$32,0))*$H$74:$H$103+($H$74:$H$103&gt;=EOMONTH(F$32,0))*EOMONTH(F$32,0))-(($G$74:$G$103&gt;F$32)*$G$74:$G$103+($G$74:$G$103&lt;=F$32)*F$32)+1)/($H$74:$H$103-$G$74:$G$103+1))</f>
        <v>0</v>
      </c>
      <c r="G41" s="214">
        <f>SUMPRODUCT(($D$74:$D$103=$A41)*$F$74:$F$103*(((($H$74:$H$103&lt;EOMONTH(G$32,0))*$H$74:$H$103+($H$74:$H$103&gt;=EOMONTH(G$32,0))*EOMONTH(G$32,0))-(($G$74:$G$103&gt;G$32)*$G$74:$G$103+($G$74:$G$103&lt;=G$32)*G$32)+1)&gt;0)*((($H$74:$H$103&lt;EOMONTH(G$32,0))*$H$74:$H$103+($H$74:$H$103&gt;=EOMONTH(G$32,0))*EOMONTH(G$32,0))-(($G$74:$G$103&gt;G$32)*$G$74:$G$103+($G$74:$G$103&lt;=G$32)*G$32)+1)/($H$74:$H$103-$G$74:$G$103+1))</f>
        <v>0</v>
      </c>
      <c r="H41" s="214">
        <f>SUMPRODUCT(($D$74:$D$103=$A41)*$F$74:$F$103*(((($H$74:$H$103&lt;EOMONTH(H$32,0))*$H$74:$H$103+($H$74:$H$103&gt;=EOMONTH(H$32,0))*EOMONTH(H$32,0))-(($G$74:$G$103&gt;H$32)*$G$74:$G$103+($G$74:$G$103&lt;=H$32)*H$32)+1)&gt;0)*((($H$74:$H$103&lt;EOMONTH(H$32,0))*$H$74:$H$103+($H$74:$H$103&gt;=EOMONTH(H$32,0))*EOMONTH(H$32,0))-(($G$74:$G$103&gt;H$32)*$G$74:$G$103+($G$74:$G$103&lt;=H$32)*H$32)+1)/($H$74:$H$103-$G$74:$G$103+1))</f>
        <v>0</v>
      </c>
      <c r="I41" s="214">
        <f>SUMPRODUCT(($D$74:$D$103=$A41)*$F$74:$F$103*(((($H$74:$H$103&lt;EOMONTH(I$32,0))*$H$74:$H$103+($H$74:$H$103&gt;=EOMONTH(I$32,0))*EOMONTH(I$32,0))-(($G$74:$G$103&gt;I$32)*$G$74:$G$103+($G$74:$G$103&lt;=I$32)*I$32)+1)&gt;0)*((($H$74:$H$103&lt;EOMONTH(I$32,0))*$H$74:$H$103+($H$74:$H$103&gt;=EOMONTH(I$32,0))*EOMONTH(I$32,0))-(($G$74:$G$103&gt;I$32)*$G$74:$G$103+($G$74:$G$103&lt;=I$32)*I$32)+1)/($H$74:$H$103-$G$74:$G$103+1))</f>
        <v>0</v>
      </c>
      <c r="J41" s="214">
        <f>SUMPRODUCT(($D$74:$D$103=$A41)*$F$74:$F$103*(((($H$74:$H$103&lt;EOMONTH(J$32,0))*$H$74:$H$103+($H$74:$H$103&gt;=EOMONTH(J$32,0))*EOMONTH(J$32,0))-(($G$74:$G$103&gt;J$32)*$G$74:$G$103+($G$74:$G$103&lt;=J$32)*J$32)+1)&gt;0)*((($H$74:$H$103&lt;EOMONTH(J$32,0))*$H$74:$H$103+($H$74:$H$103&gt;=EOMONTH(J$32,0))*EOMONTH(J$32,0))-(($G$74:$G$103&gt;J$32)*$G$74:$G$103+($G$74:$G$103&lt;=J$32)*J$32)+1)/($H$74:$H$103-$G$74:$G$103+1))</f>
        <v>0</v>
      </c>
      <c r="K41" s="214">
        <f>SUMPRODUCT(($D$74:$D$103=$A41)*$F$74:$F$103*(((($H$74:$H$103&lt;EOMONTH(K$32,0))*$H$74:$H$103+($H$74:$H$103&gt;=EOMONTH(K$32,0))*EOMONTH(K$32,0))-(($G$74:$G$103&gt;K$32)*$G$74:$G$103+($G$74:$G$103&lt;=K$32)*K$32)+1)&gt;0)*((($H$74:$H$103&lt;EOMONTH(K$32,0))*$H$74:$H$103+($H$74:$H$103&gt;=EOMONTH(K$32,0))*EOMONTH(K$32,0))-(($G$74:$G$103&gt;K$32)*$G$74:$G$103+($G$74:$G$103&lt;=K$32)*K$32)+1)/($H$74:$H$103-$G$74:$G$103+1))</f>
        <v>0</v>
      </c>
      <c r="L41" s="214">
        <f>SUMPRODUCT(($D$74:$D$103=$A41)*$F$74:$F$103*(((($H$74:$H$103&lt;EOMONTH(L$32,0))*$H$74:$H$103+($H$74:$H$103&gt;=EOMONTH(L$32,0))*EOMONTH(L$32,0))-(($G$74:$G$103&gt;L$32)*$G$74:$G$103+($G$74:$G$103&lt;=L$32)*L$32)+1)&gt;0)*((($H$74:$H$103&lt;EOMONTH(L$32,0))*$H$74:$H$103+($H$74:$H$103&gt;=EOMONTH(L$32,0))*EOMONTH(L$32,0))-(($G$74:$G$103&gt;L$32)*$G$74:$G$103+($G$74:$G$103&lt;=L$32)*L$32)+1)/($H$74:$H$103-$G$74:$G$103+1))</f>
        <v>23934.1266666667</v>
      </c>
      <c r="M41" s="214">
        <f>SUMPRODUCT(($D$74:$D$103=$A41)*$F$74:$F$103*(((($H$74:$H$103&lt;EOMONTH(M$32,0))*$H$74:$H$103+($H$74:$H$103&gt;=EOMONTH(M$32,0))*EOMONTH(M$32,0))-(($G$74:$G$103&gt;M$32)*$G$74:$G$103+($G$74:$G$103&lt;=M$32)*M$32)+1)&gt;0)*((($H$74:$H$103&lt;EOMONTH(M$32,0))*$H$74:$H$103+($H$74:$H$103&gt;=EOMONTH(M$32,0))*EOMONTH(M$32,0))-(($G$74:$G$103&gt;M$32)*$G$74:$G$103+($G$74:$G$103&lt;=M$32)*M$32)+1)/($H$74:$H$103-$G$74:$G$103+1))</f>
        <v>133129.153333333</v>
      </c>
      <c r="N41" s="214">
        <f>SUMPRODUCT(($D$74:$D$103=$A41)*$F$74:$F$103*(((($H$74:$H$103&lt;EOMONTH(N$32,0))*$H$74:$H$103+($H$74:$H$103&gt;=EOMONTH(N$32,0))*EOMONTH(N$32,0))-(($G$74:$G$103&gt;N$32)*$G$74:$G$103+($G$74:$G$103&lt;=N$32)*N$32)+1)&gt;0)*((($H$74:$H$103&lt;EOMONTH(N$32,0))*$H$74:$H$103+($H$74:$H$103&gt;=EOMONTH(N$32,0))*EOMONTH(N$32,0))-(($G$74:$G$103&gt;N$32)*$G$74:$G$103+($G$74:$G$103&lt;=N$32)*N$32)+1)/($H$74:$H$103-$G$74:$G$103+1))</f>
        <v>61574.46</v>
      </c>
      <c r="O41" s="214">
        <f>SUMPRODUCT(($D$74:$D$103=$A41)*$F$74:$F$103*(((($H$74:$H$103&lt;EOMONTH(O$32,0))*$H$74:$H$103+($H$74:$H$103&gt;=EOMONTH(O$32,0))*EOMONTH(O$32,0))-(($G$74:$G$103&gt;O$32)*$G$74:$G$103+($G$74:$G$103&lt;=O$32)*O$32)+1)&gt;0)*((($H$74:$H$103&lt;EOMONTH(O$32,0))*$H$74:$H$103+($H$74:$H$103&gt;=EOMONTH(O$32,0))*EOMONTH(O$32,0))-(($G$74:$G$103&gt;O$32)*$G$74:$G$103+($G$74:$G$103&lt;=O$32)*O$32)+1)/($H$74:$H$103-$G$74:$G$103+1))</f>
        <v>0</v>
      </c>
      <c r="P41" s="102">
        <f>SUM(D41:O41)</f>
        <v>218637.74</v>
      </c>
    </row>
    <row r="42">
      <c r="A42" s="81" t="inlineStr">
        <is>
          <t>342-10</t>
        </is>
      </c>
      <c r="B42" s="126" t="n">
        <v>342</v>
      </c>
      <c r="C42" s="73" t="inlineStr">
        <is>
          <t>REDE DE DISTRIBUIÇÃO DE ENERGIA</t>
        </is>
      </c>
      <c r="D42" s="214">
        <f>SUMPRODUCT(($D$74:$D$103=$A42)*$F$74:$F$103*(((($H$74:$H$103&lt;EOMONTH(D$32,0))*$H$74:$H$103+($H$74:$H$103&gt;=EOMONTH(D$32,0))*EOMONTH(D$32,0))-(($G$74:$G$103&gt;D$32)*$G$74:$G$103+($G$74:$G$103&lt;=D$32)*D$32)+1)&gt;0)*((($H$74:$H$103&lt;EOMONTH(D$32,0))*$H$74:$H$103+($H$74:$H$103&gt;=EOMONTH(D$32,0))*EOMONTH(D$32,0))-(($G$74:$G$103&gt;D$32)*$G$74:$G$103+($G$74:$G$103&lt;=D$32)*D$32)+1)/($H$74:$H$103-$G$74:$G$103+1))</f>
        <v>0</v>
      </c>
      <c r="E42" s="214">
        <f>SUMPRODUCT(($D$74:$D$103=$A42)*$F$74:$F$103*(((($H$74:$H$103&lt;EOMONTH(E$32,0))*$H$74:$H$103+($H$74:$H$103&gt;=EOMONTH(E$32,0))*EOMONTH(E$32,0))-(($G$74:$G$103&gt;E$32)*$G$74:$G$103+($G$74:$G$103&lt;=E$32)*E$32)+1)&gt;0)*((($H$74:$H$103&lt;EOMONTH(E$32,0))*$H$74:$H$103+($H$74:$H$103&gt;=EOMONTH(E$32,0))*EOMONTH(E$32,0))-(($G$74:$G$103&gt;E$32)*$G$74:$G$103+($G$74:$G$103&lt;=E$32)*E$32)+1)/($H$74:$H$103-$G$74:$G$103+1))</f>
        <v>0</v>
      </c>
      <c r="F42" s="214">
        <f>SUMPRODUCT(($D$74:$D$103=$A42)*$F$74:$F$103*(((($H$74:$H$103&lt;EOMONTH(F$32,0))*$H$74:$H$103+($H$74:$H$103&gt;=EOMONTH(F$32,0))*EOMONTH(F$32,0))-(($G$74:$G$103&gt;F$32)*$G$74:$G$103+($G$74:$G$103&lt;=F$32)*F$32)+1)&gt;0)*((($H$74:$H$103&lt;EOMONTH(F$32,0))*$H$74:$H$103+($H$74:$H$103&gt;=EOMONTH(F$32,0))*EOMONTH(F$32,0))-(($G$74:$G$103&gt;F$32)*$G$74:$G$103+($G$74:$G$103&lt;=F$32)*F$32)+1)/($H$74:$H$103-$G$74:$G$103+1))</f>
        <v>0</v>
      </c>
      <c r="G42" s="214">
        <f>SUMPRODUCT(($D$74:$D$103=$A42)*$F$74:$F$103*(((($H$74:$H$103&lt;EOMONTH(G$32,0))*$H$74:$H$103+($H$74:$H$103&gt;=EOMONTH(G$32,0))*EOMONTH(G$32,0))-(($G$74:$G$103&gt;G$32)*$G$74:$G$103+($G$74:$G$103&lt;=G$32)*G$32)+1)&gt;0)*((($H$74:$H$103&lt;EOMONTH(G$32,0))*$H$74:$H$103+($H$74:$H$103&gt;=EOMONTH(G$32,0))*EOMONTH(G$32,0))-(($G$74:$G$103&gt;G$32)*$G$74:$G$103+($G$74:$G$103&lt;=G$32)*G$32)+1)/($H$74:$H$103-$G$74:$G$103+1))</f>
        <v>0</v>
      </c>
      <c r="H42" s="214">
        <f>SUMPRODUCT(($D$74:$D$103=$A42)*$F$74:$F$103*(((($H$74:$H$103&lt;EOMONTH(H$32,0))*$H$74:$H$103+($H$74:$H$103&gt;=EOMONTH(H$32,0))*EOMONTH(H$32,0))-(($G$74:$G$103&gt;H$32)*$G$74:$G$103+($G$74:$G$103&lt;=H$32)*H$32)+1)&gt;0)*((($H$74:$H$103&lt;EOMONTH(H$32,0))*$H$74:$H$103+($H$74:$H$103&gt;=EOMONTH(H$32,0))*EOMONTH(H$32,0))-(($G$74:$G$103&gt;H$32)*$G$74:$G$103+($G$74:$G$103&lt;=H$32)*H$32)+1)/($H$74:$H$103-$G$74:$G$103+1))</f>
        <v>0</v>
      </c>
      <c r="I42" s="214">
        <f>SUMPRODUCT(($D$74:$D$103=$A42)*$F$74:$F$103*(((($H$74:$H$103&lt;EOMONTH(I$32,0))*$H$74:$H$103+($H$74:$H$103&gt;=EOMONTH(I$32,0))*EOMONTH(I$32,0))-(($G$74:$G$103&gt;I$32)*$G$74:$G$103+($G$74:$G$103&lt;=I$32)*I$32)+1)&gt;0)*((($H$74:$H$103&lt;EOMONTH(I$32,0))*$H$74:$H$103+($H$74:$H$103&gt;=EOMONTH(I$32,0))*EOMONTH(I$32,0))-(($G$74:$G$103&gt;I$32)*$G$74:$G$103+($G$74:$G$103&lt;=I$32)*I$32)+1)/($H$74:$H$103-$G$74:$G$103+1))</f>
        <v>86305.24</v>
      </c>
      <c r="J42" s="214">
        <f>SUMPRODUCT(($D$74:$D$103=$A42)*$F$74:$F$103*(((($H$74:$H$103&lt;EOMONTH(J$32,0))*$H$74:$H$103+($H$74:$H$103&gt;=EOMONTH(J$32,0))*EOMONTH(J$32,0))-(($G$74:$G$103&gt;J$32)*$G$74:$G$103+($G$74:$G$103&lt;=J$32)*J$32)+1)&gt;0)*((($H$74:$H$103&lt;EOMONTH(J$32,0))*$H$74:$H$103+($H$74:$H$103&gt;=EOMONTH(J$32,0))*EOMONTH(J$32,0))-(($G$74:$G$103&gt;J$32)*$G$74:$G$103+($G$74:$G$103&lt;=J$32)*J$32)+1)/($H$74:$H$103-$G$74:$G$103+1))</f>
        <v>18493.98</v>
      </c>
      <c r="K42" s="214">
        <f>SUMPRODUCT(($D$74:$D$103=$A42)*$F$74:$F$103*(((($H$74:$H$103&lt;EOMONTH(K$32,0))*$H$74:$H$103+($H$74:$H$103&gt;=EOMONTH(K$32,0))*EOMONTH(K$32,0))-(($G$74:$G$103&gt;K$32)*$G$74:$G$103+($G$74:$G$103&lt;=K$32)*K$32)+1)&gt;0)*((($H$74:$H$103&lt;EOMONTH(K$32,0))*$H$74:$H$103+($H$74:$H$103&gt;=EOMONTH(K$32,0))*EOMONTH(K$32,0))-(($G$74:$G$103&gt;K$32)*$G$74:$G$103+($G$74:$G$103&lt;=K$32)*K$32)+1)/($H$74:$H$103-$G$74:$G$103+1))</f>
        <v>0</v>
      </c>
      <c r="L42" s="214">
        <f>SUMPRODUCT(($D$74:$D$103=$A42)*$F$74:$F$103*(((($H$74:$H$103&lt;EOMONTH(L$32,0))*$H$74:$H$103+($H$74:$H$103&gt;=EOMONTH(L$32,0))*EOMONTH(L$32,0))-(($G$74:$G$103&gt;L$32)*$G$74:$G$103+($G$74:$G$103&lt;=L$32)*L$32)+1)&gt;0)*((($H$74:$H$103&lt;EOMONTH(L$32,0))*$H$74:$H$103+($H$74:$H$103&gt;=EOMONTH(L$32,0))*EOMONTH(L$32,0))-(($G$74:$G$103&gt;L$32)*$G$74:$G$103+($G$74:$G$103&lt;=L$32)*L$32)+1)/($H$74:$H$103-$G$74:$G$103+1))</f>
        <v>0</v>
      </c>
      <c r="M42" s="214">
        <f>SUMPRODUCT(($D$74:$D$103=$A42)*$F$74:$F$103*(((($H$74:$H$103&lt;EOMONTH(M$32,0))*$H$74:$H$103+($H$74:$H$103&gt;=EOMONTH(M$32,0))*EOMONTH(M$32,0))-(($G$74:$G$103&gt;M$32)*$G$74:$G$103+($G$74:$G$103&lt;=M$32)*M$32)+1)&gt;0)*((($H$74:$H$103&lt;EOMONTH(M$32,0))*$H$74:$H$103+($H$74:$H$103&gt;=EOMONTH(M$32,0))*EOMONTH(M$32,0))-(($G$74:$G$103&gt;M$32)*$G$74:$G$103+($G$74:$G$103&lt;=M$32)*M$32)+1)/($H$74:$H$103-$G$74:$G$103+1))</f>
        <v>0</v>
      </c>
      <c r="N42" s="214">
        <f>SUMPRODUCT(($D$74:$D$103=$A42)*$F$74:$F$103*(((($H$74:$H$103&lt;EOMONTH(N$32,0))*$H$74:$H$103+($H$74:$H$103&gt;=EOMONTH(N$32,0))*EOMONTH(N$32,0))-(($G$74:$G$103&gt;N$32)*$G$74:$G$103+($G$74:$G$103&lt;=N$32)*N$32)+1)&gt;0)*((($H$74:$H$103&lt;EOMONTH(N$32,0))*$H$74:$H$103+($H$74:$H$103&gt;=EOMONTH(N$32,0))*EOMONTH(N$32,0))-(($G$74:$G$103&gt;N$32)*$G$74:$G$103+($G$74:$G$103&lt;=N$32)*N$32)+1)/($H$74:$H$103-$G$74:$G$103+1))</f>
        <v>0</v>
      </c>
      <c r="O42" s="214">
        <f>SUMPRODUCT(($D$74:$D$103=$A42)*$F$74:$F$103*(((($H$74:$H$103&lt;EOMONTH(O$32,0))*$H$74:$H$103+($H$74:$H$103&gt;=EOMONTH(O$32,0))*EOMONTH(O$32,0))-(($G$74:$G$103&gt;O$32)*$G$74:$G$103+($G$74:$G$103&lt;=O$32)*O$32)+1)&gt;0)*((($H$74:$H$103&lt;EOMONTH(O$32,0))*$H$74:$H$103+($H$74:$H$103&gt;=EOMONTH(O$32,0))*EOMONTH(O$32,0))-(($G$74:$G$103&gt;O$32)*$G$74:$G$103+($G$74:$G$103&lt;=O$32)*O$32)+1)/($H$74:$H$103-$G$74:$G$103+1))</f>
        <v>0</v>
      </c>
      <c r="P42" s="102">
        <f>SUM(D42:O42)</f>
        <v>104799.22</v>
      </c>
    </row>
    <row r="43">
      <c r="A43" s="81" t="inlineStr">
        <is>
          <t>342-11</t>
        </is>
      </c>
      <c r="B43" s="126" t="n">
        <v>342</v>
      </c>
      <c r="C43" s="73" t="inlineStr">
        <is>
          <t>PROJETOS EXECUTIVOS / AS BUILT</t>
        </is>
      </c>
      <c r="D43" s="214">
        <f>SUMPRODUCT(($D$74:$D$103=$A43)*$F$74:$F$103*(((($H$74:$H$103&lt;EOMONTH(D$32,0))*$H$74:$H$103+($H$74:$H$103&gt;=EOMONTH(D$32,0))*EOMONTH(D$32,0))-(($G$74:$G$103&gt;D$32)*$G$74:$G$103+($G$74:$G$103&lt;=D$32)*D$32)+1)&gt;0)*((($H$74:$H$103&lt;EOMONTH(D$32,0))*$H$74:$H$103+($H$74:$H$103&gt;=EOMONTH(D$32,0))*EOMONTH(D$32,0))-(($G$74:$G$103&gt;D$32)*$G$74:$G$103+($G$74:$G$103&lt;=D$32)*D$32)+1)/($H$74:$H$103-$G$74:$G$103+1))</f>
        <v>11363.0277419355</v>
      </c>
      <c r="E43" s="214">
        <f>SUMPRODUCT(($D$74:$D$103=$A43)*$F$74:$F$103*(((($H$74:$H$103&lt;EOMONTH(E$32,0))*$H$74:$H$103+($H$74:$H$103&gt;=EOMONTH(E$32,0))*EOMONTH(E$32,0))-(($G$74:$G$103&gt;E$32)*$G$74:$G$103+($G$74:$G$103&lt;=E$32)*E$32)+1)&gt;0)*((($H$74:$H$103&lt;EOMONTH(E$32,0))*$H$74:$H$103+($H$74:$H$103&gt;=EOMONTH(E$32,0))*EOMONTH(E$32,0))-(($G$74:$G$103&gt;E$32)*$G$74:$G$103+($G$74:$G$103&lt;=E$32)*E$32)+1)/($H$74:$H$103-$G$74:$G$103+1))</f>
        <v>12580.495</v>
      </c>
      <c r="F43" s="214">
        <f>SUMPRODUCT(($D$74:$D$103=$A43)*$F$74:$F$103*(((($H$74:$H$103&lt;EOMONTH(F$32,0))*$H$74:$H$103+($H$74:$H$103&gt;=EOMONTH(F$32,0))*EOMONTH(F$32,0))-(($G$74:$G$103&gt;F$32)*$G$74:$G$103+($G$74:$G$103&lt;=F$32)*F$32)+1)&gt;0)*((($H$74:$H$103&lt;EOMONTH(F$32,0))*$H$74:$H$103+($H$74:$H$103&gt;=EOMONTH(F$32,0))*EOMONTH(F$32,0))-(($G$74:$G$103&gt;F$32)*$G$74:$G$103+($G$74:$G$103&lt;=F$32)*F$32)+1)/($H$74:$H$103-$G$74:$G$103+1))</f>
        <v>1217.46725806452</v>
      </c>
      <c r="G43" s="214">
        <f>SUMPRODUCT(($D$74:$D$103=$A43)*$F$74:$F$103*(((($H$74:$H$103&lt;EOMONTH(G$32,0))*$H$74:$H$103+($H$74:$H$103&gt;=EOMONTH(G$32,0))*EOMONTH(G$32,0))-(($G$74:$G$103&gt;G$32)*$G$74:$G$103+($G$74:$G$103&lt;=G$32)*G$32)+1)&gt;0)*((($H$74:$H$103&lt;EOMONTH(G$32,0))*$H$74:$H$103+($H$74:$H$103&gt;=EOMONTH(G$32,0))*EOMONTH(G$32,0))-(($G$74:$G$103&gt;G$32)*$G$74:$G$103+($G$74:$G$103&lt;=G$32)*G$32)+1)/($H$74:$H$103-$G$74:$G$103+1))</f>
        <v>0</v>
      </c>
      <c r="H43" s="214">
        <f>SUMPRODUCT(($D$74:$D$103=$A43)*$F$74:$F$103*(((($H$74:$H$103&lt;EOMONTH(H$32,0))*$H$74:$H$103+($H$74:$H$103&gt;=EOMONTH(H$32,0))*EOMONTH(H$32,0))-(($G$74:$G$103&gt;H$32)*$G$74:$G$103+($G$74:$G$103&lt;=H$32)*H$32)+1)&gt;0)*((($H$74:$H$103&lt;EOMONTH(H$32,0))*$H$74:$H$103+($H$74:$H$103&gt;=EOMONTH(H$32,0))*EOMONTH(H$32,0))-(($G$74:$G$103&gt;H$32)*$G$74:$G$103+($G$74:$G$103&lt;=H$32)*H$32)+1)/($H$74:$H$103-$G$74:$G$103+1))</f>
        <v>0</v>
      </c>
      <c r="I43" s="214">
        <f>SUMPRODUCT(($D$74:$D$103=$A43)*$F$74:$F$103*(((($H$74:$H$103&lt;EOMONTH(I$32,0))*$H$74:$H$103+($H$74:$H$103&gt;=EOMONTH(I$32,0))*EOMONTH(I$32,0))-(($G$74:$G$103&gt;I$32)*$G$74:$G$103+($G$74:$G$103&lt;=I$32)*I$32)+1)&gt;0)*((($H$74:$H$103&lt;EOMONTH(I$32,0))*$H$74:$H$103+($H$74:$H$103&gt;=EOMONTH(I$32,0))*EOMONTH(I$32,0))-(($G$74:$G$103&gt;I$32)*$G$74:$G$103+($G$74:$G$103&lt;=I$32)*I$32)+1)/($H$74:$H$103-$G$74:$G$103+1))</f>
        <v>0</v>
      </c>
      <c r="J43" s="214">
        <f>SUMPRODUCT(($D$74:$D$103=$A43)*$F$74:$F$103*(((($H$74:$H$103&lt;EOMONTH(J$32,0))*$H$74:$H$103+($H$74:$H$103&gt;=EOMONTH(J$32,0))*EOMONTH(J$32,0))-(($G$74:$G$103&gt;J$32)*$G$74:$G$103+($G$74:$G$103&lt;=J$32)*J$32)+1)&gt;0)*((($H$74:$H$103&lt;EOMONTH(J$32,0))*$H$74:$H$103+($H$74:$H$103&gt;=EOMONTH(J$32,0))*EOMONTH(J$32,0))-(($G$74:$G$103&gt;J$32)*$G$74:$G$103+($G$74:$G$103&lt;=J$32)*J$32)+1)/($H$74:$H$103-$G$74:$G$103+1))</f>
        <v>0</v>
      </c>
      <c r="K43" s="214">
        <f>SUMPRODUCT(($D$74:$D$103=$A43)*$F$74:$F$103*(((($H$74:$H$103&lt;EOMONTH(K$32,0))*$H$74:$H$103+($H$74:$H$103&gt;=EOMONTH(K$32,0))*EOMONTH(K$32,0))-(($G$74:$G$103&gt;K$32)*$G$74:$G$103+($G$74:$G$103&lt;=K$32)*K$32)+1)&gt;0)*((($H$74:$H$103&lt;EOMONTH(K$32,0))*$H$74:$H$103+($H$74:$H$103&gt;=EOMONTH(K$32,0))*EOMONTH(K$32,0))-(($G$74:$G$103&gt;K$32)*$G$74:$G$103+($G$74:$G$103&lt;=K$32)*K$32)+1)/($H$74:$H$103-$G$74:$G$103+1))</f>
        <v>0</v>
      </c>
      <c r="L43" s="214">
        <f>SUMPRODUCT(($D$74:$D$103=$A43)*$F$74:$F$103*(((($H$74:$H$103&lt;EOMONTH(L$32,0))*$H$74:$H$103+($H$74:$H$103&gt;=EOMONTH(L$32,0))*EOMONTH(L$32,0))-(($G$74:$G$103&gt;L$32)*$G$74:$G$103+($G$74:$G$103&lt;=L$32)*L$32)+1)&gt;0)*((($H$74:$H$103&lt;EOMONTH(L$32,0))*$H$74:$H$103+($H$74:$H$103&gt;=EOMONTH(L$32,0))*EOMONTH(L$32,0))-(($G$74:$G$103&gt;L$32)*$G$74:$G$103+($G$74:$G$103&lt;=L$32)*L$32)+1)/($H$74:$H$103-$G$74:$G$103+1))</f>
        <v>0</v>
      </c>
      <c r="M43" s="214">
        <f>SUMPRODUCT(($D$74:$D$103=$A43)*$F$74:$F$103*(((($H$74:$H$103&lt;EOMONTH(M$32,0))*$H$74:$H$103+($H$74:$H$103&gt;=EOMONTH(M$32,0))*EOMONTH(M$32,0))-(($G$74:$G$103&gt;M$32)*$G$74:$G$103+($G$74:$G$103&lt;=M$32)*M$32)+1)&gt;0)*((($H$74:$H$103&lt;EOMONTH(M$32,0))*$H$74:$H$103+($H$74:$H$103&gt;=EOMONTH(M$32,0))*EOMONTH(M$32,0))-(($G$74:$G$103&gt;M$32)*$G$74:$G$103+($G$74:$G$103&lt;=M$32)*M$32)+1)/($H$74:$H$103-$G$74:$G$103+1))</f>
        <v>0</v>
      </c>
      <c r="N43" s="214">
        <f>SUMPRODUCT(($D$74:$D$103=$A43)*$F$74:$F$103*(((($H$74:$H$103&lt;EOMONTH(N$32,0))*$H$74:$H$103+($H$74:$H$103&gt;=EOMONTH(N$32,0))*EOMONTH(N$32,0))-(($G$74:$G$103&gt;N$32)*$G$74:$G$103+($G$74:$G$103&lt;=N$32)*N$32)+1)&gt;0)*((($H$74:$H$103&lt;EOMONTH(N$32,0))*$H$74:$H$103+($H$74:$H$103&gt;=EOMONTH(N$32,0))*EOMONTH(N$32,0))-(($G$74:$G$103&gt;N$32)*$G$74:$G$103+($G$74:$G$103&lt;=N$32)*N$32)+1)/($H$74:$H$103-$G$74:$G$103+1))</f>
        <v>0</v>
      </c>
      <c r="O43" s="214">
        <f>SUMPRODUCT(($D$74:$D$103=$A43)*$F$74:$F$103*(((($H$74:$H$103&lt;EOMONTH(O$32,0))*$H$74:$H$103+($H$74:$H$103&gt;=EOMONTH(O$32,0))*EOMONTH(O$32,0))-(($G$74:$G$103&gt;O$32)*$G$74:$G$103+($G$74:$G$103&lt;=O$32)*O$32)+1)&gt;0)*((($H$74:$H$103&lt;EOMONTH(O$32,0))*$H$74:$H$103+($H$74:$H$103&gt;=EOMONTH(O$32,0))*EOMONTH(O$32,0))-(($G$74:$G$103&gt;O$32)*$G$74:$G$103+($G$74:$G$103&lt;=O$32)*O$32)+1)/($H$74:$H$103-$G$74:$G$103+1))</f>
        <v>2795.67</v>
      </c>
      <c r="P43" s="102">
        <f>SUM(D43:O43)</f>
        <v>27956.66</v>
      </c>
    </row>
    <row r="44">
      <c r="A44" s="81" t="inlineStr">
        <is>
          <t>343-01</t>
        </is>
      </c>
      <c r="B44" s="126" t="n">
        <v>343</v>
      </c>
      <c r="C44" s="73" t="inlineStr">
        <is>
          <t>Canteiro de Obras</t>
        </is>
      </c>
      <c r="D44" s="168" t="n">
        <v>104484.47</v>
      </c>
      <c r="E44" s="168" t="n">
        <v>104484.47</v>
      </c>
      <c r="F44" s="168" t="n">
        <v>104484.47</v>
      </c>
      <c r="G44" s="168" t="n">
        <v>104484.47</v>
      </c>
      <c r="H44" s="168" t="n">
        <v>104484.47</v>
      </c>
      <c r="I44" s="168" t="n">
        <v>104484.47</v>
      </c>
      <c r="J44" s="168" t="n">
        <v>104484.47</v>
      </c>
      <c r="K44" s="168" t="n">
        <v>104484.47</v>
      </c>
      <c r="L44" s="168" t="n">
        <v>104484.47</v>
      </c>
      <c r="M44" s="168" t="n">
        <v>0</v>
      </c>
      <c r="N44" s="168" t="n">
        <v>0</v>
      </c>
      <c r="O44" s="168" t="n">
        <v>0</v>
      </c>
      <c r="P44" s="102">
        <f>SUM(D44:O44)</f>
        <v>940360.23</v>
      </c>
    </row>
    <row r="45">
      <c r="A45" s="81" t="inlineStr">
        <is>
          <t>343-02</t>
        </is>
      </c>
      <c r="B45" s="126" t="n">
        <v>343</v>
      </c>
      <c r="C45" s="73" t="inlineStr">
        <is>
          <t>Subadutora</t>
        </is>
      </c>
      <c r="D45" s="168" t="n">
        <v>0</v>
      </c>
      <c r="E45" s="168" t="n">
        <v>239178.67</v>
      </c>
      <c r="F45" s="168" t="n">
        <v>239178.67</v>
      </c>
      <c r="G45" s="168" t="n">
        <v>239178.67</v>
      </c>
      <c r="H45" s="168" t="n">
        <v>239178.67</v>
      </c>
      <c r="I45" s="168" t="n">
        <v>239178.67</v>
      </c>
      <c r="J45" s="168" t="n">
        <v>239178.67</v>
      </c>
      <c r="K45" s="168" t="n">
        <v>239178.67</v>
      </c>
      <c r="L45" s="168" t="n">
        <v>0</v>
      </c>
      <c r="M45" s="168" t="n">
        <v>0</v>
      </c>
      <c r="N45" s="168" t="n">
        <v>0</v>
      </c>
      <c r="O45" s="168" t="n">
        <v>0</v>
      </c>
      <c r="P45" s="102">
        <f>SUM(D45:O45)</f>
        <v>1674250.69</v>
      </c>
    </row>
    <row r="46">
      <c r="A46" s="81" t="inlineStr">
        <is>
          <t>343-03</t>
        </is>
      </c>
      <c r="B46" s="126" t="n">
        <v>343</v>
      </c>
      <c r="C46" s="73" t="inlineStr">
        <is>
          <t>Caixas e Interligações</t>
        </is>
      </c>
      <c r="D46" s="168" t="n">
        <v>0</v>
      </c>
      <c r="E46" s="168" t="n">
        <v>41565.63</v>
      </c>
      <c r="F46" s="168" t="n">
        <v>41565.63</v>
      </c>
      <c r="G46" s="168" t="n">
        <v>41565.63</v>
      </c>
      <c r="H46" s="168" t="n">
        <v>41565.63</v>
      </c>
      <c r="I46" s="168" t="n">
        <v>41565.63</v>
      </c>
      <c r="J46" s="168" t="n">
        <v>41565.63</v>
      </c>
      <c r="K46" s="168" t="n">
        <v>41565.63</v>
      </c>
      <c r="L46" s="168" t="n">
        <v>0</v>
      </c>
      <c r="M46" s="168" t="n">
        <v>0</v>
      </c>
      <c r="N46" s="168" t="n">
        <v>0</v>
      </c>
      <c r="O46" s="168" t="n">
        <v>0</v>
      </c>
      <c r="P46" s="102">
        <f>SUM(D46:O46)</f>
        <v>290959.41</v>
      </c>
    </row>
    <row r="47">
      <c r="A47" s="81" t="inlineStr">
        <is>
          <t>343-04</t>
        </is>
      </c>
      <c r="B47" s="126" t="n">
        <v>343</v>
      </c>
      <c r="C47" s="73" t="inlineStr">
        <is>
          <t>Hidromecânico</t>
        </is>
      </c>
      <c r="D47" s="168" t="n">
        <v>0</v>
      </c>
      <c r="E47" s="168" t="n">
        <v>240575.8</v>
      </c>
      <c r="F47" s="168" t="n">
        <v>240575.8</v>
      </c>
      <c r="G47" s="168" t="n">
        <v>240575.8</v>
      </c>
      <c r="H47" s="168" t="n">
        <v>240575.8</v>
      </c>
      <c r="I47" s="168" t="n">
        <v>240575.8</v>
      </c>
      <c r="J47" s="168" t="n">
        <v>240575.8</v>
      </c>
      <c r="K47" s="168" t="n">
        <v>240575.8</v>
      </c>
      <c r="L47" s="168" t="n">
        <v>0</v>
      </c>
      <c r="M47" s="168" t="n">
        <v>0</v>
      </c>
      <c r="N47" s="168" t="n">
        <v>0</v>
      </c>
      <c r="O47" s="168" t="n">
        <v>0</v>
      </c>
      <c r="P47" s="102">
        <f>SUM(D47:O47)</f>
        <v>1684030.6</v>
      </c>
    </row>
    <row r="48">
      <c r="A48" s="81" t="inlineStr">
        <is>
          <t>343-06</t>
        </is>
      </c>
      <c r="B48" s="126" t="n">
        <v>343</v>
      </c>
      <c r="C48" s="73" t="inlineStr">
        <is>
          <t>Adm. Local</t>
        </is>
      </c>
      <c r="D48" s="168" t="n">
        <v>76647.49000000001</v>
      </c>
      <c r="E48" s="168" t="n">
        <v>76647.49000000001</v>
      </c>
      <c r="F48" s="168" t="n">
        <v>76647.49000000001</v>
      </c>
      <c r="G48" s="168" t="n">
        <v>76647.49000000001</v>
      </c>
      <c r="H48" s="168" t="n">
        <v>76647.49000000001</v>
      </c>
      <c r="I48" s="168" t="n">
        <v>76647.49000000001</v>
      </c>
      <c r="J48" s="168" t="n">
        <v>76647.49000000001</v>
      </c>
      <c r="K48" s="168" t="n">
        <v>76647.49000000001</v>
      </c>
      <c r="L48" s="168" t="n">
        <v>76647.49000000001</v>
      </c>
      <c r="M48" s="168" t="n">
        <v>0</v>
      </c>
      <c r="N48" s="168" t="n">
        <v>0</v>
      </c>
      <c r="O48" s="168" t="n">
        <v>0</v>
      </c>
      <c r="P48" s="102">
        <f>SUM(D48:O48)</f>
        <v>689827.41</v>
      </c>
    </row>
    <row r="49">
      <c r="C49" s="81" t="inlineStr">
        <is>
          <t>Total das etapas 342</t>
        </is>
      </c>
      <c r="D49" s="102">
        <f>SUMIFS(D$33:D$48,$B$33:$B$48,"342")</f>
        <v>11363.0277419355</v>
      </c>
      <c r="E49" s="102">
        <f>SUMIFS(E$33:E$48,$B$33:$B$48,"342")</f>
        <v>171033.141219931</v>
      </c>
      <c r="F49" s="102">
        <f>SUMIFS(F$33:F$48,$B$33:$B$48,"342")</f>
        <v>115711.860671581</v>
      </c>
      <c r="G49" s="102">
        <f>SUMIFS(G$33:G$48,$B$33:$B$48,"342")</f>
        <v>727659.973401828</v>
      </c>
      <c r="H49" s="102">
        <f>SUMIFS(H$33:H$48,$B$33:$B$48,"342")</f>
        <v>225614.855856477</v>
      </c>
      <c r="I49" s="102">
        <f>SUMIFS(I$33:I$48,$B$33:$B$48,"342")</f>
        <v>274986.911954467</v>
      </c>
      <c r="J49" s="102">
        <f>SUMIFS(J$33:J$48,$B$33:$B$48,"342")</f>
        <v>168805.604351375</v>
      </c>
      <c r="K49" s="102">
        <f>SUMIFS(K$33:K$48,$B$33:$B$48,"342")</f>
        <v>778547.971469072</v>
      </c>
      <c r="L49" s="102">
        <f>SUMIFS(L$33:L$48,$B$33:$B$48,"342")</f>
        <v>434631.752268041</v>
      </c>
      <c r="M49" s="102">
        <f>SUMIFS(M$33:M$48,$B$33:$B$48,"342")</f>
        <v>210733.552302405</v>
      </c>
      <c r="N49" s="102">
        <f>SUMIFS(N$33:N$48,$B$33:$B$48,"342")</f>
        <v>125737.535601375</v>
      </c>
      <c r="O49" s="102">
        <f>SUMIFS(O$33:O$48,$B$33:$B$48,"342")</f>
        <v>13144.553161512</v>
      </c>
      <c r="P49" s="102">
        <f>SUMIFS(P$33:P$48,$B$33:$B$48,"342")</f>
        <v>3257970.74</v>
      </c>
    </row>
    <row r="50">
      <c r="C50" s="81" t="inlineStr">
        <is>
          <t>Total das etapas 343 (contrato)</t>
        </is>
      </c>
      <c r="D50" s="102">
        <f>SUMIFS(D$33:D$48,$B$33:$B$48,"343")</f>
        <v>181131.96</v>
      </c>
      <c r="E50" s="102">
        <f>SUMIFS(E$33:E$48,$B$33:$B$48,"343")</f>
        <v>702452.06</v>
      </c>
      <c r="F50" s="102">
        <f>SUMIFS(F$33:F$48,$B$33:$B$48,"343")</f>
        <v>702452.06</v>
      </c>
      <c r="G50" s="102">
        <f>SUMIFS(G$33:G$48,$B$33:$B$48,"343")</f>
        <v>702452.06</v>
      </c>
      <c r="H50" s="102">
        <f>SUMIFS(H$33:H$48,$B$33:$B$48,"343")</f>
        <v>702452.06</v>
      </c>
      <c r="I50" s="102">
        <f>SUMIFS(I$33:I$48,$B$33:$B$48,"343")</f>
        <v>702452.06</v>
      </c>
      <c r="J50" s="102">
        <f>SUMIFS(J$33:J$48,$B$33:$B$48,"343")</f>
        <v>702452.06</v>
      </c>
      <c r="K50" s="102">
        <f>SUMIFS(K$33:K$48,$B$33:$B$48,"343")</f>
        <v>702452.06</v>
      </c>
      <c r="L50" s="102">
        <f>SUMIFS(L$33:L$48,$B$33:$B$48,"343")</f>
        <v>181131.96</v>
      </c>
      <c r="M50" s="102">
        <f>SUMIFS(M$33:M$48,$B$33:$B$48,"343")</f>
        <v>0</v>
      </c>
      <c r="N50" s="102">
        <f>SUMIFS(N$33:N$48,$B$33:$B$48,"343")</f>
        <v>0</v>
      </c>
      <c r="O50" s="102">
        <f>SUMIFS(O$33:O$48,$B$33:$B$48,"343")</f>
        <v>0</v>
      </c>
      <c r="P50" s="102">
        <f>SUMIFS(P$33:P$48,$B$33:$B$48,"343")</f>
        <v>5279428.34</v>
      </c>
    </row>
    <row r="51">
      <c r="A51" s="167" t="str">
        <f>"342: cronograma R$ "&amp;FIXED(P49,2)&amp;" · contrato R$ "&amp;FIXED('03. CONTRATOS'!$B$8,2)&amp;" · diferença R$ "&amp;FIXED(P49-'03. CONTRATOS'!$B$8,2)</f>
        <v>342: cronograma R$ 3,257,970.74 · contrato R$ 3,258,000.00 · diferença R$ -29.26</v>
      </c>
    </row>
    <row r="52">
      <c r="A52" s="167" t="str">
        <f>"343: cronograma CAESB R$ "&amp;FIXED(P50,2)&amp;" · contrato R$ "&amp;FIXED('03. CONTRATOS'!$D$8,2)&amp;" · diferença R$ "&amp;FIXED(P50-'03. CONTRATOS'!$D$8,2)</f>
        <v>343: cronograma CAESB R$ 5,279,428.34 · contrato R$ 5,226,634.03 · diferença R$ 52,794.31</v>
      </c>
    </row>
    <row r="53"/>
    <row r="54"/>
    <row r="55">
      <c r="A55" s="80" t="inlineStr">
        <is>
          <t>POR OBRA E MÊS: valor do cronograma, custo previsto (estudo) e custo real lançado (08. CUSTOS, por competência)</t>
        </is>
      </c>
      <c r="B55" s="80" t="n"/>
      <c r="C55" s="80" t="n"/>
      <c r="D55" s="80" t="n"/>
      <c r="E55" s="80" t="n"/>
      <c r="F55" s="80" t="n"/>
      <c r="G55" s="80" t="n"/>
      <c r="H55" s="80" t="n"/>
      <c r="I55" s="80" t="n"/>
      <c r="J55" s="80" t="n"/>
      <c r="K55" s="80" t="n"/>
      <c r="L55" s="80" t="n"/>
      <c r="M55" s="80" t="n"/>
      <c r="N55" s="80" t="n"/>
      <c r="O55" s="80" t="n"/>
      <c r="P55" s="80" t="n"/>
    </row>
    <row r="56">
      <c r="A56" s="88" t="inlineStr">
        <is>
          <t>Obra</t>
        </is>
      </c>
      <c r="B56" s="88" t="n"/>
      <c r="C56" s="88" t="inlineStr">
        <is>
          <t>Linha</t>
        </is>
      </c>
      <c r="D56" s="89">
        <f>D$32</f>
        <v>46266.0</v>
      </c>
      <c r="E56" s="89">
        <f>E$32</f>
        <v>46296.0</v>
      </c>
      <c r="F56" s="89">
        <f>F$32</f>
        <v>46327.0</v>
      </c>
      <c r="G56" s="89">
        <f>G$32</f>
        <v>46357.0</v>
      </c>
      <c r="H56" s="89">
        <f>H$32</f>
        <v>46388.0</v>
      </c>
      <c r="I56" s="89">
        <f>I$32</f>
        <v>46419.0</v>
      </c>
      <c r="J56" s="89">
        <f>J$32</f>
        <v>46447.0</v>
      </c>
      <c r="K56" s="89">
        <f>K$32</f>
        <v>46478.0</v>
      </c>
      <c r="L56" s="89">
        <f>L$32</f>
        <v>46508.0</v>
      </c>
      <c r="M56" s="89">
        <f>M$32</f>
        <v>46539.0</v>
      </c>
      <c r="N56" s="89">
        <f>N$32</f>
        <v>46569.0</v>
      </c>
      <c r="O56" s="89">
        <f>O$32</f>
        <v>46600.0</v>
      </c>
      <c r="P56" s="88" t="inlineStr">
        <is>
          <t>Total</t>
        </is>
      </c>
    </row>
    <row r="57">
      <c r="A57" s="169" t="n">
        <v>342</v>
      </c>
      <c r="B57" s="170" t="n"/>
      <c r="C57" s="169" t="inlineStr">
        <is>
          <t>Valor do cronograma (R$)</t>
        </is>
      </c>
      <c r="D57" s="171">
        <f>SUMIFS(D$33:D$48,$B$33:$B$48,"342")</f>
        <v>11363.0277419355</v>
      </c>
      <c r="E57" s="171">
        <f>SUMIFS(E$33:E$48,$B$33:$B$48,"342")</f>
        <v>171033.141219931</v>
      </c>
      <c r="F57" s="171">
        <f>SUMIFS(F$33:F$48,$B$33:$B$48,"342")</f>
        <v>115711.860671581</v>
      </c>
      <c r="G57" s="171">
        <f>SUMIFS(G$33:G$48,$B$33:$B$48,"342")</f>
        <v>727659.973401828</v>
      </c>
      <c r="H57" s="171">
        <f>SUMIFS(H$33:H$48,$B$33:$B$48,"342")</f>
        <v>225614.855856477</v>
      </c>
      <c r="I57" s="171">
        <f>SUMIFS(I$33:I$48,$B$33:$B$48,"342")</f>
        <v>274986.911954467</v>
      </c>
      <c r="J57" s="171">
        <f>SUMIFS(J$33:J$48,$B$33:$B$48,"342")</f>
        <v>168805.604351375</v>
      </c>
      <c r="K57" s="171">
        <f>SUMIFS(K$33:K$48,$B$33:$B$48,"342")</f>
        <v>778547.971469072</v>
      </c>
      <c r="L57" s="171">
        <f>SUMIFS(L$33:L$48,$B$33:$B$48,"342")</f>
        <v>434631.752268041</v>
      </c>
      <c r="M57" s="171">
        <f>SUMIFS(M$33:M$48,$B$33:$B$48,"342")</f>
        <v>210733.552302405</v>
      </c>
      <c r="N57" s="171">
        <f>SUMIFS(N$33:N$48,$B$33:$B$48,"342")</f>
        <v>125737.535601375</v>
      </c>
      <c r="O57" s="171">
        <f>SUMIFS(O$33:O$48,$B$33:$B$48,"342")</f>
        <v>13144.553161512</v>
      </c>
      <c r="P57" s="172">
        <f>SUM(D57:O57)</f>
        <v>3257970.74</v>
      </c>
    </row>
    <row r="58">
      <c r="A58" s="81" t="n">
        <v>342</v>
      </c>
      <c r="C58" s="73" t="inlineStr">
        <is>
          <t>Custo previsto no estudo (R$)</t>
        </is>
      </c>
      <c r="D58" s="93">
        <f>INDEX('FLUXO PROJETADO TAF'!$C$32:$R$32,MATCH(D$56,'FLUXO PROJETADO TAF'!$C$21:$R$21,0))</f>
        <v>0</v>
      </c>
      <c r="E58" s="93">
        <f>INDEX('FLUXO PROJETADO TAF'!$C$32:$R$32,MATCH(E$56,'FLUXO PROJETADO TAF'!$C$21:$R$21,0))</f>
        <v>29525.98</v>
      </c>
      <c r="F58" s="93">
        <f>INDEX('FLUXO PROJETADO TAF'!$C$32:$R$32,MATCH(F$56,'FLUXO PROJETADO TAF'!$C$21:$R$21,0))</f>
        <v>279112.44</v>
      </c>
      <c r="G58" s="93">
        <f>INDEX('FLUXO PROJETADO TAF'!$C$32:$R$32,MATCH(G$56,'FLUXO PROJETADO TAF'!$C$21:$R$21,0))</f>
        <v>371786.73</v>
      </c>
      <c r="H58" s="93">
        <f>INDEX('FLUXO PROJETADO TAF'!$C$32:$R$32,MATCH(H$56,'FLUXO PROJETADO TAF'!$C$21:$R$21,0))</f>
        <v>480863.72</v>
      </c>
      <c r="I58" s="93">
        <f>INDEX('FLUXO PROJETADO TAF'!$C$32:$R$32,MATCH(I$56,'FLUXO PROJETADO TAF'!$C$21:$R$21,0))</f>
        <v>243697.02</v>
      </c>
      <c r="J58" s="93">
        <f>INDEX('FLUXO PROJETADO TAF'!$C$32:$R$32,MATCH(J$56,'FLUXO PROJETADO TAF'!$C$21:$R$21,0))</f>
        <v>259211.77</v>
      </c>
      <c r="K58" s="93">
        <f>INDEX('FLUXO PROJETADO TAF'!$C$32:$R$32,MATCH(K$56,'FLUXO PROJETADO TAF'!$C$21:$R$21,0))</f>
        <v>172447.72</v>
      </c>
      <c r="L58" s="93">
        <f>INDEX('FLUXO PROJETADO TAF'!$C$32:$R$32,MATCH(L$56,'FLUXO PROJETADO TAF'!$C$21:$R$21,0))</f>
        <v>638796.26</v>
      </c>
      <c r="M58" s="93">
        <f>INDEX('FLUXO PROJETADO TAF'!$C$32:$R$32,MATCH(M$56,'FLUXO PROJETADO TAF'!$C$21:$R$21,0))</f>
        <v>292769.23</v>
      </c>
      <c r="N58" s="93">
        <f>INDEX('FLUXO PROJETADO TAF'!$C$32:$R$32,MATCH(N$56,'FLUXO PROJETADO TAF'!$C$21:$R$21,0))</f>
        <v>237629.3</v>
      </c>
      <c r="O58" s="93">
        <f>INDEX('FLUXO PROJETADO TAF'!$C$32:$R$32,MATCH(O$56,'FLUXO PROJETADO TAF'!$C$21:$R$21,0))</f>
        <v>163887.89</v>
      </c>
      <c r="P58" s="96">
        <f>SUM(D58:O58)</f>
        <v>3169728.06</v>
      </c>
    </row>
    <row r="59">
      <c r="A59" s="81" t="n">
        <v>342</v>
      </c>
      <c r="C59" s="73" t="inlineStr">
        <is>
          <t>Custo real lançado (08)</t>
        </is>
      </c>
      <c r="D59" s="93" t="str">
        <f>IF(ISTEXT(INDEX('FLUXO PROJETADO TAF'!$C$41:$R$41,MATCH(D$56,'FLUXO PROJETADO TAF'!$C$21:$R$21,0))),"sem lanç.",INDEX('FLUXO PROJETADO TAF'!$C$41:$R$41,MATCH(D$56,'FLUXO PROJETADO TAF'!$C$21:$R$21,0)))</f>
        <v>sem lanç.</v>
      </c>
      <c r="E59" s="93" t="str">
        <f>IF(ISTEXT(INDEX('FLUXO PROJETADO TAF'!$C$41:$R$41,MATCH(E$56,'FLUXO PROJETADO TAF'!$C$21:$R$21,0))),"sem lanç.",INDEX('FLUXO PROJETADO TAF'!$C$41:$R$41,MATCH(E$56,'FLUXO PROJETADO TAF'!$C$21:$R$21,0)))</f>
        <v>sem lanç.</v>
      </c>
      <c r="F59" s="93" t="str">
        <f>IF(ISTEXT(INDEX('FLUXO PROJETADO TAF'!$C$41:$R$41,MATCH(F$56,'FLUXO PROJETADO TAF'!$C$21:$R$21,0))),"sem lanç.",INDEX('FLUXO PROJETADO TAF'!$C$41:$R$41,MATCH(F$56,'FLUXO PROJETADO TAF'!$C$21:$R$21,0)))</f>
        <v>sem lanç.</v>
      </c>
      <c r="G59" s="93" t="str">
        <f>IF(ISTEXT(INDEX('FLUXO PROJETADO TAF'!$C$41:$R$41,MATCH(G$56,'FLUXO PROJETADO TAF'!$C$21:$R$21,0))),"sem lanç.",INDEX('FLUXO PROJETADO TAF'!$C$41:$R$41,MATCH(G$56,'FLUXO PROJETADO TAF'!$C$21:$R$21,0)))</f>
        <v>sem lanç.</v>
      </c>
      <c r="H59" s="93" t="str">
        <f>IF(ISTEXT(INDEX('FLUXO PROJETADO TAF'!$C$41:$R$41,MATCH(H$56,'FLUXO PROJETADO TAF'!$C$21:$R$21,0))),"sem lanç.",INDEX('FLUXO PROJETADO TAF'!$C$41:$R$41,MATCH(H$56,'FLUXO PROJETADO TAF'!$C$21:$R$21,0)))</f>
        <v>sem lanç.</v>
      </c>
      <c r="I59" s="93" t="str">
        <f>IF(ISTEXT(INDEX('FLUXO PROJETADO TAF'!$C$41:$R$41,MATCH(I$56,'FLUXO PROJETADO TAF'!$C$21:$R$21,0))),"sem lanç.",INDEX('FLUXO PROJETADO TAF'!$C$41:$R$41,MATCH(I$56,'FLUXO PROJETADO TAF'!$C$21:$R$21,0)))</f>
        <v>sem lanç.</v>
      </c>
      <c r="J59" s="93" t="str">
        <f>IF(ISTEXT(INDEX('FLUXO PROJETADO TAF'!$C$41:$R$41,MATCH(J$56,'FLUXO PROJETADO TAF'!$C$21:$R$21,0))),"sem lanç.",INDEX('FLUXO PROJETADO TAF'!$C$41:$R$41,MATCH(J$56,'FLUXO PROJETADO TAF'!$C$21:$R$21,0)))</f>
        <v>sem lanç.</v>
      </c>
      <c r="K59" s="93" t="str">
        <f>IF(ISTEXT(INDEX('FLUXO PROJETADO TAF'!$C$41:$R$41,MATCH(K$56,'FLUXO PROJETADO TAF'!$C$21:$R$21,0))),"sem lanç.",INDEX('FLUXO PROJETADO TAF'!$C$41:$R$41,MATCH(K$56,'FLUXO PROJETADO TAF'!$C$21:$R$21,0)))</f>
        <v>sem lanç.</v>
      </c>
      <c r="L59" s="93" t="str">
        <f>IF(ISTEXT(INDEX('FLUXO PROJETADO TAF'!$C$41:$R$41,MATCH(L$56,'FLUXO PROJETADO TAF'!$C$21:$R$21,0))),"sem lanç.",INDEX('FLUXO PROJETADO TAF'!$C$41:$R$41,MATCH(L$56,'FLUXO PROJETADO TAF'!$C$21:$R$21,0)))</f>
        <v>sem lanç.</v>
      </c>
      <c r="M59" s="93" t="str">
        <f>IF(ISTEXT(INDEX('FLUXO PROJETADO TAF'!$C$41:$R$41,MATCH(M$56,'FLUXO PROJETADO TAF'!$C$21:$R$21,0))),"sem lanç.",INDEX('FLUXO PROJETADO TAF'!$C$41:$R$41,MATCH(M$56,'FLUXO PROJETADO TAF'!$C$21:$R$21,0)))</f>
        <v>sem lanç.</v>
      </c>
      <c r="N59" s="93" t="str">
        <f>IF(ISTEXT(INDEX('FLUXO PROJETADO TAF'!$C$41:$R$41,MATCH(N$56,'FLUXO PROJETADO TAF'!$C$21:$R$21,0))),"sem lanç.",INDEX('FLUXO PROJETADO TAF'!$C$41:$R$41,MATCH(N$56,'FLUXO PROJETADO TAF'!$C$21:$R$21,0)))</f>
        <v>sem lanç.</v>
      </c>
      <c r="O59" s="93" t="str">
        <f>IF(ISTEXT(INDEX('FLUXO PROJETADO TAF'!$C$41:$R$41,MATCH(O$56,'FLUXO PROJETADO TAF'!$C$21:$R$21,0))),"sem lanç.",INDEX('FLUXO PROJETADO TAF'!$C$41:$R$41,MATCH(O$56,'FLUXO PROJETADO TAF'!$C$21:$R$21,0)))</f>
        <v>sem lanç.</v>
      </c>
      <c r="P59" s="96" t="str">
        <f>IF(COUNT(D59:O59)=0,"sem lançamento",SUM(D59:O59))</f>
        <v>sem lançamento</v>
      </c>
    </row>
    <row r="60">
      <c r="A60" s="81" t="n">
        <v>342</v>
      </c>
      <c r="C60" s="73" t="inlineStr">
        <is>
          <t>Diferença (real menos previsto)</t>
        </is>
      </c>
      <c r="D60" s="93">
        <f>IF(ISTEXT(D59),"",D59-D58)</f>
      </c>
      <c r="E60" s="93">
        <f>IF(ISTEXT(E59),"",E59-E58)</f>
      </c>
      <c r="F60" s="93">
        <f>IF(ISTEXT(F59),"",F59-F58)</f>
      </c>
      <c r="G60" s="93">
        <f>IF(ISTEXT(G59),"",G59-G58)</f>
      </c>
      <c r="H60" s="93">
        <f>IF(ISTEXT(H59),"",H59-H58)</f>
      </c>
      <c r="I60" s="93">
        <f>IF(ISTEXT(I59),"",I59-I58)</f>
      </c>
      <c r="J60" s="93">
        <f>IF(ISTEXT(J59),"",J59-J58)</f>
      </c>
      <c r="K60" s="93">
        <f>IF(ISTEXT(K59),"",K59-K58)</f>
      </c>
      <c r="L60" s="93">
        <f>IF(ISTEXT(L59),"",L59-L58)</f>
      </c>
      <c r="M60" s="93">
        <f>IF(ISTEXT(M59),"",M59-M58)</f>
      </c>
      <c r="N60" s="93">
        <f>IF(ISTEXT(N59),"",N59-N58)</f>
      </c>
      <c r="O60" s="93">
        <f>IF(ISTEXT(O59),"",O59-O58)</f>
      </c>
      <c r="P60" s="96">
        <f>IF(ISTEXT(P59),"",P59-P58)</f>
      </c>
    </row>
    <row r="61">
      <c r="A61" s="169" t="n">
        <v>343</v>
      </c>
      <c r="B61" s="170" t="n"/>
      <c r="C61" s="169" t="inlineStr">
        <is>
          <t>Valor do cronograma (R$)</t>
        </is>
      </c>
      <c r="D61" s="171">
        <f>SUMIFS(D$33:D$48,$B$33:$B$48,"343")</f>
        <v>181131.96</v>
      </c>
      <c r="E61" s="171">
        <f>SUMIFS(E$33:E$48,$B$33:$B$48,"343")</f>
        <v>702452.06</v>
      </c>
      <c r="F61" s="171">
        <f>SUMIFS(F$33:F$48,$B$33:$B$48,"343")</f>
        <v>702452.06</v>
      </c>
      <c r="G61" s="171">
        <f>SUMIFS(G$33:G$48,$B$33:$B$48,"343")</f>
        <v>702452.06</v>
      </c>
      <c r="H61" s="171">
        <f>SUMIFS(H$33:H$48,$B$33:$B$48,"343")</f>
        <v>702452.06</v>
      </c>
      <c r="I61" s="171">
        <f>SUMIFS(I$33:I$48,$B$33:$B$48,"343")</f>
        <v>702452.06</v>
      </c>
      <c r="J61" s="171">
        <f>SUMIFS(J$33:J$48,$B$33:$B$48,"343")</f>
        <v>702452.06</v>
      </c>
      <c r="K61" s="171">
        <f>SUMIFS(K$33:K$48,$B$33:$B$48,"343")</f>
        <v>702452.06</v>
      </c>
      <c r="L61" s="171">
        <f>SUMIFS(L$33:L$48,$B$33:$B$48,"343")</f>
        <v>181131.96</v>
      </c>
      <c r="M61" s="171">
        <f>SUMIFS(M$33:M$48,$B$33:$B$48,"343")</f>
        <v>0</v>
      </c>
      <c r="N61" s="171">
        <f>SUMIFS(N$33:N$48,$B$33:$B$48,"343")</f>
        <v>0</v>
      </c>
      <c r="O61" s="171">
        <f>SUMIFS(O$33:O$48,$B$33:$B$48,"343")</f>
        <v>0</v>
      </c>
      <c r="P61" s="172">
        <f>SUM(D61:O61)</f>
        <v>5279428.34</v>
      </c>
    </row>
    <row r="62">
      <c r="A62" s="81" t="n">
        <v>343</v>
      </c>
      <c r="C62" s="73" t="inlineStr">
        <is>
          <t>Custo previsto no estudo (R$)</t>
        </is>
      </c>
      <c r="D62" s="93">
        <f>INDEX('FLUXO PROJETADO TAF'!$C$54:$R$54,MATCH(D$56,'FLUXO PROJETADO TAF'!$C$21:$R$21,0))</f>
        <v>55670.76</v>
      </c>
      <c r="E62" s="93">
        <f>INDEX('FLUXO PROJETADO TAF'!$C$54:$R$54,MATCH(E$56,'FLUXO PROJETADO TAF'!$C$21:$R$21,0))</f>
        <v>764972.02</v>
      </c>
      <c r="F62" s="93">
        <f>INDEX('FLUXO PROJETADO TAF'!$C$54:$R$54,MATCH(F$56,'FLUXO PROJETADO TAF'!$C$21:$R$21,0))</f>
        <v>580682.84</v>
      </c>
      <c r="G62" s="93">
        <f>INDEX('FLUXO PROJETADO TAF'!$C$54:$R$54,MATCH(G$56,'FLUXO PROJETADO TAF'!$C$21:$R$21,0))</f>
        <v>440042.97</v>
      </c>
      <c r="H62" s="93">
        <f>INDEX('FLUXO PROJETADO TAF'!$C$54:$R$54,MATCH(H$56,'FLUXO PROJETADO TAF'!$C$21:$R$21,0))</f>
        <v>388619.2</v>
      </c>
      <c r="I62" s="93">
        <f>INDEX('FLUXO PROJETADO TAF'!$C$54:$R$54,MATCH(I$56,'FLUXO PROJETADO TAF'!$C$21:$R$21,0))</f>
        <v>349757.27</v>
      </c>
      <c r="J62" s="93">
        <f>INDEX('FLUXO PROJETADO TAF'!$C$54:$R$54,MATCH(J$56,'FLUXO PROJETADO TAF'!$C$21:$R$21,0))</f>
        <v>427481.11</v>
      </c>
      <c r="K62" s="93">
        <f>INDEX('FLUXO PROJETADO TAF'!$C$54:$R$54,MATCH(K$56,'FLUXO PROJETADO TAF'!$C$21:$R$21,0))</f>
        <v>382352.07</v>
      </c>
      <c r="L62" s="93">
        <f>INDEX('FLUXO PROJETADO TAF'!$C$54:$R$54,MATCH(L$56,'FLUXO PROJETADO TAF'!$C$21:$R$21,0))</f>
        <v>216039.46</v>
      </c>
      <c r="M62" s="93">
        <f>INDEX('FLUXO PROJETADO TAF'!$C$54:$R$54,MATCH(M$56,'FLUXO PROJETADO TAF'!$C$21:$R$21,0))</f>
        <v>0</v>
      </c>
      <c r="N62" s="93">
        <f>INDEX('FLUXO PROJETADO TAF'!$C$54:$R$54,MATCH(N$56,'FLUXO PROJETADO TAF'!$C$21:$R$21,0))</f>
        <v>0</v>
      </c>
      <c r="O62" s="93">
        <f>INDEX('FLUXO PROJETADO TAF'!$C$54:$R$54,MATCH(O$56,'FLUXO PROJETADO TAF'!$C$21:$R$21,0))</f>
        <v>0</v>
      </c>
      <c r="P62" s="96">
        <f>SUM(D62:O62)</f>
        <v>3605617.7</v>
      </c>
    </row>
    <row r="63">
      <c r="A63" s="81" t="n">
        <v>343</v>
      </c>
      <c r="C63" s="73" t="inlineStr">
        <is>
          <t>Custo real lançado (08)</t>
        </is>
      </c>
      <c r="D63" s="93" t="str">
        <f>IF(ISTEXT(INDEX('FLUXO PROJETADO TAF'!$C$63:$R$63,MATCH(D$56,'FLUXO PROJETADO TAF'!$C$21:$R$21,0))),"sem lanç.",INDEX('FLUXO PROJETADO TAF'!$C$63:$R$63,MATCH(D$56,'FLUXO PROJETADO TAF'!$C$21:$R$21,0)))</f>
        <v>sem lanç.</v>
      </c>
      <c r="E63" s="93" t="str">
        <f>IF(ISTEXT(INDEX('FLUXO PROJETADO TAF'!$C$63:$R$63,MATCH(E$56,'FLUXO PROJETADO TAF'!$C$21:$R$21,0))),"sem lanç.",INDEX('FLUXO PROJETADO TAF'!$C$63:$R$63,MATCH(E$56,'FLUXO PROJETADO TAF'!$C$21:$R$21,0)))</f>
        <v>sem lanç.</v>
      </c>
      <c r="F63" s="93" t="str">
        <f>IF(ISTEXT(INDEX('FLUXO PROJETADO TAF'!$C$63:$R$63,MATCH(F$56,'FLUXO PROJETADO TAF'!$C$21:$R$21,0))),"sem lanç.",INDEX('FLUXO PROJETADO TAF'!$C$63:$R$63,MATCH(F$56,'FLUXO PROJETADO TAF'!$C$21:$R$21,0)))</f>
        <v>sem lanç.</v>
      </c>
      <c r="G63" s="93" t="str">
        <f>IF(ISTEXT(INDEX('FLUXO PROJETADO TAF'!$C$63:$R$63,MATCH(G$56,'FLUXO PROJETADO TAF'!$C$21:$R$21,0))),"sem lanç.",INDEX('FLUXO PROJETADO TAF'!$C$63:$R$63,MATCH(G$56,'FLUXO PROJETADO TAF'!$C$21:$R$21,0)))</f>
        <v>sem lanç.</v>
      </c>
      <c r="H63" s="93" t="str">
        <f>IF(ISTEXT(INDEX('FLUXO PROJETADO TAF'!$C$63:$R$63,MATCH(H$56,'FLUXO PROJETADO TAF'!$C$21:$R$21,0))),"sem lanç.",INDEX('FLUXO PROJETADO TAF'!$C$63:$R$63,MATCH(H$56,'FLUXO PROJETADO TAF'!$C$21:$R$21,0)))</f>
        <v>sem lanç.</v>
      </c>
      <c r="I63" s="93" t="str">
        <f>IF(ISTEXT(INDEX('FLUXO PROJETADO TAF'!$C$63:$R$63,MATCH(I$56,'FLUXO PROJETADO TAF'!$C$21:$R$21,0))),"sem lanç.",INDEX('FLUXO PROJETADO TAF'!$C$63:$R$63,MATCH(I$56,'FLUXO PROJETADO TAF'!$C$21:$R$21,0)))</f>
        <v>sem lanç.</v>
      </c>
      <c r="J63" s="93" t="str">
        <f>IF(ISTEXT(INDEX('FLUXO PROJETADO TAF'!$C$63:$R$63,MATCH(J$56,'FLUXO PROJETADO TAF'!$C$21:$R$21,0))),"sem lanç.",INDEX('FLUXO PROJETADO TAF'!$C$63:$R$63,MATCH(J$56,'FLUXO PROJETADO TAF'!$C$21:$R$21,0)))</f>
        <v>sem lanç.</v>
      </c>
      <c r="K63" s="93" t="str">
        <f>IF(ISTEXT(INDEX('FLUXO PROJETADO TAF'!$C$63:$R$63,MATCH(K$56,'FLUXO PROJETADO TAF'!$C$21:$R$21,0))),"sem lanç.",INDEX('FLUXO PROJETADO TAF'!$C$63:$R$63,MATCH(K$56,'FLUXO PROJETADO TAF'!$C$21:$R$21,0)))</f>
        <v>sem lanç.</v>
      </c>
      <c r="L63" s="93" t="str">
        <f>IF(ISTEXT(INDEX('FLUXO PROJETADO TAF'!$C$63:$R$63,MATCH(L$56,'FLUXO PROJETADO TAF'!$C$21:$R$21,0))),"sem lanç.",INDEX('FLUXO PROJETADO TAF'!$C$63:$R$63,MATCH(L$56,'FLUXO PROJETADO TAF'!$C$21:$R$21,0)))</f>
        <v>sem lanç.</v>
      </c>
      <c r="M63" s="93" t="str">
        <f>IF(ISTEXT(INDEX('FLUXO PROJETADO TAF'!$C$63:$R$63,MATCH(M$56,'FLUXO PROJETADO TAF'!$C$21:$R$21,0))),"sem lanç.",INDEX('FLUXO PROJETADO TAF'!$C$63:$R$63,MATCH(M$56,'FLUXO PROJETADO TAF'!$C$21:$R$21,0)))</f>
        <v>sem lanç.</v>
      </c>
      <c r="N63" s="93" t="str">
        <f>IF(ISTEXT(INDEX('FLUXO PROJETADO TAF'!$C$63:$R$63,MATCH(N$56,'FLUXO PROJETADO TAF'!$C$21:$R$21,0))),"sem lanç.",INDEX('FLUXO PROJETADO TAF'!$C$63:$R$63,MATCH(N$56,'FLUXO PROJETADO TAF'!$C$21:$R$21,0)))</f>
        <v>sem lanç.</v>
      </c>
      <c r="O63" s="93" t="str">
        <f>IF(ISTEXT(INDEX('FLUXO PROJETADO TAF'!$C$63:$R$63,MATCH(O$56,'FLUXO PROJETADO TAF'!$C$21:$R$21,0))),"sem lanç.",INDEX('FLUXO PROJETADO TAF'!$C$63:$R$63,MATCH(O$56,'FLUXO PROJETADO TAF'!$C$21:$R$21,0)))</f>
        <v>sem lanç.</v>
      </c>
      <c r="P63" s="96" t="str">
        <f>IF(COUNT(D63:O63)=0,"sem lançamento",SUM(D63:O63))</f>
        <v>sem lançamento</v>
      </c>
    </row>
    <row r="64">
      <c r="A64" s="81" t="n">
        <v>343</v>
      </c>
      <c r="C64" s="73" t="inlineStr">
        <is>
          <t>Diferença (real menos previsto)</t>
        </is>
      </c>
      <c r="D64" s="93">
        <f>IF(ISTEXT(D63),"",D63-D62)</f>
      </c>
      <c r="E64" s="93">
        <f>IF(ISTEXT(E63),"",E63-E62)</f>
      </c>
      <c r="F64" s="93">
        <f>IF(ISTEXT(F63),"",F63-F62)</f>
      </c>
      <c r="G64" s="93">
        <f>IF(ISTEXT(G63),"",G63-G62)</f>
      </c>
      <c r="H64" s="93">
        <f>IF(ISTEXT(H63),"",H63-H62)</f>
      </c>
      <c r="I64" s="93">
        <f>IF(ISTEXT(I63),"",I63-I62)</f>
      </c>
      <c r="J64" s="93">
        <f>IF(ISTEXT(J63),"",J63-J62)</f>
      </c>
      <c r="K64" s="93">
        <f>IF(ISTEXT(K63),"",K63-K62)</f>
      </c>
      <c r="L64" s="93">
        <f>IF(ISTEXT(L63),"",L63-L62)</f>
      </c>
      <c r="M64" s="93">
        <f>IF(ISTEXT(M63),"",M63-M62)</f>
      </c>
      <c r="N64" s="93">
        <f>IF(ISTEXT(N63),"",N63-N62)</f>
      </c>
      <c r="O64" s="93">
        <f>IF(ISTEXT(O63),"",O63-O62)</f>
      </c>
      <c r="P64" s="96">
        <f>IF(ISTEXT(P63),"",P63-P62)</f>
      </c>
    </row>
    <row r="65">
      <c r="A65" s="169" t="inlineStr">
        <is>
          <t>TAF</t>
        </is>
      </c>
      <c r="B65" s="170" t="n"/>
      <c r="C65" s="169" t="inlineStr">
        <is>
          <t>Valor do cronograma (R$)</t>
        </is>
      </c>
      <c r="D65" s="171">
        <f>D57+D61</f>
        <v>192494.987741936</v>
      </c>
      <c r="E65" s="171">
        <f>E57+E61</f>
        <v>873485.201219931</v>
      </c>
      <c r="F65" s="171">
        <f>F57+F61</f>
        <v>818163.920671581</v>
      </c>
      <c r="G65" s="171">
        <f>G57+G61</f>
        <v>1430112.03340183</v>
      </c>
      <c r="H65" s="171">
        <f>H57+H61</f>
        <v>928066.915856477</v>
      </c>
      <c r="I65" s="171">
        <f>I57+I61</f>
        <v>977438.971954468</v>
      </c>
      <c r="J65" s="171">
        <f>J57+J61</f>
        <v>871257.664351375</v>
      </c>
      <c r="K65" s="171">
        <f>K57+K61</f>
        <v>1481000.03146907</v>
      </c>
      <c r="L65" s="171">
        <f>L57+L61</f>
        <v>615763.712268041</v>
      </c>
      <c r="M65" s="171">
        <f>M57+M61</f>
        <v>210733.552302405</v>
      </c>
      <c r="N65" s="171">
        <f>N57+N61</f>
        <v>125737.535601375</v>
      </c>
      <c r="O65" s="171">
        <f>O57+O61</f>
        <v>13144.553161512</v>
      </c>
      <c r="P65" s="172">
        <f>SUM(D65:O65)</f>
        <v>8537399.08</v>
      </c>
    </row>
    <row r="66">
      <c r="A66" s="81" t="inlineStr">
        <is>
          <t>TAF</t>
        </is>
      </c>
      <c r="C66" s="73" t="inlineStr">
        <is>
          <t>Custo previsto no estudo (R$)</t>
        </is>
      </c>
      <c r="D66" s="93">
        <f>INDEX('FLUXO PROJETADO TAF'!$C$71:$R$71,MATCH(D$56,'FLUXO PROJETADO TAF'!$C$21:$R$21,0))</f>
        <v>55670.76</v>
      </c>
      <c r="E66" s="93">
        <f>INDEX('FLUXO PROJETADO TAF'!$C$71:$R$71,MATCH(E$56,'FLUXO PROJETADO TAF'!$C$21:$R$21,0))</f>
        <v>794498</v>
      </c>
      <c r="F66" s="93">
        <f>INDEX('FLUXO PROJETADO TAF'!$C$71:$R$71,MATCH(F$56,'FLUXO PROJETADO TAF'!$C$21:$R$21,0))</f>
        <v>859795.28</v>
      </c>
      <c r="G66" s="93">
        <f>INDEX('FLUXO PROJETADO TAF'!$C$71:$R$71,MATCH(G$56,'FLUXO PROJETADO TAF'!$C$21:$R$21,0))</f>
        <v>811829.7</v>
      </c>
      <c r="H66" s="93">
        <f>INDEX('FLUXO PROJETADO TAF'!$C$71:$R$71,MATCH(H$56,'FLUXO PROJETADO TAF'!$C$21:$R$21,0))</f>
        <v>869482.92</v>
      </c>
      <c r="I66" s="93">
        <f>INDEX('FLUXO PROJETADO TAF'!$C$71:$R$71,MATCH(I$56,'FLUXO PROJETADO TAF'!$C$21:$R$21,0))</f>
        <v>593454.29</v>
      </c>
      <c r="J66" s="93">
        <f>INDEX('FLUXO PROJETADO TAF'!$C$71:$R$71,MATCH(J$56,'FLUXO PROJETADO TAF'!$C$21:$R$21,0))</f>
        <v>686692.88</v>
      </c>
      <c r="K66" s="93">
        <f>INDEX('FLUXO PROJETADO TAF'!$C$71:$R$71,MATCH(K$56,'FLUXO PROJETADO TAF'!$C$21:$R$21,0))</f>
        <v>554799.79</v>
      </c>
      <c r="L66" s="93">
        <f>INDEX('FLUXO PROJETADO TAF'!$C$71:$R$71,MATCH(L$56,'FLUXO PROJETADO TAF'!$C$21:$R$21,0))</f>
        <v>854835.72</v>
      </c>
      <c r="M66" s="93">
        <f>INDEX('FLUXO PROJETADO TAF'!$C$71:$R$71,MATCH(M$56,'FLUXO PROJETADO TAF'!$C$21:$R$21,0))</f>
        <v>292769.23</v>
      </c>
      <c r="N66" s="93">
        <f>INDEX('FLUXO PROJETADO TAF'!$C$71:$R$71,MATCH(N$56,'FLUXO PROJETADO TAF'!$C$21:$R$21,0))</f>
        <v>237629.3</v>
      </c>
      <c r="O66" s="93">
        <f>INDEX('FLUXO PROJETADO TAF'!$C$71:$R$71,MATCH(O$56,'FLUXO PROJETADO TAF'!$C$21:$R$21,0))</f>
        <v>163887.89</v>
      </c>
      <c r="P66" s="96">
        <f>SUM(D66:O66)</f>
        <v>6775345.76</v>
      </c>
    </row>
    <row r="67">
      <c r="A67" s="81" t="inlineStr">
        <is>
          <t>TAF</t>
        </is>
      </c>
      <c r="C67" s="73" t="inlineStr">
        <is>
          <t>Custo real lançado (08)</t>
        </is>
      </c>
      <c r="D67" s="93" t="str">
        <f>IF(ISTEXT(INDEX('FLUXO PROJETADO TAF'!$C$78:$R$78,MATCH(D$56,'FLUXO PROJETADO TAF'!$C$21:$R$21,0))),"sem lanç.",INDEX('FLUXO PROJETADO TAF'!$C$78:$R$78,MATCH(D$56,'FLUXO PROJETADO TAF'!$C$21:$R$21,0)))</f>
        <v>sem lanç.</v>
      </c>
      <c r="E67" s="93" t="str">
        <f>IF(ISTEXT(INDEX('FLUXO PROJETADO TAF'!$C$78:$R$78,MATCH(E$56,'FLUXO PROJETADO TAF'!$C$21:$R$21,0))),"sem lanç.",INDEX('FLUXO PROJETADO TAF'!$C$78:$R$78,MATCH(E$56,'FLUXO PROJETADO TAF'!$C$21:$R$21,0)))</f>
        <v>sem lanç.</v>
      </c>
      <c r="F67" s="93" t="str">
        <f>IF(ISTEXT(INDEX('FLUXO PROJETADO TAF'!$C$78:$R$78,MATCH(F$56,'FLUXO PROJETADO TAF'!$C$21:$R$21,0))),"sem lanç.",INDEX('FLUXO PROJETADO TAF'!$C$78:$R$78,MATCH(F$56,'FLUXO PROJETADO TAF'!$C$21:$R$21,0)))</f>
        <v>sem lanç.</v>
      </c>
      <c r="G67" s="93" t="str">
        <f>IF(ISTEXT(INDEX('FLUXO PROJETADO TAF'!$C$78:$R$78,MATCH(G$56,'FLUXO PROJETADO TAF'!$C$21:$R$21,0))),"sem lanç.",INDEX('FLUXO PROJETADO TAF'!$C$78:$R$78,MATCH(G$56,'FLUXO PROJETADO TAF'!$C$21:$R$21,0)))</f>
        <v>sem lanç.</v>
      </c>
      <c r="H67" s="93" t="str">
        <f>IF(ISTEXT(INDEX('FLUXO PROJETADO TAF'!$C$78:$R$78,MATCH(H$56,'FLUXO PROJETADO TAF'!$C$21:$R$21,0))),"sem lanç.",INDEX('FLUXO PROJETADO TAF'!$C$78:$R$78,MATCH(H$56,'FLUXO PROJETADO TAF'!$C$21:$R$21,0)))</f>
        <v>sem lanç.</v>
      </c>
      <c r="I67" s="93" t="str">
        <f>IF(ISTEXT(INDEX('FLUXO PROJETADO TAF'!$C$78:$R$78,MATCH(I$56,'FLUXO PROJETADO TAF'!$C$21:$R$21,0))),"sem lanç.",INDEX('FLUXO PROJETADO TAF'!$C$78:$R$78,MATCH(I$56,'FLUXO PROJETADO TAF'!$C$21:$R$21,0)))</f>
        <v>sem lanç.</v>
      </c>
      <c r="J67" s="93" t="str">
        <f>IF(ISTEXT(INDEX('FLUXO PROJETADO TAF'!$C$78:$R$78,MATCH(J$56,'FLUXO PROJETADO TAF'!$C$21:$R$21,0))),"sem lanç.",INDEX('FLUXO PROJETADO TAF'!$C$78:$R$78,MATCH(J$56,'FLUXO PROJETADO TAF'!$C$21:$R$21,0)))</f>
        <v>sem lanç.</v>
      </c>
      <c r="K67" s="93" t="str">
        <f>IF(ISTEXT(INDEX('FLUXO PROJETADO TAF'!$C$78:$R$78,MATCH(K$56,'FLUXO PROJETADO TAF'!$C$21:$R$21,0))),"sem lanç.",INDEX('FLUXO PROJETADO TAF'!$C$78:$R$78,MATCH(K$56,'FLUXO PROJETADO TAF'!$C$21:$R$21,0)))</f>
        <v>sem lanç.</v>
      </c>
      <c r="L67" s="93" t="str">
        <f>IF(ISTEXT(INDEX('FLUXO PROJETADO TAF'!$C$78:$R$78,MATCH(L$56,'FLUXO PROJETADO TAF'!$C$21:$R$21,0))),"sem lanç.",INDEX('FLUXO PROJETADO TAF'!$C$78:$R$78,MATCH(L$56,'FLUXO PROJETADO TAF'!$C$21:$R$21,0)))</f>
        <v>sem lanç.</v>
      </c>
      <c r="M67" s="93" t="str">
        <f>IF(ISTEXT(INDEX('FLUXO PROJETADO TAF'!$C$78:$R$78,MATCH(M$56,'FLUXO PROJETADO TAF'!$C$21:$R$21,0))),"sem lanç.",INDEX('FLUXO PROJETADO TAF'!$C$78:$R$78,MATCH(M$56,'FLUXO PROJETADO TAF'!$C$21:$R$21,0)))</f>
        <v>sem lanç.</v>
      </c>
      <c r="N67" s="93" t="str">
        <f>IF(ISTEXT(INDEX('FLUXO PROJETADO TAF'!$C$78:$R$78,MATCH(N$56,'FLUXO PROJETADO TAF'!$C$21:$R$21,0))),"sem lanç.",INDEX('FLUXO PROJETADO TAF'!$C$78:$R$78,MATCH(N$56,'FLUXO PROJETADO TAF'!$C$21:$R$21,0)))</f>
        <v>sem lanç.</v>
      </c>
      <c r="O67" s="93" t="str">
        <f>IF(ISTEXT(INDEX('FLUXO PROJETADO TAF'!$C$78:$R$78,MATCH(O$56,'FLUXO PROJETADO TAF'!$C$21:$R$21,0))),"sem lanç.",INDEX('FLUXO PROJETADO TAF'!$C$78:$R$78,MATCH(O$56,'FLUXO PROJETADO TAF'!$C$21:$R$21,0)))</f>
        <v>sem lanç.</v>
      </c>
      <c r="P67" s="96" t="str">
        <f>IF(COUNT(D67:O67)=0,"sem lançamento",SUM(D67:O67))</f>
        <v>sem lançamento</v>
      </c>
    </row>
    <row r="68">
      <c r="A68" s="81" t="inlineStr">
        <is>
          <t>TAF</t>
        </is>
      </c>
      <c r="C68" s="73" t="inlineStr">
        <is>
          <t>Diferença (real menos previsto)</t>
        </is>
      </c>
      <c r="D68" s="93">
        <f>IF(ISTEXT(D67),"",D67-D66)</f>
      </c>
      <c r="E68" s="93">
        <f>IF(ISTEXT(E67),"",E67-E66)</f>
      </c>
      <c r="F68" s="93">
        <f>IF(ISTEXT(F67),"",F67-F66)</f>
      </c>
      <c r="G68" s="93">
        <f>IF(ISTEXT(G67),"",G67-G66)</f>
      </c>
      <c r="H68" s="93">
        <f>IF(ISTEXT(H67),"",H67-H66)</f>
      </c>
      <c r="I68" s="93">
        <f>IF(ISTEXT(I67),"",I67-I66)</f>
      </c>
      <c r="J68" s="93">
        <f>IF(ISTEXT(J67),"",J67-J66)</f>
      </c>
      <c r="K68" s="93">
        <f>IF(ISTEXT(K67),"",K67-K66)</f>
      </c>
      <c r="L68" s="93">
        <f>IF(ISTEXT(L67),"",L67-L66)</f>
      </c>
      <c r="M68" s="93">
        <f>IF(ISTEXT(M67),"",M67-M66)</f>
      </c>
      <c r="N68" s="93">
        <f>IF(ISTEXT(N67),"",N67-N66)</f>
      </c>
      <c r="O68" s="93">
        <f>IF(ISTEXT(O67),"",O67-O66)</f>
      </c>
      <c r="P68" s="96">
        <f>IF(ISTEXT(P67),"",P67-P66)</f>
      </c>
    </row>
    <row r="69">
      <c r="A69" s="167" t="inlineStr">
        <is>
          <t>Nota: o custo previsto é o fluxo de saídas (342: estudo REV13, aba 09; 343: motor, aba 19). O valor do cronograma é receita, não custo. A grade vai de set/26 a ago/27: a 342 ainda paga R$ 42.731 depois de ago/27 (estudo REV13, aba 09), que está na 04 e no FLUXO.</t>
        </is>
      </c>
    </row>
    <row r="70"/>
    <row r="71"/>
    <row r="72">
      <c r="A72" s="10" t="inlineStr">
        <is>
          <t>EVENTOS DA 342: VALOR DO ANEXO VII E DATAS DE EXECUÇÃO DO PLANO (estudo REV13, aba 05; cenário 1)</t>
        </is>
      </c>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row>
    <row r="73" ht="42" customHeight="1" s="71">
      <c r="A73" s="215" t="inlineStr">
        <is>
          <t>Evento</t>
        </is>
      </c>
      <c r="B73" s="215" t="inlineStr">
        <is>
          <t>Obra</t>
        </is>
      </c>
      <c r="C73" s="215" t="inlineStr">
        <is>
          <t>Descrição</t>
        </is>
      </c>
      <c r="D73" s="215" t="inlineStr">
        <is>
          <t>Etapa (ID)</t>
        </is>
      </c>
      <c r="E73" s="215" t="inlineStr">
        <is>
          <t>Medição</t>
        </is>
      </c>
      <c r="F73" s="215" t="inlineStr">
        <is>
          <t>Valor do evento (R$)</t>
        </is>
      </c>
      <c r="G73" s="215" t="inlineStr">
        <is>
          <t>Início (plano)</t>
        </is>
      </c>
      <c r="H73" s="215" t="inlineStr">
        <is>
          <t>Fim (plano)</t>
        </is>
      </c>
      <c r="I73" s="215" t="inlineStr">
        <is>
          <t>Corte do BM que mede a conclusão</t>
        </is>
      </c>
      <c r="J73" s="215" t="inlineStr">
        <is>
          <t>Dias corridos</t>
        </is>
      </c>
      <c r="K73" s="215" t="inlineStr">
        <is>
          <t>Restrições abertas (05C)</t>
        </is>
      </c>
      <c r="L73" s="215" t="inlineStr">
        <is>
          <t>Situação no corte</t>
        </is>
      </c>
      <c r="M73" s="215" t="inlineStr">
        <is>
          <t>Quantidade (estudo REV13, aba 37)</t>
        </is>
      </c>
      <c r="N73" s="215" t="inlineStr">
        <is>
          <t>Antecessor (aba 37)</t>
        </is>
      </c>
      <c r="O73" s="215" t="inlineStr">
        <is>
          <t>% físico apontado (05B, até o corte)</t>
        </is>
      </c>
      <c r="P73" s="215" t="inlineStr">
        <is>
          <t>Data do aceite (digitar)</t>
        </is>
      </c>
      <c r="Q73" s="216" t="inlineStr">
        <is>
          <t>Critério de conclusão (proposta: validar com a fiscalização)</t>
        </is>
      </c>
      <c r="R73" s="217" t="n"/>
      <c r="S73" s="217" t="n"/>
      <c r="T73" s="217" t="n"/>
      <c r="U73" s="217" t="n"/>
      <c r="V73" s="217" t="n"/>
      <c r="W73" s="217" t="n"/>
      <c r="X73" s="217" t="n"/>
      <c r="Y73" s="217" t="n"/>
      <c r="Z73" s="217" t="n"/>
      <c r="AA73" s="217" t="n"/>
      <c r="AB73" s="217" t="n"/>
      <c r="AC73" s="217" t="n"/>
      <c r="AD73" s="217" t="n"/>
      <c r="AE73" s="217" t="n"/>
      <c r="AF73" s="217" t="n"/>
      <c r="AG73" s="216" t="inlineStr">
        <is>
          <t>Documento de aceite</t>
        </is>
      </c>
      <c r="AH73" s="217" t="n"/>
      <c r="AI73" s="217" t="n"/>
      <c r="AJ73" s="217" t="n"/>
      <c r="AK73" s="217" t="n"/>
      <c r="AL73" s="217" t="n"/>
      <c r="AM73" s="217" t="n"/>
      <c r="AN73" s="217" t="n"/>
      <c r="AO73" s="217" t="n"/>
      <c r="AP73" s="217" t="n"/>
      <c r="AQ73" s="217" t="n"/>
      <c r="AR73" s="217" t="n"/>
      <c r="AS73" s="217" t="n"/>
      <c r="AT73" s="217" t="n"/>
      <c r="AU73" s="217" t="n"/>
      <c r="AV73" s="217" t="n"/>
    </row>
    <row r="74">
      <c r="A74" s="218" t="inlineStr">
        <is>
          <t>1.1.1</t>
        </is>
      </c>
      <c r="B74" s="218" t="inlineStr">
        <is>
          <t>342</t>
        </is>
      </c>
      <c r="C74" s="218" t="inlineStr">
        <is>
          <t>Canteiro</t>
        </is>
      </c>
      <c r="D74" s="218" t="inlineStr">
        <is>
          <t>342-01</t>
        </is>
      </c>
      <c r="E74" s="218" t="inlineStr">
        <is>
          <t>%: proporcional</t>
        </is>
      </c>
      <c r="F74" s="219" t="n">
        <v>122394</v>
      </c>
      <c r="G74" s="220" t="n">
        <v>46314</v>
      </c>
      <c r="H74" s="220" t="n">
        <v>46604</v>
      </c>
      <c r="I74" s="220" t="n">
        <v>46619</v>
      </c>
      <c r="J74" s="221">
        <f>H74-G74+1</f>
        <v>291</v>
      </c>
      <c r="K74" s="221">
        <f>COUNTIFS('05C. RESTRIÇÕES'!$B$5:$B$204,"342",'05C. RESTRIÇÕES'!$C$5:$C$204,A74,'05C. RESTRIÇÕES'!$H$5:$H$204,"ABERTA")</f>
        <v>3</v>
      </c>
      <c r="L74" s="222" t="str">
        <f>IF(ISNUMBER(P74),"aceito",IF(H74&lt;DATA_GESTAO,"devia estar concluído",IF(G74&lt;=DATA_GESTAO,"em execução",IF(G74-DATA_GESTAO&lt;=42,"começa em até 6 semanas","futuro"))))&amp;IF(COUNTIFS('05C. RESTRIÇÕES'!$B$5:$B$204,"342",'05C. RESTRIÇÕES'!$C$5:$C$204,A74,'05C. RESTRIÇÕES'!$L$5:$L$204,"VENCIDA")&gt;0," · restrição vencida","")</f>
        <v>começa em até 6 semanas</v>
      </c>
      <c r="M74" s="223" t="n">
        <v>1</v>
      </c>
      <c r="N74" s="218" t="inlineStr">
        <is>
          <t>nenhum</t>
        </is>
      </c>
      <c r="O74" s="222" t="inlineStr">
        <is>
          <t>proporcional ao BM</t>
        </is>
      </c>
      <c r="P74" s="224" t="inlineStr">
        <is>
          <t>a cada BM (06)</t>
        </is>
      </c>
      <c r="Q74" s="54" t="inlineStr">
        <is>
          <t>medição proporcional no BM</t>
        </is>
      </c>
      <c r="AG74" s="54" t="inlineStr">
        <is>
          <t>BM aprovado (06)</t>
        </is>
      </c>
    </row>
    <row r="75">
      <c r="A75" s="218" t="inlineStr">
        <is>
          <t>2.1.1</t>
        </is>
      </c>
      <c r="B75" s="218" t="inlineStr">
        <is>
          <t>342</t>
        </is>
      </c>
      <c r="C75" s="218" t="inlineStr">
        <is>
          <t>Administração local</t>
        </is>
      </c>
      <c r="D75" s="218" t="inlineStr">
        <is>
          <t>342-02</t>
        </is>
      </c>
      <c r="E75" s="218" t="inlineStr">
        <is>
          <t>%: proporcional</t>
        </is>
      </c>
      <c r="F75" s="219" t="n">
        <v>479911</v>
      </c>
      <c r="G75" s="220" t="n">
        <v>46314</v>
      </c>
      <c r="H75" s="220" t="n">
        <v>46604</v>
      </c>
      <c r="I75" s="220" t="n">
        <v>46619</v>
      </c>
      <c r="J75" s="221">
        <f>H75-G75+1</f>
        <v>291</v>
      </c>
      <c r="K75" s="221">
        <f>COUNTIFS('05C. RESTRIÇÕES'!$B$5:$B$204,"342",'05C. RESTRIÇÕES'!$C$5:$C$204,A75,'05C. RESTRIÇÕES'!$H$5:$H$204,"ABERTA")</f>
        <v>0</v>
      </c>
      <c r="L75" s="222" t="str">
        <f>IF(ISNUMBER(P75),"aceito",IF(H75&lt;DATA_GESTAO,"devia estar concluído",IF(G75&lt;=DATA_GESTAO,"em execução",IF(G75-DATA_GESTAO&lt;=42,"começa em até 6 semanas","futuro"))))&amp;IF(COUNTIFS('05C. RESTRIÇÕES'!$B$5:$B$204,"342",'05C. RESTRIÇÕES'!$C$5:$C$204,A75,'05C. RESTRIÇÕES'!$L$5:$L$204,"VENCIDA")&gt;0," · restrição vencida","")</f>
        <v>começa em até 6 semanas</v>
      </c>
      <c r="M75" s="223" t="n">
        <v>1</v>
      </c>
      <c r="N75" s="218" t="inlineStr">
        <is>
          <t>nenhum</t>
        </is>
      </c>
      <c r="O75" s="222" t="inlineStr">
        <is>
          <t>proporcional ao BM</t>
        </is>
      </c>
      <c r="P75" s="224" t="inlineStr">
        <is>
          <t>a cada BM (06)</t>
        </is>
      </c>
      <c r="Q75" s="54" t="inlineStr">
        <is>
          <t>medição proporcional no BM</t>
        </is>
      </c>
      <c r="AG75" s="54" t="inlineStr">
        <is>
          <t>BM aprovado (06)</t>
        </is>
      </c>
    </row>
    <row r="76">
      <c r="A76" s="218" t="inlineStr">
        <is>
          <t>3.1.1</t>
        </is>
      </c>
      <c r="B76" s="218" t="inlineStr">
        <is>
          <t>342</t>
        </is>
      </c>
      <c r="C76" s="218" t="inlineStr">
        <is>
          <t>Terraplenagem e desvio</t>
        </is>
      </c>
      <c r="D76" s="218" t="inlineStr">
        <is>
          <t>342-03</t>
        </is>
      </c>
      <c r="E76" s="218" t="inlineStr">
        <is>
          <t>UN: só na conclusão</t>
        </is>
      </c>
      <c r="F76" s="219" t="n">
        <v>131545.55</v>
      </c>
      <c r="G76" s="220" t="n">
        <v>46314</v>
      </c>
      <c r="H76" s="220" t="n">
        <v>46325</v>
      </c>
      <c r="I76" s="220" t="n">
        <v>46346</v>
      </c>
      <c r="J76" s="221">
        <f>H76-G76+1</f>
        <v>12</v>
      </c>
      <c r="K76" s="221">
        <f>COUNTIFS('05C. RESTRIÇÕES'!$B$5:$B$204,"342",'05C. RESTRIÇÕES'!$C$5:$C$204,A76,'05C. RESTRIÇÕES'!$H$5:$H$204,"ABERTA")</f>
        <v>8</v>
      </c>
      <c r="L76" s="222" t="str">
        <f>IF(ISNUMBER(P76),"aceito",IF(H76&lt;DATA_GESTAO,"devia estar concluído",IF(G76&lt;=DATA_GESTAO,"em execução",IF(G76-DATA_GESTAO&lt;=42,"começa em até 6 semanas","futuro"))))&amp;IF(COUNTIFS('05C. RESTRIÇÕES'!$B$5:$B$204,"342",'05C. RESTRIÇÕES'!$C$5:$C$204,A76,'05C. RESTRIÇÕES'!$L$5:$L$204,"VENCIDA")&gt;0," · restrição vencida","")</f>
        <v>começa em até 6 semanas · restrição vencida</v>
      </c>
      <c r="M76" s="225" t="n">
        <v>1619</v>
      </c>
      <c r="N76" s="218" t="inlineStr">
        <is>
          <t>nenhum</t>
        </is>
      </c>
      <c r="O76" s="226" t="str">
        <f>IF(COUNTIFS('05B. APONTAMENTO DIÁRIO'!$B$5:$B$1004,"342",'05B. APONTAMENTO DIÁRIO'!$C$5:$C$1004,$A76,'05B. APONTAMENTO DIÁRIO'!$A$5:$A$1004,"&lt;="&amp;DATA_GESTAO)=0,"sem apontamento",IF(COUNTIFS('05B. APONTAMENTO DIÁRIO'!$B$5:$B$1004,"342",'05B. APONTAMENTO DIÁRIO'!$C$5:$C$1004,$A76,'05B. APONTAMENTO DIÁRIO'!$A$5:$A$1004,"&lt;="&amp;DATA_GESTAO,'05B. APONTAMENTO DIÁRIO'!$G$5:$G$1004,"m³")=0,"unidade diferente",SUMIFS('05B. APONTAMENTO DIÁRIO'!$F$5:$F$1004,'05B. APONTAMENTO DIÁRIO'!$B$5:$B$1004,"342",'05B. APONTAMENTO DIÁRIO'!$C$5:$C$1004,$A76,'05B. APONTAMENTO DIÁRIO'!$A$5:$A$1004,"&lt;="&amp;DATA_GESTAO,'05B. APONTAMENTO DIÁRIO'!$G$5:$G$1004,"m³")/$M76))</f>
        <v>sem apontamento</v>
      </c>
      <c r="P76" s="224" t="inlineStr">
        <is>
          <t>PENDENTE</t>
        </is>
      </c>
      <c r="Q76" s="54" t="inlineStr">
        <is>
          <t>a definir com a fiscalização (quantidade da aba 37: 1619 m³)</t>
        </is>
      </c>
      <c r="AG76" s="54" t="inlineStr">
        <is>
          <t>a definir com a fiscalização</t>
        </is>
      </c>
    </row>
    <row r="77">
      <c r="A77" s="218" t="inlineStr">
        <is>
          <t>3.2.1</t>
        </is>
      </c>
      <c r="B77" s="218" t="inlineStr">
        <is>
          <t>342</t>
        </is>
      </c>
      <c r="C77" s="218" t="inlineStr">
        <is>
          <t>Interligação ETA–UTR</t>
        </is>
      </c>
      <c r="D77" s="218" t="inlineStr">
        <is>
          <t>342-04</t>
        </is>
      </c>
      <c r="E77" s="218" t="inlineStr">
        <is>
          <t>UN: só na conclusão</t>
        </is>
      </c>
      <c r="F77" s="219" t="n">
        <v>334559.95</v>
      </c>
      <c r="G77" s="220" t="n">
        <v>46358</v>
      </c>
      <c r="H77" s="220" t="n">
        <v>46380</v>
      </c>
      <c r="I77" s="220" t="n">
        <v>46407</v>
      </c>
      <c r="J77" s="221">
        <f>H77-G77+1</f>
        <v>23</v>
      </c>
      <c r="K77" s="221">
        <f>COUNTIFS('05C. RESTRIÇÕES'!$B$5:$B$204,"342",'05C. RESTRIÇÕES'!$C$5:$C$204,A77,'05C. RESTRIÇÕES'!$H$5:$H$204,"ABERTA")</f>
        <v>3</v>
      </c>
      <c r="L77" s="222" t="str">
        <f>IF(ISNUMBER(P77),"aceito",IF(H77&lt;DATA_GESTAO,"devia estar concluído",IF(G77&lt;=DATA_GESTAO,"em execução",IF(G77-DATA_GESTAO&lt;=42,"começa em até 6 semanas","futuro"))))&amp;IF(COUNTIFS('05C. RESTRIÇÕES'!$B$5:$B$204,"342",'05C. RESTRIÇÕES'!$C$5:$C$204,A77,'05C. RESTRIÇÕES'!$L$5:$L$204,"VENCIDA")&gt;0," · restrição vencida","")</f>
        <v>futuro · restrição vencida</v>
      </c>
      <c r="M77" s="227" t="n">
        <v>246</v>
      </c>
      <c r="N77" s="218" t="inlineStr">
        <is>
          <t>nenhum</t>
        </is>
      </c>
      <c r="O77" s="226" t="str">
        <f>IF(COUNTIFS('05B. APONTAMENTO DIÁRIO'!$B$5:$B$1004,"342",'05B. APONTAMENTO DIÁRIO'!$C$5:$C$1004,$A77,'05B. APONTAMENTO DIÁRIO'!$A$5:$A$1004,"&lt;="&amp;DATA_GESTAO)=0,"sem apontamento",IF(COUNTIFS('05B. APONTAMENTO DIÁRIO'!$B$5:$B$1004,"342",'05B. APONTAMENTO DIÁRIO'!$C$5:$C$1004,$A77,'05B. APONTAMENTO DIÁRIO'!$A$5:$A$1004,"&lt;="&amp;DATA_GESTAO,'05B. APONTAMENTO DIÁRIO'!$G$5:$G$1004,"m")=0,"unidade diferente",SUMIFS('05B. APONTAMENTO DIÁRIO'!$F$5:$F$1004,'05B. APONTAMENTO DIÁRIO'!$B$5:$B$1004,"342",'05B. APONTAMENTO DIÁRIO'!$C$5:$C$1004,$A77,'05B. APONTAMENTO DIÁRIO'!$A$5:$A$1004,"&lt;="&amp;DATA_GESTAO,'05B. APONTAMENTO DIÁRIO'!$G$5:$G$1004,"m")/$M77))</f>
        <v>sem apontamento</v>
      </c>
      <c r="P77" s="224" t="inlineStr">
        <is>
          <t>PENDENTE</t>
        </is>
      </c>
      <c r="Q77" s="54" t="inlineStr">
        <is>
          <t>246 m assentados e teste hidrostático e desinfecção aprovados (aba 37 ID 28; Anexo VII p.8)</t>
        </is>
      </c>
      <c r="AG77" s="54" t="inlineStr">
        <is>
          <t>laudo do teste assinado pela fiscalização</t>
        </is>
      </c>
    </row>
    <row r="78">
      <c r="A78" s="218" t="inlineStr">
        <is>
          <t>3.3.1</t>
        </is>
      </c>
      <c r="B78" s="218" t="inlineStr">
        <is>
          <t>342</t>
        </is>
      </c>
      <c r="C78" s="218" t="inlineStr">
        <is>
          <t>Recalque UTR–ETA</t>
        </is>
      </c>
      <c r="D78" s="218" t="inlineStr">
        <is>
          <t>342-05</t>
        </is>
      </c>
      <c r="E78" s="218" t="inlineStr">
        <is>
          <t>UN: só na conclusão</t>
        </is>
      </c>
      <c r="F78" s="219" t="n">
        <v>54857.68</v>
      </c>
      <c r="G78" s="220" t="n">
        <v>46370</v>
      </c>
      <c r="H78" s="220" t="n">
        <v>46387</v>
      </c>
      <c r="I78" s="220" t="n">
        <v>46407</v>
      </c>
      <c r="J78" s="221">
        <f>H78-G78+1</f>
        <v>18</v>
      </c>
      <c r="K78" s="221">
        <f>COUNTIFS('05C. RESTRIÇÕES'!$B$5:$B$204,"342",'05C. RESTRIÇÕES'!$C$5:$C$204,A78,'05C. RESTRIÇÕES'!$H$5:$H$204,"ABERTA")</f>
        <v>1</v>
      </c>
      <c r="L78" s="222" t="str">
        <f>IF(ISNUMBER(P78),"aceito",IF(H78&lt;DATA_GESTAO,"devia estar concluído",IF(G78&lt;=DATA_GESTAO,"em execução",IF(G78-DATA_GESTAO&lt;=42,"começa em até 6 semanas","futuro"))))&amp;IF(COUNTIFS('05C. RESTRIÇÕES'!$B$5:$B$204,"342",'05C. RESTRIÇÕES'!$C$5:$C$204,A78,'05C. RESTRIÇÕES'!$L$5:$L$204,"VENCIDA")&gt;0," · restrição vencida","")</f>
        <v>futuro</v>
      </c>
      <c r="M78" s="227" t="n">
        <v>365</v>
      </c>
      <c r="N78" s="218" t="inlineStr">
        <is>
          <t>nenhum</t>
        </is>
      </c>
      <c r="O78" s="226" t="str">
        <f>IF(COUNTIFS('05B. APONTAMENTO DIÁRIO'!$B$5:$B$1004,"342",'05B. APONTAMENTO DIÁRIO'!$C$5:$C$1004,$A78,'05B. APONTAMENTO DIÁRIO'!$A$5:$A$1004,"&lt;="&amp;DATA_GESTAO)=0,"sem apontamento",IF(COUNTIFS('05B. APONTAMENTO DIÁRIO'!$B$5:$B$1004,"342",'05B. APONTAMENTO DIÁRIO'!$C$5:$C$1004,$A78,'05B. APONTAMENTO DIÁRIO'!$A$5:$A$1004,"&lt;="&amp;DATA_GESTAO,'05B. APONTAMENTO DIÁRIO'!$G$5:$G$1004,"m")=0,"unidade diferente",SUMIFS('05B. APONTAMENTO DIÁRIO'!$F$5:$F$1004,'05B. APONTAMENTO DIÁRIO'!$B$5:$B$1004,"342",'05B. APONTAMENTO DIÁRIO'!$C$5:$C$1004,$A78,'05B. APONTAMENTO DIÁRIO'!$A$5:$A$1004,"&lt;="&amp;DATA_GESTAO,'05B. APONTAMENTO DIÁRIO'!$G$5:$G$1004,"m")/$M78))</f>
        <v>sem apontamento</v>
      </c>
      <c r="P78" s="224" t="inlineStr">
        <is>
          <t>PENDENTE</t>
        </is>
      </c>
      <c r="Q78" s="54" t="inlineStr">
        <is>
          <t>365 m assentados e teste hidrostático aprovado (aba 37 ID 29)</t>
        </is>
      </c>
      <c r="AG78" s="54" t="inlineStr">
        <is>
          <t>laudo do teste assinado pela fiscalização</t>
        </is>
      </c>
    </row>
    <row r="79">
      <c r="A79" s="218" t="inlineStr">
        <is>
          <t>3.4.1</t>
        </is>
      </c>
      <c r="B79" s="218" t="inlineStr">
        <is>
          <t>342</t>
        </is>
      </c>
      <c r="C79" s="218" t="inlineStr">
        <is>
          <t>Drenagens/esgotamento/caixa de chegada</t>
        </is>
      </c>
      <c r="D79" s="218" t="inlineStr">
        <is>
          <t>342-06</t>
        </is>
      </c>
      <c r="E79" s="218" t="inlineStr">
        <is>
          <t>UN: só na conclusão</t>
        </is>
      </c>
      <c r="F79" s="219" t="n">
        <v>72003.88</v>
      </c>
      <c r="G79" s="220" t="n">
        <v>46349</v>
      </c>
      <c r="H79" s="220" t="n">
        <v>46366</v>
      </c>
      <c r="I79" s="220" t="n">
        <v>46376</v>
      </c>
      <c r="J79" s="221">
        <f>H79-G79+1</f>
        <v>18</v>
      </c>
      <c r="K79" s="221">
        <f>COUNTIFS('05C. RESTRIÇÕES'!$B$5:$B$204,"342",'05C. RESTRIÇÕES'!$C$5:$C$204,A79,'05C. RESTRIÇÕES'!$H$5:$H$204,"ABERTA")</f>
        <v>3</v>
      </c>
      <c r="L79" s="222" t="str">
        <f>IF(ISNUMBER(P79),"aceito",IF(H79&lt;DATA_GESTAO,"devia estar concluído",IF(G79&lt;=DATA_GESTAO,"em execução",IF(G79-DATA_GESTAO&lt;=42,"começa em até 6 semanas","futuro"))))&amp;IF(COUNTIFS('05C. RESTRIÇÕES'!$B$5:$B$204,"342",'05C. RESTRIÇÕES'!$C$5:$C$204,A79,'05C. RESTRIÇÕES'!$L$5:$L$204,"VENCIDA")&gt;0," · restrição vencida","")</f>
        <v>começa em até 6 semanas · restrição vencida</v>
      </c>
      <c r="M79" s="227" t="n">
        <v>194.45</v>
      </c>
      <c r="N79" s="218" t="inlineStr">
        <is>
          <t>nenhum</t>
        </is>
      </c>
      <c r="O79" s="226" t="str">
        <f>IF(COUNTIFS('05B. APONTAMENTO DIÁRIO'!$B$5:$B$1004,"342",'05B. APONTAMENTO DIÁRIO'!$C$5:$C$1004,$A79,'05B. APONTAMENTO DIÁRIO'!$A$5:$A$1004,"&lt;="&amp;DATA_GESTAO)=0,"sem apontamento",IF(COUNTIFS('05B. APONTAMENTO DIÁRIO'!$B$5:$B$1004,"342",'05B. APONTAMENTO DIÁRIO'!$C$5:$C$1004,$A79,'05B. APONTAMENTO DIÁRIO'!$A$5:$A$1004,"&lt;="&amp;DATA_GESTAO,'05B. APONTAMENTO DIÁRIO'!$G$5:$G$1004,"m")=0,"unidade diferente",SUMIFS('05B. APONTAMENTO DIÁRIO'!$F$5:$F$1004,'05B. APONTAMENTO DIÁRIO'!$B$5:$B$1004,"342",'05B. APONTAMENTO DIÁRIO'!$C$5:$C$1004,$A79,'05B. APONTAMENTO DIÁRIO'!$A$5:$A$1004,"&lt;="&amp;DATA_GESTAO,'05B. APONTAMENTO DIÁRIO'!$G$5:$G$1004,"m")/$M79))</f>
        <v>sem apontamento</v>
      </c>
      <c r="P79" s="224" t="inlineStr">
        <is>
          <t>PENDENTE</t>
        </is>
      </c>
      <c r="Q79" s="54" t="inlineStr">
        <is>
          <t>a definir com a fiscalização (quantidade da aba 37: 194,45 m)</t>
        </is>
      </c>
      <c r="AG79" s="54" t="inlineStr">
        <is>
          <t>a definir com a fiscalização</t>
        </is>
      </c>
    </row>
    <row r="80">
      <c r="A80" s="218" t="inlineStr">
        <is>
          <t>3.5.1</t>
        </is>
      </c>
      <c r="B80" s="218" t="inlineStr">
        <is>
          <t>342</t>
        </is>
      </c>
      <c r="C80" s="218" t="inlineStr">
        <is>
          <t>Tanque: limpeza, locação e movimento de terra</t>
        </is>
      </c>
      <c r="D80" s="218" t="inlineStr">
        <is>
          <t>342-07</t>
        </is>
      </c>
      <c r="E80" s="218" t="inlineStr">
        <is>
          <t>UN: só na conclusão</t>
        </is>
      </c>
      <c r="F80" s="219" t="n">
        <v>20399.37</v>
      </c>
      <c r="G80" s="220" t="n">
        <v>46329</v>
      </c>
      <c r="H80" s="220" t="n">
        <v>46342</v>
      </c>
      <c r="I80" s="220" t="n">
        <v>46346</v>
      </c>
      <c r="J80" s="221">
        <f>H80-G80+1</f>
        <v>14</v>
      </c>
      <c r="K80" s="221">
        <f>COUNTIFS('05C. RESTRIÇÕES'!$B$5:$B$204,"342",'05C. RESTRIÇÕES'!$C$5:$C$204,A80,'05C. RESTRIÇÕES'!$H$5:$H$204,"ABERTA")</f>
        <v>1</v>
      </c>
      <c r="L80" s="222" t="str">
        <f>IF(ISNUMBER(P80),"aceito",IF(H80&lt;DATA_GESTAO,"devia estar concluído",IF(G80&lt;=DATA_GESTAO,"em execução",IF(G80-DATA_GESTAO&lt;=42,"começa em até 6 semanas","futuro"))))&amp;IF(COUNTIFS('05C. RESTRIÇÕES'!$B$5:$B$204,"342",'05C. RESTRIÇÕES'!$C$5:$C$204,A80,'05C. RESTRIÇÕES'!$L$5:$L$204,"VENCIDA")&gt;0," · restrição vencida","")</f>
        <v>começa em até 6 semanas · restrição vencida</v>
      </c>
      <c r="M80" s="228" t="n">
        <v>698.76</v>
      </c>
      <c r="N80" s="218" t="inlineStr">
        <is>
          <t>nenhum</t>
        </is>
      </c>
      <c r="O80" s="226" t="str">
        <f>IF(COUNTIFS('05B. APONTAMENTO DIÁRIO'!$B$5:$B$1004,"342",'05B. APONTAMENTO DIÁRIO'!$C$5:$C$1004,$A80,'05B. APONTAMENTO DIÁRIO'!$A$5:$A$1004,"&lt;="&amp;DATA_GESTAO)=0,"sem apontamento",IF(COUNTIFS('05B. APONTAMENTO DIÁRIO'!$B$5:$B$1004,"342",'05B. APONTAMENTO DIÁRIO'!$C$5:$C$1004,$A80,'05B. APONTAMENTO DIÁRIO'!$A$5:$A$1004,"&lt;="&amp;DATA_GESTAO,'05B. APONTAMENTO DIÁRIO'!$G$5:$G$1004,"m²")=0,"unidade diferente",SUMIFS('05B. APONTAMENTO DIÁRIO'!$F$5:$F$1004,'05B. APONTAMENTO DIÁRIO'!$B$5:$B$1004,"342",'05B. APONTAMENTO DIÁRIO'!$C$5:$C$1004,$A80,'05B. APONTAMENTO DIÁRIO'!$A$5:$A$1004,"&lt;="&amp;DATA_GESTAO,'05B. APONTAMENTO DIÁRIO'!$G$5:$G$1004,"m²")/$M80))</f>
        <v>sem apontamento</v>
      </c>
      <c r="P80" s="224" t="inlineStr">
        <is>
          <t>PENDENTE</t>
        </is>
      </c>
      <c r="Q80" s="54" t="inlineStr">
        <is>
          <t>a definir com a fiscalização (quantidade da aba 37: 698,76 m²)</t>
        </is>
      </c>
      <c r="AG80" s="54" t="inlineStr">
        <is>
          <t>a definir com a fiscalização</t>
        </is>
      </c>
    </row>
    <row r="81">
      <c r="A81" s="218" t="inlineStr">
        <is>
          <t>3.5.2</t>
        </is>
      </c>
      <c r="B81" s="218" t="inlineStr">
        <is>
          <t>342</t>
        </is>
      </c>
      <c r="C81" s="218" t="inlineStr">
        <is>
          <t>Tanque: estrutura de concreto</t>
        </is>
      </c>
      <c r="D81" s="218" t="inlineStr">
        <is>
          <t>342-07</t>
        </is>
      </c>
      <c r="E81" s="218" t="inlineStr">
        <is>
          <t>%: proporcional</t>
        </is>
      </c>
      <c r="F81" s="219" t="n">
        <v>382325.95</v>
      </c>
      <c r="G81" s="220" t="n">
        <v>46358</v>
      </c>
      <c r="H81" s="220" t="n">
        <v>46406</v>
      </c>
      <c r="I81" s="220" t="n">
        <v>46407</v>
      </c>
      <c r="J81" s="221">
        <f>H81-G81+1</f>
        <v>49</v>
      </c>
      <c r="K81" s="221">
        <f>COUNTIFS('05C. RESTRIÇÕES'!$B$5:$B$204,"342",'05C. RESTRIÇÕES'!$C$5:$C$204,A81,'05C. RESTRIÇÕES'!$H$5:$H$204,"ABERTA")</f>
        <v>4</v>
      </c>
      <c r="L81" s="222" t="str">
        <f>IF(ISNUMBER(P81),"aceito",IF(H81&lt;DATA_GESTAO,"devia estar concluído",IF(G81&lt;=DATA_GESTAO,"em execução",IF(G81-DATA_GESTAO&lt;=42,"começa em até 6 semanas","futuro"))))&amp;IF(COUNTIFS('05C. RESTRIÇÕES'!$B$5:$B$204,"342",'05C. RESTRIÇÕES'!$C$5:$C$204,A81,'05C. RESTRIÇÕES'!$L$5:$L$204,"VENCIDA")&gt;0," · restrição vencida","")</f>
        <v>futuro</v>
      </c>
      <c r="M81" s="225" t="n">
        <v>124.46</v>
      </c>
      <c r="N81" s="218" t="inlineStr">
        <is>
          <t>3.5.1</t>
        </is>
      </c>
      <c r="O81" s="226" t="str">
        <f>IF(COUNTIFS('05B. APONTAMENTO DIÁRIO'!$B$5:$B$1004,"342",'05B. APONTAMENTO DIÁRIO'!$C$5:$C$1004,$A81,'05B. APONTAMENTO DIÁRIO'!$A$5:$A$1004,"&lt;="&amp;DATA_GESTAO)=0,"sem apontamento",IF(COUNTIFS('05B. APONTAMENTO DIÁRIO'!$B$5:$B$1004,"342",'05B. APONTAMENTO DIÁRIO'!$C$5:$C$1004,$A81,'05B. APONTAMENTO DIÁRIO'!$A$5:$A$1004,"&lt;="&amp;DATA_GESTAO,'05B. APONTAMENTO DIÁRIO'!$G$5:$G$1004,"m³")=0,"unidade diferente",SUMIFS('05B. APONTAMENTO DIÁRIO'!$F$5:$F$1004,'05B. APONTAMENTO DIÁRIO'!$B$5:$B$1004,"342",'05B. APONTAMENTO DIÁRIO'!$C$5:$C$1004,$A81,'05B. APONTAMENTO DIÁRIO'!$A$5:$A$1004,"&lt;="&amp;DATA_GESTAO,'05B. APONTAMENTO DIÁRIO'!$G$5:$G$1004,"m³")/$M81))</f>
        <v>sem apontamento</v>
      </c>
      <c r="P81" s="224" t="inlineStr">
        <is>
          <t>a cada BM (06)</t>
        </is>
      </c>
      <c r="Q81" s="54" t="inlineStr">
        <is>
          <t>medição proporcional no BM</t>
        </is>
      </c>
      <c r="AG81" s="54" t="inlineStr">
        <is>
          <t>BM aprovado (06)</t>
        </is>
      </c>
    </row>
    <row r="82">
      <c r="A82" s="218" t="inlineStr">
        <is>
          <t>3.5.3</t>
        </is>
      </c>
      <c r="B82" s="218" t="inlineStr">
        <is>
          <t>342</t>
        </is>
      </c>
      <c r="C82" s="218" t="inlineStr">
        <is>
          <t>Tanque: impermeabilização</t>
        </is>
      </c>
      <c r="D82" s="218" t="inlineStr">
        <is>
          <t>342-07</t>
        </is>
      </c>
      <c r="E82" s="218" t="inlineStr">
        <is>
          <t>UN: só na conclusão</t>
        </is>
      </c>
      <c r="F82" s="219" t="n">
        <v>38289.15</v>
      </c>
      <c r="G82" s="220" t="n">
        <v>46462</v>
      </c>
      <c r="H82" s="220" t="n">
        <v>46476</v>
      </c>
      <c r="I82" s="220" t="n">
        <v>46497</v>
      </c>
      <c r="J82" s="221">
        <f>H82-G82+1</f>
        <v>15</v>
      </c>
      <c r="K82" s="221">
        <f>COUNTIFS('05C. RESTRIÇÕES'!$B$5:$B$204,"342",'05C. RESTRIÇÕES'!$C$5:$C$204,A82,'05C. RESTRIÇÕES'!$H$5:$H$204,"ABERTA")</f>
        <v>1</v>
      </c>
      <c r="L82" s="222" t="str">
        <f>IF(ISNUMBER(P82),"aceito",IF(H82&lt;DATA_GESTAO,"devia estar concluído",IF(G82&lt;=DATA_GESTAO,"em execução",IF(G82-DATA_GESTAO&lt;=42,"começa em até 6 semanas","futuro"))))&amp;IF(COUNTIFS('05C. RESTRIÇÕES'!$B$5:$B$204,"342",'05C. RESTRIÇÕES'!$C$5:$C$204,A82,'05C. RESTRIÇÕES'!$L$5:$L$204,"VENCIDA")&gt;0," · restrição vencida","")</f>
        <v>futuro</v>
      </c>
      <c r="M82" s="228" t="n">
        <v>1216.11</v>
      </c>
      <c r="N82" s="218" t="inlineStr">
        <is>
          <t>3.5.2</t>
        </is>
      </c>
      <c r="O82" s="226" t="str">
        <f>IF(COUNTIFS('05B. APONTAMENTO DIÁRIO'!$B$5:$B$1004,"342",'05B. APONTAMENTO DIÁRIO'!$C$5:$C$1004,$A82,'05B. APONTAMENTO DIÁRIO'!$A$5:$A$1004,"&lt;="&amp;DATA_GESTAO)=0,"sem apontamento",IF(COUNTIFS('05B. APONTAMENTO DIÁRIO'!$B$5:$B$1004,"342",'05B. APONTAMENTO DIÁRIO'!$C$5:$C$1004,$A82,'05B. APONTAMENTO DIÁRIO'!$A$5:$A$1004,"&lt;="&amp;DATA_GESTAO,'05B. APONTAMENTO DIÁRIO'!$G$5:$G$1004,"m²")=0,"unidade diferente",SUMIFS('05B. APONTAMENTO DIÁRIO'!$F$5:$F$1004,'05B. APONTAMENTO DIÁRIO'!$B$5:$B$1004,"342",'05B. APONTAMENTO DIÁRIO'!$C$5:$C$1004,$A82,'05B. APONTAMENTO DIÁRIO'!$A$5:$A$1004,"&lt;="&amp;DATA_GESTAO,'05B. APONTAMENTO DIÁRIO'!$G$5:$G$1004,"m²")/$M82))</f>
        <v>sem apontamento</v>
      </c>
      <c r="P82" s="224" t="inlineStr">
        <is>
          <t>PENDENTE</t>
        </is>
      </c>
      <c r="Q82" s="54" t="inlineStr">
        <is>
          <t>a definir com a fiscalização (quantidade da aba 37: 1216,11 m²)</t>
        </is>
      </c>
      <c r="AG82" s="54" t="inlineStr">
        <is>
          <t>a definir com a fiscalização</t>
        </is>
      </c>
    </row>
    <row r="83">
      <c r="A83" s="218" t="inlineStr">
        <is>
          <t>3.5.4</t>
        </is>
      </c>
      <c r="B83" s="218" t="inlineStr">
        <is>
          <t>342</t>
        </is>
      </c>
      <c r="C83" s="218" t="inlineStr">
        <is>
          <t>Tanque: suporte da manta</t>
        </is>
      </c>
      <c r="D83" s="218" t="inlineStr">
        <is>
          <t>342-07</t>
        </is>
      </c>
      <c r="E83" s="218" t="inlineStr">
        <is>
          <t>UN: só na conclusão</t>
        </is>
      </c>
      <c r="F83" s="219" t="n">
        <v>117421.79</v>
      </c>
      <c r="G83" s="220" t="n">
        <v>46475</v>
      </c>
      <c r="H83" s="220" t="n">
        <v>46486</v>
      </c>
      <c r="I83" s="220" t="n">
        <v>46497</v>
      </c>
      <c r="J83" s="221">
        <f>H83-G83+1</f>
        <v>12</v>
      </c>
      <c r="K83" s="221">
        <f>COUNTIFS('05C. RESTRIÇÕES'!$B$5:$B$204,"342",'05C. RESTRIÇÕES'!$C$5:$C$204,A83,'05C. RESTRIÇÕES'!$H$5:$H$204,"ABERTA")</f>
        <v>0</v>
      </c>
      <c r="L83" s="222" t="str">
        <f>IF(ISNUMBER(P83),"aceito",IF(H83&lt;DATA_GESTAO,"devia estar concluído",IF(G83&lt;=DATA_GESTAO,"em execução",IF(G83-DATA_GESTAO&lt;=42,"começa em até 6 semanas","futuro"))))&amp;IF(COUNTIFS('05C. RESTRIÇÕES'!$B$5:$B$204,"342",'05C. RESTRIÇÕES'!$C$5:$C$204,A83,'05C. RESTRIÇÕES'!$L$5:$L$204,"VENCIDA")&gt;0," · restrição vencida","")</f>
        <v>futuro</v>
      </c>
      <c r="M83" s="228" t="n">
        <v>888</v>
      </c>
      <c r="N83" s="218" t="inlineStr">
        <is>
          <t>3.5.2</t>
        </is>
      </c>
      <c r="O83" s="226" t="str">
        <f>IF(COUNTIFS('05B. APONTAMENTO DIÁRIO'!$B$5:$B$1004,"342",'05B. APONTAMENTO DIÁRIO'!$C$5:$C$1004,$A83,'05B. APONTAMENTO DIÁRIO'!$A$5:$A$1004,"&lt;="&amp;DATA_GESTAO)=0,"sem apontamento",IF(COUNTIFS('05B. APONTAMENTO DIÁRIO'!$B$5:$B$1004,"342",'05B. APONTAMENTO DIÁRIO'!$C$5:$C$1004,$A83,'05B. APONTAMENTO DIÁRIO'!$A$5:$A$1004,"&lt;="&amp;DATA_GESTAO,'05B. APONTAMENTO DIÁRIO'!$G$5:$G$1004,"m²")=0,"unidade diferente",SUMIFS('05B. APONTAMENTO DIÁRIO'!$F$5:$F$1004,'05B. APONTAMENTO DIÁRIO'!$B$5:$B$1004,"342",'05B. APONTAMENTO DIÁRIO'!$C$5:$C$1004,$A83,'05B. APONTAMENTO DIÁRIO'!$A$5:$A$1004,"&lt;="&amp;DATA_GESTAO,'05B. APONTAMENTO DIÁRIO'!$G$5:$G$1004,"m²")/$M83))</f>
        <v>sem apontamento</v>
      </c>
      <c r="P83" s="224" t="inlineStr">
        <is>
          <t>PENDENTE</t>
        </is>
      </c>
      <c r="Q83" s="54" t="inlineStr">
        <is>
          <t>a definir com a fiscalização (quantidade da aba 37: 888 m²)</t>
        </is>
      </c>
      <c r="AG83" s="54" t="inlineStr">
        <is>
          <t>a definir com a fiscalização</t>
        </is>
      </c>
    </row>
    <row r="84">
      <c r="A84" s="218" t="inlineStr">
        <is>
          <t>3.5.5</t>
        </is>
      </c>
      <c r="B84" s="218" t="inlineStr">
        <is>
          <t>342</t>
        </is>
      </c>
      <c r="C84" s="218" t="inlineStr">
        <is>
          <t>Tanque: manta geotêxtil</t>
        </is>
      </c>
      <c r="D84" s="218" t="inlineStr">
        <is>
          <t>342-07</t>
        </is>
      </c>
      <c r="E84" s="218" t="inlineStr">
        <is>
          <t>UN: só na conclusão</t>
        </is>
      </c>
      <c r="F84" s="219" t="n">
        <v>25108.52</v>
      </c>
      <c r="G84" s="220" t="n">
        <v>46489</v>
      </c>
      <c r="H84" s="220" t="n">
        <v>46497</v>
      </c>
      <c r="I84" s="220" t="n">
        <v>46497</v>
      </c>
      <c r="J84" s="221">
        <f>H84-G84+1</f>
        <v>9</v>
      </c>
      <c r="K84" s="221">
        <f>COUNTIFS('05C. RESTRIÇÕES'!$B$5:$B$204,"342",'05C. RESTRIÇÕES'!$C$5:$C$204,A84,'05C. RESTRIÇÕES'!$H$5:$H$204,"ABERTA")</f>
        <v>0</v>
      </c>
      <c r="L84" s="222" t="str">
        <f>IF(ISNUMBER(P84),"aceito",IF(H84&lt;DATA_GESTAO,"devia estar concluído",IF(G84&lt;=DATA_GESTAO,"em execução",IF(G84-DATA_GESTAO&lt;=42,"começa em até 6 semanas","futuro"))))&amp;IF(COUNTIFS('05C. RESTRIÇÕES'!$B$5:$B$204,"342",'05C. RESTRIÇÕES'!$C$5:$C$204,A84,'05C. RESTRIÇÕES'!$L$5:$L$204,"VENCIDA")&gt;0," · restrição vencida","")</f>
        <v>futuro</v>
      </c>
      <c r="M84" s="228" t="n">
        <v>920</v>
      </c>
      <c r="N84" s="218" t="inlineStr">
        <is>
          <t>3.5.4</t>
        </is>
      </c>
      <c r="O84" s="226" t="str">
        <f>IF(COUNTIFS('05B. APONTAMENTO DIÁRIO'!$B$5:$B$1004,"342",'05B. APONTAMENTO DIÁRIO'!$C$5:$C$1004,$A84,'05B. APONTAMENTO DIÁRIO'!$A$5:$A$1004,"&lt;="&amp;DATA_GESTAO)=0,"sem apontamento",IF(COUNTIFS('05B. APONTAMENTO DIÁRIO'!$B$5:$B$1004,"342",'05B. APONTAMENTO DIÁRIO'!$C$5:$C$1004,$A84,'05B. APONTAMENTO DIÁRIO'!$A$5:$A$1004,"&lt;="&amp;DATA_GESTAO,'05B. APONTAMENTO DIÁRIO'!$G$5:$G$1004,"m²")=0,"unidade diferente",SUMIFS('05B. APONTAMENTO DIÁRIO'!$F$5:$F$1004,'05B. APONTAMENTO DIÁRIO'!$B$5:$B$1004,"342",'05B. APONTAMENTO DIÁRIO'!$C$5:$C$1004,$A84,'05B. APONTAMENTO DIÁRIO'!$A$5:$A$1004,"&lt;="&amp;DATA_GESTAO,'05B. APONTAMENTO DIÁRIO'!$G$5:$G$1004,"m²")/$M84))</f>
        <v>sem apontamento</v>
      </c>
      <c r="P84" s="224" t="inlineStr">
        <is>
          <t>PENDENTE</t>
        </is>
      </c>
      <c r="Q84" s="54" t="inlineStr">
        <is>
          <t>a definir com a fiscalização (quantidade da aba 37: 920 m²)</t>
        </is>
      </c>
      <c r="AG84" s="54" t="inlineStr">
        <is>
          <t>a definir com a fiscalização</t>
        </is>
      </c>
    </row>
    <row r="85">
      <c r="A85" s="218" t="inlineStr">
        <is>
          <t>3.5.6</t>
        </is>
      </c>
      <c r="B85" s="218" t="inlineStr">
        <is>
          <t>342</t>
        </is>
      </c>
      <c r="C85" s="218" t="inlineStr">
        <is>
          <t>Tanque: instalações hidráulicas</t>
        </is>
      </c>
      <c r="D85" s="218" t="inlineStr">
        <is>
          <t>342-07</t>
        </is>
      </c>
      <c r="E85" s="218" t="inlineStr">
        <is>
          <t>UN: só na conclusão</t>
        </is>
      </c>
      <c r="F85" s="219" t="n">
        <v>539524.73</v>
      </c>
      <c r="G85" s="220" t="n">
        <v>46483</v>
      </c>
      <c r="H85" s="220" t="n">
        <v>46493</v>
      </c>
      <c r="I85" s="220" t="n">
        <v>46497</v>
      </c>
      <c r="J85" s="221">
        <f>H85-G85+1</f>
        <v>11</v>
      </c>
      <c r="K85" s="221">
        <f>COUNTIFS('05C. RESTRIÇÕES'!$B$5:$B$204,"342",'05C. RESTRIÇÕES'!$C$5:$C$204,A85,'05C. RESTRIÇÕES'!$H$5:$H$204,"ABERTA")</f>
        <v>1</v>
      </c>
      <c r="L85" s="222" t="str">
        <f>IF(ISNUMBER(P85),"aceito",IF(H85&lt;DATA_GESTAO,"devia estar concluído",IF(G85&lt;=DATA_GESTAO,"em execução",IF(G85-DATA_GESTAO&lt;=42,"começa em até 6 semanas","futuro"))))&amp;IF(COUNTIFS('05C. RESTRIÇÕES'!$B$5:$B$204,"342",'05C. RESTRIÇÕES'!$C$5:$C$204,A85,'05C. RESTRIÇÕES'!$L$5:$L$204,"VENCIDA")&gt;0," · restrição vencida","")</f>
        <v>futuro</v>
      </c>
      <c r="M85" s="229" t="n">
        <v>1</v>
      </c>
      <c r="N85" s="218" t="inlineStr">
        <is>
          <t>3.5.3</t>
        </is>
      </c>
      <c r="O85" s="226" t="str">
        <f>IF(COUNTIFS('05B. APONTAMENTO DIÁRIO'!$B$5:$B$1004,"342",'05B. APONTAMENTO DIÁRIO'!$C$5:$C$1004,$A85,'05B. APONTAMENTO DIÁRIO'!$A$5:$A$1004,"&lt;="&amp;DATA_GESTAO)=0,"sem apontamento",IF(COUNTIFS('05B. APONTAMENTO DIÁRIO'!$B$5:$B$1004,"342",'05B. APONTAMENTO DIÁRIO'!$C$5:$C$1004,$A85,'05B. APONTAMENTO DIÁRIO'!$A$5:$A$1004,"&lt;="&amp;DATA_GESTAO,'05B. APONTAMENTO DIÁRIO'!$G$5:$G$1004,"un")=0,"unidade diferente",SUMIFS('05B. APONTAMENTO DIÁRIO'!$F$5:$F$1004,'05B. APONTAMENTO DIÁRIO'!$B$5:$B$1004,"342",'05B. APONTAMENTO DIÁRIO'!$C$5:$C$1004,$A85,'05B. APONTAMENTO DIÁRIO'!$A$5:$A$1004,"&lt;="&amp;DATA_GESTAO,'05B. APONTAMENTO DIÁRIO'!$G$5:$G$1004,"un")/$M85))</f>
        <v>sem apontamento</v>
      </c>
      <c r="P85" s="224" t="inlineStr">
        <is>
          <t>PENDENTE</t>
        </is>
      </c>
      <c r="Q85" s="54" t="inlineStr">
        <is>
          <t>instalações montadas e teste de estanqueidade do tanque aprovado (aba 37 ID 30)</t>
        </is>
      </c>
      <c r="AG85" s="54" t="inlineStr">
        <is>
          <t>laudo do teste de estanqueidade assinado</t>
        </is>
      </c>
    </row>
    <row r="86">
      <c r="A86" s="218" t="inlineStr">
        <is>
          <t>3.5.7</t>
        </is>
      </c>
      <c r="B86" s="218" t="inlineStr">
        <is>
          <t>342</t>
        </is>
      </c>
      <c r="C86" s="218" t="inlineStr">
        <is>
          <t>Tanque: conclusão e limpeza</t>
        </is>
      </c>
      <c r="D86" s="218" t="inlineStr">
        <is>
          <t>342-07</t>
        </is>
      </c>
      <c r="E86" s="218" t="inlineStr">
        <is>
          <t>UN: só na conclusão</t>
        </is>
      </c>
      <c r="F86" s="219" t="n">
        <v>57448.29</v>
      </c>
      <c r="G86" s="220" t="n">
        <v>46510</v>
      </c>
      <c r="H86" s="220" t="n">
        <v>46518</v>
      </c>
      <c r="I86" s="220" t="n">
        <v>46527</v>
      </c>
      <c r="J86" s="221">
        <f>H86-G86+1</f>
        <v>9</v>
      </c>
      <c r="K86" s="221">
        <f>COUNTIFS('05C. RESTRIÇÕES'!$B$5:$B$204,"342",'05C. RESTRIÇÕES'!$C$5:$C$204,A86,'05C. RESTRIÇÕES'!$H$5:$H$204,"ABERTA")</f>
        <v>0</v>
      </c>
      <c r="L86" s="222" t="str">
        <f>IF(ISNUMBER(P86),"aceito",IF(H86&lt;DATA_GESTAO,"devia estar concluído",IF(G86&lt;=DATA_GESTAO,"em execução",IF(G86-DATA_GESTAO&lt;=42,"começa em até 6 semanas","futuro"))))&amp;IF(COUNTIFS('05C. RESTRIÇÕES'!$B$5:$B$204,"342",'05C. RESTRIÇÕES'!$C$5:$C$204,A86,'05C. RESTRIÇÕES'!$L$5:$L$204,"VENCIDA")&gt;0," · restrição vencida","")</f>
        <v>futuro</v>
      </c>
      <c r="M86" s="228" t="n">
        <v>698.76</v>
      </c>
      <c r="N86" s="218" t="inlineStr">
        <is>
          <t>3.5.6</t>
        </is>
      </c>
      <c r="O86" s="226" t="str">
        <f>IF(COUNTIFS('05B. APONTAMENTO DIÁRIO'!$B$5:$B$1004,"342",'05B. APONTAMENTO DIÁRIO'!$C$5:$C$1004,$A86,'05B. APONTAMENTO DIÁRIO'!$A$5:$A$1004,"&lt;="&amp;DATA_GESTAO)=0,"sem apontamento",IF(COUNTIFS('05B. APONTAMENTO DIÁRIO'!$B$5:$B$1004,"342",'05B. APONTAMENTO DIÁRIO'!$C$5:$C$1004,$A86,'05B. APONTAMENTO DIÁRIO'!$A$5:$A$1004,"&lt;="&amp;DATA_GESTAO,'05B. APONTAMENTO DIÁRIO'!$G$5:$G$1004,"m²")=0,"unidade diferente",SUMIFS('05B. APONTAMENTO DIÁRIO'!$F$5:$F$1004,'05B. APONTAMENTO DIÁRIO'!$B$5:$B$1004,"342",'05B. APONTAMENTO DIÁRIO'!$C$5:$C$1004,$A86,'05B. APONTAMENTO DIÁRIO'!$A$5:$A$1004,"&lt;="&amp;DATA_GESTAO,'05B. APONTAMENTO DIÁRIO'!$G$5:$G$1004,"m²")/$M86))</f>
        <v>sem apontamento</v>
      </c>
      <c r="P86" s="224" t="inlineStr">
        <is>
          <t>PENDENTE</t>
        </is>
      </c>
      <c r="Q86" s="54" t="inlineStr">
        <is>
          <t>a definir com a fiscalização (quantidade da aba 37: 698,76 m²)</t>
        </is>
      </c>
      <c r="AG86" s="54" t="inlineStr">
        <is>
          <t>a definir com a fiscalização</t>
        </is>
      </c>
    </row>
    <row r="87">
      <c r="A87" s="218" t="inlineStr">
        <is>
          <t>3.6.1</t>
        </is>
      </c>
      <c r="B87" s="218" t="inlineStr">
        <is>
          <t>342</t>
        </is>
      </c>
      <c r="C87" s="218" t="inlineStr">
        <is>
          <t>Elevatória: serviços preparatórios</t>
        </is>
      </c>
      <c r="D87" s="218" t="inlineStr">
        <is>
          <t>342-08</t>
        </is>
      </c>
      <c r="E87" s="218" t="inlineStr">
        <is>
          <t>UN: só na conclusão</t>
        </is>
      </c>
      <c r="F87" s="219" t="n">
        <v>14403.21</v>
      </c>
      <c r="G87" s="220" t="n">
        <v>46408</v>
      </c>
      <c r="H87" s="220" t="n">
        <v>46419</v>
      </c>
      <c r="I87" s="220" t="n">
        <v>46438</v>
      </c>
      <c r="J87" s="221">
        <f>H87-G87+1</f>
        <v>12</v>
      </c>
      <c r="K87" s="221">
        <f>COUNTIFS('05C. RESTRIÇÕES'!$B$5:$B$204,"342",'05C. RESTRIÇÕES'!$C$5:$C$204,A87,'05C. RESTRIÇÕES'!$H$5:$H$204,"ABERTA")</f>
        <v>0</v>
      </c>
      <c r="L87" s="222" t="str">
        <f>IF(ISNUMBER(P87),"aceito",IF(H87&lt;DATA_GESTAO,"devia estar concluído",IF(G87&lt;=DATA_GESTAO,"em execução",IF(G87-DATA_GESTAO&lt;=42,"começa em até 6 semanas","futuro"))))&amp;IF(COUNTIFS('05C. RESTRIÇÕES'!$B$5:$B$204,"342",'05C. RESTRIÇÕES'!$C$5:$C$204,A87,'05C. RESTRIÇÕES'!$L$5:$L$204,"VENCIDA")&gt;0," · restrição vencida","")</f>
        <v>futuro</v>
      </c>
      <c r="M87" s="228" t="n">
        <v>602.75</v>
      </c>
      <c r="N87" s="218" t="inlineStr">
        <is>
          <t>nenhum</t>
        </is>
      </c>
      <c r="O87" s="226" t="str">
        <f>IF(COUNTIFS('05B. APONTAMENTO DIÁRIO'!$B$5:$B$1004,"342",'05B. APONTAMENTO DIÁRIO'!$C$5:$C$1004,$A87,'05B. APONTAMENTO DIÁRIO'!$A$5:$A$1004,"&lt;="&amp;DATA_GESTAO)=0,"sem apontamento",IF(COUNTIFS('05B. APONTAMENTO DIÁRIO'!$B$5:$B$1004,"342",'05B. APONTAMENTO DIÁRIO'!$C$5:$C$1004,$A87,'05B. APONTAMENTO DIÁRIO'!$A$5:$A$1004,"&lt;="&amp;DATA_GESTAO,'05B. APONTAMENTO DIÁRIO'!$G$5:$G$1004,"m²")=0,"unidade diferente",SUMIFS('05B. APONTAMENTO DIÁRIO'!$F$5:$F$1004,'05B. APONTAMENTO DIÁRIO'!$B$5:$B$1004,"342",'05B. APONTAMENTO DIÁRIO'!$C$5:$C$1004,$A87,'05B. APONTAMENTO DIÁRIO'!$A$5:$A$1004,"&lt;="&amp;DATA_GESTAO,'05B. APONTAMENTO DIÁRIO'!$G$5:$G$1004,"m²")/$M87))</f>
        <v>sem apontamento</v>
      </c>
      <c r="P87" s="224" t="inlineStr">
        <is>
          <t>PENDENTE</t>
        </is>
      </c>
      <c r="Q87" s="54" t="inlineStr">
        <is>
          <t>a definir com a fiscalização (quantidade da aba 37: 602,75 m²)</t>
        </is>
      </c>
      <c r="AG87" s="54" t="inlineStr">
        <is>
          <t>a definir com a fiscalização</t>
        </is>
      </c>
    </row>
    <row r="88">
      <c r="A88" s="218" t="inlineStr">
        <is>
          <t>3.6.2</t>
        </is>
      </c>
      <c r="B88" s="218" t="inlineStr">
        <is>
          <t>342</t>
        </is>
      </c>
      <c r="C88" s="218" t="inlineStr">
        <is>
          <t>Elevatória: estrutura de concreto</t>
        </is>
      </c>
      <c r="D88" s="218" t="inlineStr">
        <is>
          <t>342-08</t>
        </is>
      </c>
      <c r="E88" s="218" t="inlineStr">
        <is>
          <t>%: proporcional</t>
        </is>
      </c>
      <c r="F88" s="219" t="n">
        <v>148031.61</v>
      </c>
      <c r="G88" s="220" t="n">
        <v>46433</v>
      </c>
      <c r="H88" s="220" t="n">
        <v>46448</v>
      </c>
      <c r="I88" s="220" t="n">
        <v>46466</v>
      </c>
      <c r="J88" s="221">
        <f>H88-G88+1</f>
        <v>16</v>
      </c>
      <c r="K88" s="221">
        <f>COUNTIFS('05C. RESTRIÇÕES'!$B$5:$B$204,"342",'05C. RESTRIÇÕES'!$C$5:$C$204,A88,'05C. RESTRIÇÕES'!$H$5:$H$204,"ABERTA")</f>
        <v>0</v>
      </c>
      <c r="L88" s="222" t="str">
        <f>IF(ISNUMBER(P88),"aceito",IF(H88&lt;DATA_GESTAO,"devia estar concluído",IF(G88&lt;=DATA_GESTAO,"em execução",IF(G88-DATA_GESTAO&lt;=42,"começa em até 6 semanas","futuro"))))&amp;IF(COUNTIFS('05C. RESTRIÇÕES'!$B$5:$B$204,"342",'05C. RESTRIÇÕES'!$C$5:$C$204,A88,'05C. RESTRIÇÕES'!$L$5:$L$204,"VENCIDA")&gt;0," · restrição vencida","")</f>
        <v>futuro</v>
      </c>
      <c r="M88" s="225" t="n">
        <v>51.44</v>
      </c>
      <c r="N88" s="218" t="inlineStr">
        <is>
          <t>3.6.1</t>
        </is>
      </c>
      <c r="O88" s="226" t="str">
        <f>IF(COUNTIFS('05B. APONTAMENTO DIÁRIO'!$B$5:$B$1004,"342",'05B. APONTAMENTO DIÁRIO'!$C$5:$C$1004,$A88,'05B. APONTAMENTO DIÁRIO'!$A$5:$A$1004,"&lt;="&amp;DATA_GESTAO)=0,"sem apontamento",IF(COUNTIFS('05B. APONTAMENTO DIÁRIO'!$B$5:$B$1004,"342",'05B. APONTAMENTO DIÁRIO'!$C$5:$C$1004,$A88,'05B. APONTAMENTO DIÁRIO'!$A$5:$A$1004,"&lt;="&amp;DATA_GESTAO,'05B. APONTAMENTO DIÁRIO'!$G$5:$G$1004,"m³")=0,"unidade diferente",SUMIFS('05B. APONTAMENTO DIÁRIO'!$F$5:$F$1004,'05B. APONTAMENTO DIÁRIO'!$B$5:$B$1004,"342",'05B. APONTAMENTO DIÁRIO'!$C$5:$C$1004,$A88,'05B. APONTAMENTO DIÁRIO'!$A$5:$A$1004,"&lt;="&amp;DATA_GESTAO,'05B. APONTAMENTO DIÁRIO'!$G$5:$G$1004,"m³")/$M88))</f>
        <v>sem apontamento</v>
      </c>
      <c r="P88" s="224" t="inlineStr">
        <is>
          <t>a cada BM (06)</t>
        </is>
      </c>
      <c r="Q88" s="54" t="inlineStr">
        <is>
          <t>medição proporcional no BM</t>
        </is>
      </c>
      <c r="AG88" s="54" t="inlineStr">
        <is>
          <t>BM aprovado (06)</t>
        </is>
      </c>
    </row>
    <row r="89">
      <c r="A89" s="218" t="inlineStr">
        <is>
          <t>3.6.3</t>
        </is>
      </c>
      <c r="B89" s="218" t="inlineStr">
        <is>
          <t>342</t>
        </is>
      </c>
      <c r="C89" s="218" t="inlineStr">
        <is>
          <t>Elevatória: impermeabilização</t>
        </is>
      </c>
      <c r="D89" s="218" t="inlineStr">
        <is>
          <t>342-08</t>
        </is>
      </c>
      <c r="E89" s="218" t="inlineStr">
        <is>
          <t>UN: só na conclusão</t>
        </is>
      </c>
      <c r="F89" s="219" t="n">
        <v>6973.31</v>
      </c>
      <c r="G89" s="220" t="n">
        <v>46489</v>
      </c>
      <c r="H89" s="220" t="n">
        <v>46496</v>
      </c>
      <c r="I89" s="220" t="n">
        <v>46497</v>
      </c>
      <c r="J89" s="221">
        <f>H89-G89+1</f>
        <v>8</v>
      </c>
      <c r="K89" s="221">
        <f>COUNTIFS('05C. RESTRIÇÕES'!$B$5:$B$204,"342",'05C. RESTRIÇÕES'!$C$5:$C$204,A89,'05C. RESTRIÇÕES'!$H$5:$H$204,"ABERTA")</f>
        <v>0</v>
      </c>
      <c r="L89" s="222" t="str">
        <f>IF(ISNUMBER(P89),"aceito",IF(H89&lt;DATA_GESTAO,"devia estar concluído",IF(G89&lt;=DATA_GESTAO,"em execução",IF(G89-DATA_GESTAO&lt;=42,"começa em até 6 semanas","futuro"))))&amp;IF(COUNTIFS('05C. RESTRIÇÕES'!$B$5:$B$204,"342",'05C. RESTRIÇÕES'!$C$5:$C$204,A89,'05C. RESTRIÇÕES'!$L$5:$L$204,"VENCIDA")&gt;0," · restrição vencida","")</f>
        <v>futuro</v>
      </c>
      <c r="M89" s="228" t="n">
        <v>153.61</v>
      </c>
      <c r="N89" s="218" t="inlineStr">
        <is>
          <t>nenhum</t>
        </is>
      </c>
      <c r="O89" s="226" t="str">
        <f>IF(COUNTIFS('05B. APONTAMENTO DIÁRIO'!$B$5:$B$1004,"342",'05B. APONTAMENTO DIÁRIO'!$C$5:$C$1004,$A89,'05B. APONTAMENTO DIÁRIO'!$A$5:$A$1004,"&lt;="&amp;DATA_GESTAO)=0,"sem apontamento",IF(COUNTIFS('05B. APONTAMENTO DIÁRIO'!$B$5:$B$1004,"342",'05B. APONTAMENTO DIÁRIO'!$C$5:$C$1004,$A89,'05B. APONTAMENTO DIÁRIO'!$A$5:$A$1004,"&lt;="&amp;DATA_GESTAO,'05B. APONTAMENTO DIÁRIO'!$G$5:$G$1004,"m²")=0,"unidade diferente",SUMIFS('05B. APONTAMENTO DIÁRIO'!$F$5:$F$1004,'05B. APONTAMENTO DIÁRIO'!$B$5:$B$1004,"342",'05B. APONTAMENTO DIÁRIO'!$C$5:$C$1004,$A89,'05B. APONTAMENTO DIÁRIO'!$A$5:$A$1004,"&lt;="&amp;DATA_GESTAO,'05B. APONTAMENTO DIÁRIO'!$G$5:$G$1004,"m²")/$M89))</f>
        <v>sem apontamento</v>
      </c>
      <c r="P89" s="224" t="inlineStr">
        <is>
          <t>PENDENTE</t>
        </is>
      </c>
      <c r="Q89" s="54" t="inlineStr">
        <is>
          <t>a definir com a fiscalização (quantidade da aba 37: 153,61 m²)</t>
        </is>
      </c>
      <c r="AG89" s="54" t="inlineStr">
        <is>
          <t>a definir com a fiscalização</t>
        </is>
      </c>
    </row>
    <row r="90">
      <c r="A90" s="218" t="inlineStr">
        <is>
          <t>3.6.4</t>
        </is>
      </c>
      <c r="B90" s="218" t="inlineStr">
        <is>
          <t>342</t>
        </is>
      </c>
      <c r="C90" s="218" t="inlineStr">
        <is>
          <t>Elevatória: manta geotêxtil</t>
        </is>
      </c>
      <c r="D90" s="218" t="inlineStr">
        <is>
          <t>342-08</t>
        </is>
      </c>
      <c r="E90" s="218" t="inlineStr">
        <is>
          <t>UN: só na conclusão</t>
        </is>
      </c>
      <c r="F90" s="219" t="n">
        <v>2438.24</v>
      </c>
      <c r="G90" s="220" t="n">
        <v>46489</v>
      </c>
      <c r="H90" s="220" t="n">
        <v>46489</v>
      </c>
      <c r="I90" s="220" t="n">
        <v>46497</v>
      </c>
      <c r="J90" s="221">
        <f>H90-G90+1</f>
        <v>1</v>
      </c>
      <c r="K90" s="221">
        <f>COUNTIFS('05C. RESTRIÇÕES'!$B$5:$B$204,"342",'05C. RESTRIÇÕES'!$C$5:$C$204,A90,'05C. RESTRIÇÕES'!$H$5:$H$204,"ABERTA")</f>
        <v>0</v>
      </c>
      <c r="L90" s="222" t="str">
        <f>IF(ISNUMBER(P90),"aceito",IF(H90&lt;DATA_GESTAO,"devia estar concluído",IF(G90&lt;=DATA_GESTAO,"em execução",IF(G90-DATA_GESTAO&lt;=42,"começa em até 6 semanas","futuro"))))&amp;IF(COUNTIFS('05C. RESTRIÇÕES'!$B$5:$B$204,"342",'05C. RESTRIÇÕES'!$C$5:$C$204,A90,'05C. RESTRIÇÕES'!$L$5:$L$204,"VENCIDA")&gt;0," · restrição vencida","")</f>
        <v>futuro</v>
      </c>
      <c r="M90" s="228" t="n">
        <v>89.34</v>
      </c>
      <c r="N90" s="218" t="inlineStr">
        <is>
          <t>nenhum</t>
        </is>
      </c>
      <c r="O90" s="226" t="str">
        <f>IF(COUNTIFS('05B. APONTAMENTO DIÁRIO'!$B$5:$B$1004,"342",'05B. APONTAMENTO DIÁRIO'!$C$5:$C$1004,$A90,'05B. APONTAMENTO DIÁRIO'!$A$5:$A$1004,"&lt;="&amp;DATA_GESTAO)=0,"sem apontamento",IF(COUNTIFS('05B. APONTAMENTO DIÁRIO'!$B$5:$B$1004,"342",'05B. APONTAMENTO DIÁRIO'!$C$5:$C$1004,$A90,'05B. APONTAMENTO DIÁRIO'!$A$5:$A$1004,"&lt;="&amp;DATA_GESTAO,'05B. APONTAMENTO DIÁRIO'!$G$5:$G$1004,"m²")=0,"unidade diferente",SUMIFS('05B. APONTAMENTO DIÁRIO'!$F$5:$F$1004,'05B. APONTAMENTO DIÁRIO'!$B$5:$B$1004,"342",'05B. APONTAMENTO DIÁRIO'!$C$5:$C$1004,$A90,'05B. APONTAMENTO DIÁRIO'!$A$5:$A$1004,"&lt;="&amp;DATA_GESTAO,'05B. APONTAMENTO DIÁRIO'!$G$5:$G$1004,"m²")/$M90))</f>
        <v>sem apontamento</v>
      </c>
      <c r="P90" s="224" t="inlineStr">
        <is>
          <t>PENDENTE</t>
        </is>
      </c>
      <c r="Q90" s="54" t="inlineStr">
        <is>
          <t>a definir com a fiscalização (quantidade da aba 37: 89,34 m²)</t>
        </is>
      </c>
      <c r="AG90" s="54" t="inlineStr">
        <is>
          <t>a definir com a fiscalização</t>
        </is>
      </c>
    </row>
    <row r="91">
      <c r="A91" s="218" t="inlineStr">
        <is>
          <t>3.6.5</t>
        </is>
      </c>
      <c r="B91" s="218" t="inlineStr">
        <is>
          <t>342</t>
        </is>
      </c>
      <c r="C91" s="218" t="inlineStr">
        <is>
          <t>Elevatória: instalações hidráulicas</t>
        </is>
      </c>
      <c r="D91" s="218" t="inlineStr">
        <is>
          <t>342-08</t>
        </is>
      </c>
      <c r="E91" s="218" t="inlineStr">
        <is>
          <t>UN: só na conclusão</t>
        </is>
      </c>
      <c r="F91" s="219" t="n">
        <v>54343.53</v>
      </c>
      <c r="G91" s="220" t="n">
        <v>46503</v>
      </c>
      <c r="H91" s="220" t="n">
        <v>46503</v>
      </c>
      <c r="I91" s="220" t="n">
        <v>46527</v>
      </c>
      <c r="J91" s="221">
        <f>H91-G91+1</f>
        <v>1</v>
      </c>
      <c r="K91" s="221">
        <f>COUNTIFS('05C. RESTRIÇÕES'!$B$5:$B$204,"342",'05C. RESTRIÇÕES'!$C$5:$C$204,A91,'05C. RESTRIÇÕES'!$H$5:$H$204,"ABERTA")</f>
        <v>0</v>
      </c>
      <c r="L91" s="222" t="str">
        <f>IF(ISNUMBER(P91),"aceito",IF(H91&lt;DATA_GESTAO,"devia estar concluído",IF(G91&lt;=DATA_GESTAO,"em execução",IF(G91-DATA_GESTAO&lt;=42,"começa em até 6 semanas","futuro"))))&amp;IF(COUNTIFS('05C. RESTRIÇÕES'!$B$5:$B$204,"342",'05C. RESTRIÇÕES'!$C$5:$C$204,A91,'05C. RESTRIÇÕES'!$L$5:$L$204,"VENCIDA")&gt;0," · restrição vencida","")</f>
        <v>futuro</v>
      </c>
      <c r="M91" s="229" t="n">
        <v>1</v>
      </c>
      <c r="N91" s="218" t="inlineStr">
        <is>
          <t>3.6.3</t>
        </is>
      </c>
      <c r="O91" s="226" t="str">
        <f>IF(COUNTIFS('05B. APONTAMENTO DIÁRIO'!$B$5:$B$1004,"342",'05B. APONTAMENTO DIÁRIO'!$C$5:$C$1004,$A91,'05B. APONTAMENTO DIÁRIO'!$A$5:$A$1004,"&lt;="&amp;DATA_GESTAO)=0,"sem apontamento",IF(COUNTIFS('05B. APONTAMENTO DIÁRIO'!$B$5:$B$1004,"342",'05B. APONTAMENTO DIÁRIO'!$C$5:$C$1004,$A91,'05B. APONTAMENTO DIÁRIO'!$A$5:$A$1004,"&lt;="&amp;DATA_GESTAO,'05B. APONTAMENTO DIÁRIO'!$G$5:$G$1004,"un")=0,"unidade diferente",SUMIFS('05B. APONTAMENTO DIÁRIO'!$F$5:$F$1004,'05B. APONTAMENTO DIÁRIO'!$B$5:$B$1004,"342",'05B. APONTAMENTO DIÁRIO'!$C$5:$C$1004,$A91,'05B. APONTAMENTO DIÁRIO'!$A$5:$A$1004,"&lt;="&amp;DATA_GESTAO,'05B. APONTAMENTO DIÁRIO'!$G$5:$G$1004,"un")/$M91))</f>
        <v>sem apontamento</v>
      </c>
      <c r="P91" s="224" t="inlineStr">
        <is>
          <t>PENDENTE</t>
        </is>
      </c>
      <c r="Q91" s="54" t="inlineStr">
        <is>
          <t>a definir com a fiscalização (quantidade da aba 37: 1 un)</t>
        </is>
      </c>
      <c r="AG91" s="54" t="inlineStr">
        <is>
          <t>a definir com a fiscalização</t>
        </is>
      </c>
    </row>
    <row r="92">
      <c r="A92" s="218" t="inlineStr">
        <is>
          <t>3.6.6</t>
        </is>
      </c>
      <c r="B92" s="218" t="inlineStr">
        <is>
          <t>342</t>
        </is>
      </c>
      <c r="C92" s="218" t="inlineStr">
        <is>
          <t>Guindaste giratório de coluna</t>
        </is>
      </c>
      <c r="D92" s="218" t="inlineStr">
        <is>
          <t>342-08</t>
        </is>
      </c>
      <c r="E92" s="218" t="inlineStr">
        <is>
          <t>UN: só na conclusão</t>
        </is>
      </c>
      <c r="F92" s="219" t="n">
        <v>92956.69</v>
      </c>
      <c r="G92" s="220" t="n">
        <v>46510</v>
      </c>
      <c r="H92" s="220" t="n">
        <v>46527</v>
      </c>
      <c r="I92" s="220" t="n">
        <v>46527</v>
      </c>
      <c r="J92" s="221">
        <f>H92-G92+1</f>
        <v>18</v>
      </c>
      <c r="K92" s="221">
        <f>COUNTIFS('05C. RESTRIÇÕES'!$B$5:$B$204,"342",'05C. RESTRIÇÕES'!$C$5:$C$204,A92,'05C. RESTRIÇÕES'!$H$5:$H$204,"ABERTA")</f>
        <v>1</v>
      </c>
      <c r="L92" s="222" t="str">
        <f>IF(ISNUMBER(P92),"aceito",IF(H92&lt;DATA_GESTAO,"devia estar concluído",IF(G92&lt;=DATA_GESTAO,"em execução",IF(G92-DATA_GESTAO&lt;=42,"começa em até 6 semanas","futuro"))))&amp;IF(COUNTIFS('05C. RESTRIÇÕES'!$B$5:$B$204,"342",'05C. RESTRIÇÕES'!$C$5:$C$204,A92,'05C. RESTRIÇÕES'!$L$5:$L$204,"VENCIDA")&gt;0," · restrição vencida","")</f>
        <v>futuro</v>
      </c>
      <c r="M92" s="229" t="n">
        <v>1</v>
      </c>
      <c r="N92" s="218" t="inlineStr">
        <is>
          <t>nenhum</t>
        </is>
      </c>
      <c r="O92" s="226" t="str">
        <f>IF(COUNTIFS('05B. APONTAMENTO DIÁRIO'!$B$5:$B$1004,"342",'05B. APONTAMENTO DIÁRIO'!$C$5:$C$1004,$A92,'05B. APONTAMENTO DIÁRIO'!$A$5:$A$1004,"&lt;="&amp;DATA_GESTAO)=0,"sem apontamento",IF(COUNTIFS('05B. APONTAMENTO DIÁRIO'!$B$5:$B$1004,"342",'05B. APONTAMENTO DIÁRIO'!$C$5:$C$1004,$A92,'05B. APONTAMENTO DIÁRIO'!$A$5:$A$1004,"&lt;="&amp;DATA_GESTAO,'05B. APONTAMENTO DIÁRIO'!$G$5:$G$1004,"un")=0,"unidade diferente",SUMIFS('05B. APONTAMENTO DIÁRIO'!$F$5:$F$1004,'05B. APONTAMENTO DIÁRIO'!$B$5:$B$1004,"342",'05B. APONTAMENTO DIÁRIO'!$C$5:$C$1004,$A92,'05B. APONTAMENTO DIÁRIO'!$A$5:$A$1004,"&lt;="&amp;DATA_GESTAO,'05B. APONTAMENTO DIÁRIO'!$G$5:$G$1004,"un")/$M92))</f>
        <v>sem apontamento</v>
      </c>
      <c r="P92" s="224" t="inlineStr">
        <is>
          <t>PENDENTE</t>
        </is>
      </c>
      <c r="Q92" s="54" t="inlineStr">
        <is>
          <t>a definir com a fiscalização (quantidade da aba 37: 1 un)</t>
        </is>
      </c>
      <c r="AG92" s="54" t="inlineStr">
        <is>
          <t>a definir com a fiscalização</t>
        </is>
      </c>
    </row>
    <row r="93">
      <c r="A93" s="218" t="inlineStr">
        <is>
          <t>3.6.7</t>
        </is>
      </c>
      <c r="B93" s="218" t="inlineStr">
        <is>
          <t>342</t>
        </is>
      </c>
      <c r="C93" s="218" t="inlineStr">
        <is>
          <t>Conjuntos motor-bomba</t>
        </is>
      </c>
      <c r="D93" s="218" t="inlineStr">
        <is>
          <t>342-08</t>
        </is>
      </c>
      <c r="E93" s="218" t="inlineStr">
        <is>
          <t>UN: só na conclusão</t>
        </is>
      </c>
      <c r="F93" s="219" t="n">
        <v>196129.57</v>
      </c>
      <c r="G93" s="220" t="n">
        <v>46528</v>
      </c>
      <c r="H93" s="220" t="n">
        <v>46528</v>
      </c>
      <c r="I93" s="220" t="n">
        <v>46558</v>
      </c>
      <c r="J93" s="221">
        <f>H93-G93+1</f>
        <v>1</v>
      </c>
      <c r="K93" s="221">
        <f>COUNTIFS('05C. RESTRIÇÕES'!$B$5:$B$204,"342",'05C. RESTRIÇÕES'!$C$5:$C$204,A93,'05C. RESTRIÇÕES'!$H$5:$H$204,"ABERTA")</f>
        <v>2</v>
      </c>
      <c r="L93" s="222" t="str">
        <f>IF(ISNUMBER(P93),"aceito",IF(H93&lt;DATA_GESTAO,"devia estar concluído",IF(G93&lt;=DATA_GESTAO,"em execução",IF(G93-DATA_GESTAO&lt;=42,"começa em até 6 semanas","futuro"))))&amp;IF(COUNTIFS('05C. RESTRIÇÕES'!$B$5:$B$204,"342",'05C. RESTRIÇÕES'!$C$5:$C$204,A93,'05C. RESTRIÇÕES'!$L$5:$L$204,"VENCIDA")&gt;0," · restrição vencida","")</f>
        <v>futuro</v>
      </c>
      <c r="M93" s="229" t="n">
        <v>2</v>
      </c>
      <c r="N93" s="218" t="inlineStr">
        <is>
          <t>3.6.6</t>
        </is>
      </c>
      <c r="O93" s="226" t="str">
        <f>IF(COUNTIFS('05B. APONTAMENTO DIÁRIO'!$B$5:$B$1004,"342",'05B. APONTAMENTO DIÁRIO'!$C$5:$C$1004,$A93,'05B. APONTAMENTO DIÁRIO'!$A$5:$A$1004,"&lt;="&amp;DATA_GESTAO)=0,"sem apontamento",IF(COUNTIFS('05B. APONTAMENTO DIÁRIO'!$B$5:$B$1004,"342",'05B. APONTAMENTO DIÁRIO'!$C$5:$C$1004,$A93,'05B. APONTAMENTO DIÁRIO'!$A$5:$A$1004,"&lt;="&amp;DATA_GESTAO,'05B. APONTAMENTO DIÁRIO'!$G$5:$G$1004,"un")=0,"unidade diferente",SUMIFS('05B. APONTAMENTO DIÁRIO'!$F$5:$F$1004,'05B. APONTAMENTO DIÁRIO'!$B$5:$B$1004,"342",'05B. APONTAMENTO DIÁRIO'!$C$5:$C$1004,$A93,'05B. APONTAMENTO DIÁRIO'!$A$5:$A$1004,"&lt;="&amp;DATA_GESTAO,'05B. APONTAMENTO DIÁRIO'!$G$5:$G$1004,"un")/$M93))</f>
        <v>sem apontamento</v>
      </c>
      <c r="P93" s="224" t="inlineStr">
        <is>
          <t>PENDENTE</t>
        </is>
      </c>
      <c r="Q93" s="54" t="inlineStr">
        <is>
          <t>2 conjuntos montados e comissionados (aba 37 ID 33; Anexo VII p.3)</t>
        </is>
      </c>
      <c r="AG93" s="54" t="inlineStr">
        <is>
          <t>relatório de comissionamento assinado</t>
        </is>
      </c>
    </row>
    <row r="94">
      <c r="A94" s="218" t="inlineStr">
        <is>
          <t>3.6.8</t>
        </is>
      </c>
      <c r="B94" s="218" t="inlineStr">
        <is>
          <t>342</t>
        </is>
      </c>
      <c r="C94" s="218" t="inlineStr">
        <is>
          <t>Elevatória: conclusão e limpeza</t>
        </is>
      </c>
      <c r="D94" s="218" t="inlineStr">
        <is>
          <t>342-08</t>
        </is>
      </c>
      <c r="E94" s="218" t="inlineStr">
        <is>
          <t>UN: só na conclusão</t>
        </is>
      </c>
      <c r="F94" s="219" t="n">
        <v>15511.1</v>
      </c>
      <c r="G94" s="220" t="n">
        <v>46545</v>
      </c>
      <c r="H94" s="220" t="n">
        <v>46549</v>
      </c>
      <c r="I94" s="220" t="n">
        <v>46558</v>
      </c>
      <c r="J94" s="221">
        <f>H94-G94+1</f>
        <v>5</v>
      </c>
      <c r="K94" s="221">
        <f>COUNTIFS('05C. RESTRIÇÕES'!$B$5:$B$204,"342",'05C. RESTRIÇÕES'!$C$5:$C$204,A94,'05C. RESTRIÇÕES'!$H$5:$H$204,"ABERTA")</f>
        <v>0</v>
      </c>
      <c r="L94" s="222" t="str">
        <f>IF(ISNUMBER(P94),"aceito",IF(H94&lt;DATA_GESTAO,"devia estar concluído",IF(G94&lt;=DATA_GESTAO,"em execução",IF(G94-DATA_GESTAO&lt;=42,"começa em até 6 semanas","futuro"))))&amp;IF(COUNTIFS('05C. RESTRIÇÕES'!$B$5:$B$204,"342",'05C. RESTRIÇÕES'!$C$5:$C$204,A94,'05C. RESTRIÇÕES'!$L$5:$L$204,"VENCIDA")&gt;0," · restrição vencida","")</f>
        <v>futuro</v>
      </c>
      <c r="M94" s="223" t="n">
        <v>1</v>
      </c>
      <c r="N94" s="218" t="inlineStr">
        <is>
          <t>3.6.7</t>
        </is>
      </c>
      <c r="O94" s="226" t="str">
        <f>IF(COUNTIFS('05B. APONTAMENTO DIÁRIO'!$B$5:$B$1004,"342",'05B. APONTAMENTO DIÁRIO'!$C$5:$C$1004,$A94,'05B. APONTAMENTO DIÁRIO'!$A$5:$A$1004,"&lt;="&amp;DATA_GESTAO)=0,"sem apontamento",IF(COUNTIFS('05B. APONTAMENTO DIÁRIO'!$B$5:$B$1004,"342",'05B. APONTAMENTO DIÁRIO'!$C$5:$C$1004,$A94,'05B. APONTAMENTO DIÁRIO'!$A$5:$A$1004,"&lt;="&amp;DATA_GESTAO,'05B. APONTAMENTO DIÁRIO'!$G$5:$G$1004,"vb")=0,"unidade diferente",SUMIFS('05B. APONTAMENTO DIÁRIO'!$F$5:$F$1004,'05B. APONTAMENTO DIÁRIO'!$B$5:$B$1004,"342",'05B. APONTAMENTO DIÁRIO'!$C$5:$C$1004,$A94,'05B. APONTAMENTO DIÁRIO'!$A$5:$A$1004,"&lt;="&amp;DATA_GESTAO,'05B. APONTAMENTO DIÁRIO'!$G$5:$G$1004,"vb")/$M94))</f>
        <v>sem apontamento</v>
      </c>
      <c r="P94" s="224" t="inlineStr">
        <is>
          <t>PENDENTE</t>
        </is>
      </c>
      <c r="Q94" s="54" t="inlineStr">
        <is>
          <t>a definir com a fiscalização (quantidade da aba 37: 1 vb)</t>
        </is>
      </c>
      <c r="AG94" s="54" t="inlineStr">
        <is>
          <t>a definir com a fiscalização</t>
        </is>
      </c>
    </row>
    <row r="95">
      <c r="A95" s="218" t="inlineStr">
        <is>
          <t>3.7.2</t>
        </is>
      </c>
      <c r="B95" s="218" t="inlineStr">
        <is>
          <t>342</t>
        </is>
      </c>
      <c r="C95" s="218" t="inlineStr">
        <is>
          <t>Cerca padrão Saneago</t>
        </is>
      </c>
      <c r="D95" s="218" t="inlineStr">
        <is>
          <t>342-09</t>
        </is>
      </c>
      <c r="E95" s="218" t="inlineStr">
        <is>
          <t>UN: só na conclusão</t>
        </is>
      </c>
      <c r="F95" s="219" t="n">
        <v>38662.82</v>
      </c>
      <c r="G95" s="220" t="n">
        <v>46526</v>
      </c>
      <c r="H95" s="220" t="n">
        <v>46546</v>
      </c>
      <c r="I95" s="220" t="n">
        <v>46558</v>
      </c>
      <c r="J95" s="221">
        <f>H95-G95+1</f>
        <v>21</v>
      </c>
      <c r="K95" s="221">
        <f>COUNTIFS('05C. RESTRIÇÕES'!$B$5:$B$204,"342",'05C. RESTRIÇÕES'!$C$5:$C$204,A95,'05C. RESTRIÇÕES'!$H$5:$H$204,"ABERTA")</f>
        <v>1</v>
      </c>
      <c r="L95" s="222" t="str">
        <f>IF(ISNUMBER(P95),"aceito",IF(H95&lt;DATA_GESTAO,"devia estar concluído",IF(G95&lt;=DATA_GESTAO,"em execução",IF(G95-DATA_GESTAO&lt;=42,"começa em até 6 semanas","futuro"))))&amp;IF(COUNTIFS('05C. RESTRIÇÕES'!$B$5:$B$204,"342",'05C. RESTRIÇÕES'!$C$5:$C$204,A95,'05C. RESTRIÇÕES'!$L$5:$L$204,"VENCIDA")&gt;0," · restrição vencida","")</f>
        <v>futuro</v>
      </c>
      <c r="M95" s="227" t="n">
        <v>208.42</v>
      </c>
      <c r="N95" s="218" t="inlineStr">
        <is>
          <t>nenhum</t>
        </is>
      </c>
      <c r="O95" s="226" t="str">
        <f>IF(COUNTIFS('05B. APONTAMENTO DIÁRIO'!$B$5:$B$1004,"342",'05B. APONTAMENTO DIÁRIO'!$C$5:$C$1004,$A95,'05B. APONTAMENTO DIÁRIO'!$A$5:$A$1004,"&lt;="&amp;DATA_GESTAO)=0,"sem apontamento",IF(COUNTIFS('05B. APONTAMENTO DIÁRIO'!$B$5:$B$1004,"342",'05B. APONTAMENTO DIÁRIO'!$C$5:$C$1004,$A95,'05B. APONTAMENTO DIÁRIO'!$A$5:$A$1004,"&lt;="&amp;DATA_GESTAO,'05B. APONTAMENTO DIÁRIO'!$G$5:$G$1004,"m")=0,"unidade diferente",SUMIFS('05B. APONTAMENTO DIÁRIO'!$F$5:$F$1004,'05B. APONTAMENTO DIÁRIO'!$B$5:$B$1004,"342",'05B. APONTAMENTO DIÁRIO'!$C$5:$C$1004,$A95,'05B. APONTAMENTO DIÁRIO'!$A$5:$A$1004,"&lt;="&amp;DATA_GESTAO,'05B. APONTAMENTO DIÁRIO'!$G$5:$G$1004,"m")/$M95))</f>
        <v>sem apontamento</v>
      </c>
      <c r="P95" s="224" t="inlineStr">
        <is>
          <t>PENDENTE</t>
        </is>
      </c>
      <c r="Q95" s="54" t="inlineStr">
        <is>
          <t>a definir com a fiscalização (quantidade da aba 37: 208,42 m)</t>
        </is>
      </c>
      <c r="AG95" s="54" t="inlineStr">
        <is>
          <t>a definir com a fiscalização</t>
        </is>
      </c>
    </row>
    <row r="96">
      <c r="A96" s="218" t="inlineStr">
        <is>
          <t>3.7.3</t>
        </is>
      </c>
      <c r="B96" s="218" t="inlineStr">
        <is>
          <t>342</t>
        </is>
      </c>
      <c r="C96" s="218" t="inlineStr">
        <is>
          <t>Calçada em bloco hexagonal</t>
        </is>
      </c>
      <c r="D96" s="218" t="inlineStr">
        <is>
          <t>342-09</t>
        </is>
      </c>
      <c r="E96" s="218" t="inlineStr">
        <is>
          <t>UN: só na conclusão</t>
        </is>
      </c>
      <c r="F96" s="219" t="n">
        <v>84972.48</v>
      </c>
      <c r="G96" s="220" t="n">
        <v>46541</v>
      </c>
      <c r="H96" s="220" t="n">
        <v>46552</v>
      </c>
      <c r="I96" s="220" t="n">
        <v>46558</v>
      </c>
      <c r="J96" s="221">
        <f>H96-G96+1</f>
        <v>12</v>
      </c>
      <c r="K96" s="221">
        <f>COUNTIFS('05C. RESTRIÇÕES'!$B$5:$B$204,"342",'05C. RESTRIÇÕES'!$C$5:$C$204,A96,'05C. RESTRIÇÕES'!$H$5:$H$204,"ABERTA")</f>
        <v>0</v>
      </c>
      <c r="L96" s="222" t="str">
        <f>IF(ISNUMBER(P96),"aceito",IF(H96&lt;DATA_GESTAO,"devia estar concluído",IF(G96&lt;=DATA_GESTAO,"em execução",IF(G96-DATA_GESTAO&lt;=42,"começa em até 6 semanas","futuro"))))&amp;IF(COUNTIFS('05C. RESTRIÇÕES'!$B$5:$B$204,"342",'05C. RESTRIÇÕES'!$C$5:$C$204,A96,'05C. RESTRIÇÕES'!$L$5:$L$204,"VENCIDA")&gt;0," · restrição vencida","")</f>
        <v>futuro</v>
      </c>
      <c r="M96" s="228" t="n">
        <v>997.72</v>
      </c>
      <c r="N96" s="218" t="inlineStr">
        <is>
          <t>nenhum</t>
        </is>
      </c>
      <c r="O96" s="226" t="str">
        <f>IF(COUNTIFS('05B. APONTAMENTO DIÁRIO'!$B$5:$B$1004,"342",'05B. APONTAMENTO DIÁRIO'!$C$5:$C$1004,$A96,'05B. APONTAMENTO DIÁRIO'!$A$5:$A$1004,"&lt;="&amp;DATA_GESTAO)=0,"sem apontamento",IF(COUNTIFS('05B. APONTAMENTO DIÁRIO'!$B$5:$B$1004,"342",'05B. APONTAMENTO DIÁRIO'!$C$5:$C$1004,$A96,'05B. APONTAMENTO DIÁRIO'!$A$5:$A$1004,"&lt;="&amp;DATA_GESTAO,'05B. APONTAMENTO DIÁRIO'!$G$5:$G$1004,"m²")=0,"unidade diferente",SUMIFS('05B. APONTAMENTO DIÁRIO'!$F$5:$F$1004,'05B. APONTAMENTO DIÁRIO'!$B$5:$B$1004,"342",'05B. APONTAMENTO DIÁRIO'!$C$5:$C$1004,$A96,'05B. APONTAMENTO DIÁRIO'!$A$5:$A$1004,"&lt;="&amp;DATA_GESTAO,'05B. APONTAMENTO DIÁRIO'!$G$5:$G$1004,"m²")/$M96))</f>
        <v>sem apontamento</v>
      </c>
      <c r="P96" s="224" t="inlineStr">
        <is>
          <t>PENDENTE</t>
        </is>
      </c>
      <c r="Q96" s="54" t="inlineStr">
        <is>
          <t>a definir com a fiscalização (quantidade da aba 37: 997,72 m²)</t>
        </is>
      </c>
      <c r="AG96" s="54" t="inlineStr">
        <is>
          <t>a definir com a fiscalização</t>
        </is>
      </c>
    </row>
    <row r="97">
      <c r="A97" s="218" t="inlineStr">
        <is>
          <t>3.7.4</t>
        </is>
      </c>
      <c r="B97" s="218" t="inlineStr">
        <is>
          <t>342</t>
        </is>
      </c>
      <c r="C97" s="218" t="inlineStr">
        <is>
          <t>Meio-fio</t>
        </is>
      </c>
      <c r="D97" s="218" t="inlineStr">
        <is>
          <t>342-09</t>
        </is>
      </c>
      <c r="E97" s="218" t="inlineStr">
        <is>
          <t>UN: só na conclusão</t>
        </is>
      </c>
      <c r="F97" s="219" t="n">
        <v>31185.55</v>
      </c>
      <c r="G97" s="220" t="n">
        <v>46552</v>
      </c>
      <c r="H97" s="220" t="n">
        <v>46562</v>
      </c>
      <c r="I97" s="220" t="n">
        <v>46588</v>
      </c>
      <c r="J97" s="221">
        <f>H97-G97+1</f>
        <v>11</v>
      </c>
      <c r="K97" s="221">
        <f>COUNTIFS('05C. RESTRIÇÕES'!$B$5:$B$204,"342",'05C. RESTRIÇÕES'!$C$5:$C$204,A97,'05C. RESTRIÇÕES'!$H$5:$H$204,"ABERTA")</f>
        <v>0</v>
      </c>
      <c r="L97" s="222" t="str">
        <f>IF(ISNUMBER(P97),"aceito",IF(H97&lt;DATA_GESTAO,"devia estar concluído",IF(G97&lt;=DATA_GESTAO,"em execução",IF(G97-DATA_GESTAO&lt;=42,"começa em até 6 semanas","futuro"))))&amp;IF(COUNTIFS('05C. RESTRIÇÕES'!$B$5:$B$204,"342",'05C. RESTRIÇÕES'!$C$5:$C$204,A97,'05C. RESTRIÇÕES'!$L$5:$L$204,"VENCIDA")&gt;0," · restrição vencida","")</f>
        <v>futuro</v>
      </c>
      <c r="M97" s="227" t="n">
        <v>523.36</v>
      </c>
      <c r="N97" s="218" t="inlineStr">
        <is>
          <t>nenhum</t>
        </is>
      </c>
      <c r="O97" s="226" t="str">
        <f>IF(COUNTIFS('05B. APONTAMENTO DIÁRIO'!$B$5:$B$1004,"342",'05B. APONTAMENTO DIÁRIO'!$C$5:$C$1004,$A97,'05B. APONTAMENTO DIÁRIO'!$A$5:$A$1004,"&lt;="&amp;DATA_GESTAO)=0,"sem apontamento",IF(COUNTIFS('05B. APONTAMENTO DIÁRIO'!$B$5:$B$1004,"342",'05B. APONTAMENTO DIÁRIO'!$C$5:$C$1004,$A97,'05B. APONTAMENTO DIÁRIO'!$A$5:$A$1004,"&lt;="&amp;DATA_GESTAO,'05B. APONTAMENTO DIÁRIO'!$G$5:$G$1004,"m")=0,"unidade diferente",SUMIFS('05B. APONTAMENTO DIÁRIO'!$F$5:$F$1004,'05B. APONTAMENTO DIÁRIO'!$B$5:$B$1004,"342",'05B. APONTAMENTO DIÁRIO'!$C$5:$C$1004,$A97,'05B. APONTAMENTO DIÁRIO'!$A$5:$A$1004,"&lt;="&amp;DATA_GESTAO,'05B. APONTAMENTO DIÁRIO'!$G$5:$G$1004,"m")/$M97))</f>
        <v>sem apontamento</v>
      </c>
      <c r="P97" s="224" t="inlineStr">
        <is>
          <t>PENDENTE</t>
        </is>
      </c>
      <c r="Q97" s="54" t="inlineStr">
        <is>
          <t>a definir com a fiscalização (quantidade da aba 37: 523,36 m)</t>
        </is>
      </c>
      <c r="AG97" s="54" t="inlineStr">
        <is>
          <t>a definir com a fiscalização</t>
        </is>
      </c>
    </row>
    <row r="98">
      <c r="A98" s="218" t="inlineStr">
        <is>
          <t>3.7.5</t>
        </is>
      </c>
      <c r="B98" s="218" t="inlineStr">
        <is>
          <t>342</t>
        </is>
      </c>
      <c r="C98" s="218" t="inlineStr">
        <is>
          <t>Grama</t>
        </is>
      </c>
      <c r="D98" s="218" t="inlineStr">
        <is>
          <t>342-09</t>
        </is>
      </c>
      <c r="E98" s="218" t="inlineStr">
        <is>
          <t>UN: só na conclusão</t>
        </is>
      </c>
      <c r="F98" s="219" t="n">
        <v>54026.59</v>
      </c>
      <c r="G98" s="220" t="n">
        <v>46576</v>
      </c>
      <c r="H98" s="220" t="n">
        <v>46589</v>
      </c>
      <c r="I98" s="220" t="n">
        <v>46619</v>
      </c>
      <c r="J98" s="221">
        <f>H98-G98+1</f>
        <v>14</v>
      </c>
      <c r="K98" s="221">
        <f>COUNTIFS('05C. RESTRIÇÕES'!$B$5:$B$204,"342",'05C. RESTRIÇÕES'!$C$5:$C$204,A98,'05C. RESTRIÇÕES'!$H$5:$H$204,"ABERTA")</f>
        <v>0</v>
      </c>
      <c r="L98" s="222" t="str">
        <f>IF(ISNUMBER(P98),"aceito",IF(H98&lt;DATA_GESTAO,"devia estar concluído",IF(G98&lt;=DATA_GESTAO,"em execução",IF(G98-DATA_GESTAO&lt;=42,"começa em até 6 semanas","futuro"))))&amp;IF(COUNTIFS('05C. RESTRIÇÕES'!$B$5:$B$204,"342",'05C. RESTRIÇÕES'!$C$5:$C$204,A98,'05C. RESTRIÇÕES'!$L$5:$L$204,"VENCIDA")&gt;0," · restrição vencida","")</f>
        <v>futuro</v>
      </c>
      <c r="M98" s="228" t="n">
        <v>2452.02</v>
      </c>
      <c r="N98" s="218" t="inlineStr">
        <is>
          <t>3.7.4</t>
        </is>
      </c>
      <c r="O98" s="226" t="str">
        <f>IF(COUNTIFS('05B. APONTAMENTO DIÁRIO'!$B$5:$B$1004,"342",'05B. APONTAMENTO DIÁRIO'!$C$5:$C$1004,$A98,'05B. APONTAMENTO DIÁRIO'!$A$5:$A$1004,"&lt;="&amp;DATA_GESTAO)=0,"sem apontamento",IF(COUNTIFS('05B. APONTAMENTO DIÁRIO'!$B$5:$B$1004,"342",'05B. APONTAMENTO DIÁRIO'!$C$5:$C$1004,$A98,'05B. APONTAMENTO DIÁRIO'!$A$5:$A$1004,"&lt;="&amp;DATA_GESTAO,'05B. APONTAMENTO DIÁRIO'!$G$5:$G$1004,"m²")=0,"unidade diferente",SUMIFS('05B. APONTAMENTO DIÁRIO'!$F$5:$F$1004,'05B. APONTAMENTO DIÁRIO'!$B$5:$B$1004,"342",'05B. APONTAMENTO DIÁRIO'!$C$5:$C$1004,$A98,'05B. APONTAMENTO DIÁRIO'!$A$5:$A$1004,"&lt;="&amp;DATA_GESTAO,'05B. APONTAMENTO DIÁRIO'!$G$5:$G$1004,"m²")/$M98))</f>
        <v>sem apontamento</v>
      </c>
      <c r="P98" s="224" t="inlineStr">
        <is>
          <t>PENDENTE</t>
        </is>
      </c>
      <c r="Q98" s="54" t="inlineStr">
        <is>
          <t>a definir com a fiscalização (quantidade da aba 37: 2452,02 m²)</t>
        </is>
      </c>
      <c r="AG98" s="54" t="inlineStr">
        <is>
          <t>a definir com a fiscalização</t>
        </is>
      </c>
    </row>
    <row r="99">
      <c r="A99" s="218" t="inlineStr">
        <is>
          <t>3.7.6</t>
        </is>
      </c>
      <c r="B99" s="218" t="inlineStr">
        <is>
          <t>342</t>
        </is>
      </c>
      <c r="C99" s="218" t="inlineStr">
        <is>
          <t>Portão padrão</t>
        </is>
      </c>
      <c r="D99" s="218" t="inlineStr">
        <is>
          <t>342-09</t>
        </is>
      </c>
      <c r="E99" s="218" t="inlineStr">
        <is>
          <t>UN: só na conclusão</t>
        </is>
      </c>
      <c r="F99" s="219" t="n">
        <v>7547.87</v>
      </c>
      <c r="G99" s="220" t="n">
        <v>46581</v>
      </c>
      <c r="H99" s="220" t="n">
        <v>46582</v>
      </c>
      <c r="I99" s="220" t="n">
        <v>46588</v>
      </c>
      <c r="J99" s="221">
        <f>H99-G99+1</f>
        <v>2</v>
      </c>
      <c r="K99" s="221">
        <f>COUNTIFS('05C. RESTRIÇÕES'!$B$5:$B$204,"342",'05C. RESTRIÇÕES'!$C$5:$C$204,A99,'05C. RESTRIÇÕES'!$H$5:$H$204,"ABERTA")</f>
        <v>0</v>
      </c>
      <c r="L99" s="222" t="str">
        <f>IF(ISNUMBER(P99),"aceito",IF(H99&lt;DATA_GESTAO,"devia estar concluído",IF(G99&lt;=DATA_GESTAO,"em execução",IF(G99-DATA_GESTAO&lt;=42,"começa em até 6 semanas","futuro"))))&amp;IF(COUNTIFS('05C. RESTRIÇÕES'!$B$5:$B$204,"342",'05C. RESTRIÇÕES'!$C$5:$C$204,A99,'05C. RESTRIÇÕES'!$L$5:$L$204,"VENCIDA")&gt;0," · restrição vencida","")</f>
        <v>futuro</v>
      </c>
      <c r="M99" s="229" t="n">
        <v>1</v>
      </c>
      <c r="N99" s="218" t="inlineStr">
        <is>
          <t>nenhum</t>
        </is>
      </c>
      <c r="O99" s="226" t="str">
        <f>IF(COUNTIFS('05B. APONTAMENTO DIÁRIO'!$B$5:$B$1004,"342",'05B. APONTAMENTO DIÁRIO'!$C$5:$C$1004,$A99,'05B. APONTAMENTO DIÁRIO'!$A$5:$A$1004,"&lt;="&amp;DATA_GESTAO)=0,"sem apontamento",IF(COUNTIFS('05B. APONTAMENTO DIÁRIO'!$B$5:$B$1004,"342",'05B. APONTAMENTO DIÁRIO'!$C$5:$C$1004,$A99,'05B. APONTAMENTO DIÁRIO'!$A$5:$A$1004,"&lt;="&amp;DATA_GESTAO,'05B. APONTAMENTO DIÁRIO'!$G$5:$G$1004,"un")=0,"unidade diferente",SUMIFS('05B. APONTAMENTO DIÁRIO'!$F$5:$F$1004,'05B. APONTAMENTO DIÁRIO'!$B$5:$B$1004,"342",'05B. APONTAMENTO DIÁRIO'!$C$5:$C$1004,$A99,'05B. APONTAMENTO DIÁRIO'!$A$5:$A$1004,"&lt;="&amp;DATA_GESTAO,'05B. APONTAMENTO DIÁRIO'!$G$5:$G$1004,"un")/$M99))</f>
        <v>sem apontamento</v>
      </c>
      <c r="P99" s="224" t="inlineStr">
        <is>
          <t>PENDENTE</t>
        </is>
      </c>
      <c r="Q99" s="54" t="inlineStr">
        <is>
          <t>a definir com a fiscalização (quantidade da aba 37: 1 un)</t>
        </is>
      </c>
      <c r="AG99" s="54" t="inlineStr">
        <is>
          <t>a definir com a fiscalização</t>
        </is>
      </c>
    </row>
    <row r="100">
      <c r="A100" s="218" t="inlineStr">
        <is>
          <t>3.7.7</t>
        </is>
      </c>
      <c r="B100" s="218" t="inlineStr">
        <is>
          <t>342</t>
        </is>
      </c>
      <c r="C100" s="218" t="inlineStr">
        <is>
          <t>Urbanização: conclusão e limpeza</t>
        </is>
      </c>
      <c r="D100" s="218" t="inlineStr">
        <is>
          <t>342-09</t>
        </is>
      </c>
      <c r="E100" s="218" t="inlineStr">
        <is>
          <t>UN: só na conclusão</t>
        </is>
      </c>
      <c r="F100" s="219" t="n">
        <v>2242.43</v>
      </c>
      <c r="G100" s="220" t="n">
        <v>46561</v>
      </c>
      <c r="H100" s="220" t="n">
        <v>46563</v>
      </c>
      <c r="I100" s="220" t="n">
        <v>46588</v>
      </c>
      <c r="J100" s="221">
        <f>H100-G100+1</f>
        <v>3</v>
      </c>
      <c r="K100" s="221">
        <f>COUNTIFS('05C. RESTRIÇÕES'!$B$5:$B$204,"342",'05C. RESTRIÇÕES'!$C$5:$C$204,A100,'05C. RESTRIÇÕES'!$H$5:$H$204,"ABERTA")</f>
        <v>0</v>
      </c>
      <c r="L100" s="222" t="str">
        <f>IF(ISNUMBER(P100),"aceito",IF(H100&lt;DATA_GESTAO,"devia estar concluído",IF(G100&lt;=DATA_GESTAO,"em execução",IF(G100-DATA_GESTAO&lt;=42,"começa em até 6 semanas","futuro"))))&amp;IF(COUNTIFS('05C. RESTRIÇÕES'!$B$5:$B$204,"342",'05C. RESTRIÇÕES'!$C$5:$C$204,A100,'05C. RESTRIÇÕES'!$L$5:$L$204,"VENCIDA")&gt;0," · restrição vencida","")</f>
        <v>futuro</v>
      </c>
      <c r="M100" s="228" t="n">
        <v>997.72</v>
      </c>
      <c r="N100" s="218" t="inlineStr">
        <is>
          <t>nenhum</t>
        </is>
      </c>
      <c r="O100" s="226" t="str">
        <f>IF(COUNTIFS('05B. APONTAMENTO DIÁRIO'!$B$5:$B$1004,"342",'05B. APONTAMENTO DIÁRIO'!$C$5:$C$1004,$A100,'05B. APONTAMENTO DIÁRIO'!$A$5:$A$1004,"&lt;="&amp;DATA_GESTAO)=0,"sem apontamento",IF(COUNTIFS('05B. APONTAMENTO DIÁRIO'!$B$5:$B$1004,"342",'05B. APONTAMENTO DIÁRIO'!$C$5:$C$1004,$A100,'05B. APONTAMENTO DIÁRIO'!$A$5:$A$1004,"&lt;="&amp;DATA_GESTAO,'05B. APONTAMENTO DIÁRIO'!$G$5:$G$1004,"m²")=0,"unidade diferente",SUMIFS('05B. APONTAMENTO DIÁRIO'!$F$5:$F$1004,'05B. APONTAMENTO DIÁRIO'!$B$5:$B$1004,"342",'05B. APONTAMENTO DIÁRIO'!$C$5:$C$1004,$A100,'05B. APONTAMENTO DIÁRIO'!$A$5:$A$1004,"&lt;="&amp;DATA_GESTAO,'05B. APONTAMENTO DIÁRIO'!$G$5:$G$1004,"m²")/$M100))</f>
        <v>sem apontamento</v>
      </c>
      <c r="P100" s="224" t="inlineStr">
        <is>
          <t>PENDENTE</t>
        </is>
      </c>
      <c r="Q100" s="54" t="inlineStr">
        <is>
          <t>a definir com a fiscalização (quantidade da aba 37: 997,72 m²)</t>
        </is>
      </c>
      <c r="AG100" s="54" t="inlineStr">
        <is>
          <t>a definir com a fiscalização</t>
        </is>
      </c>
    </row>
    <row r="101">
      <c r="A101" s="218" t="inlineStr">
        <is>
          <t>3.8.1</t>
        </is>
      </c>
      <c r="B101" s="218" t="inlineStr">
        <is>
          <t>342</t>
        </is>
      </c>
      <c r="C101" s="218" t="inlineStr">
        <is>
          <t>Rede de distribuição de energia</t>
        </is>
      </c>
      <c r="D101" s="218" t="inlineStr">
        <is>
          <t>342-10</t>
        </is>
      </c>
      <c r="E101" s="218" t="inlineStr">
        <is>
          <t>UN: só na conclusão</t>
        </is>
      </c>
      <c r="F101" s="219" t="n">
        <v>104799.22</v>
      </c>
      <c r="G101" s="220" t="n">
        <v>46433</v>
      </c>
      <c r="H101" s="220" t="n">
        <v>46449</v>
      </c>
      <c r="I101" s="220" t="n">
        <v>46466</v>
      </c>
      <c r="J101" s="221">
        <f>H101-G101+1</f>
        <v>17</v>
      </c>
      <c r="K101" s="221">
        <f>COUNTIFS('05C. RESTRIÇÕES'!$B$5:$B$204,"342",'05C. RESTRIÇÕES'!$C$5:$C$204,A101,'05C. RESTRIÇÕES'!$H$5:$H$204,"ABERTA")</f>
        <v>3</v>
      </c>
      <c r="L101" s="222" t="str">
        <f>IF(ISNUMBER(P101),"aceito",IF(H101&lt;DATA_GESTAO,"devia estar concluído",IF(G101&lt;=DATA_GESTAO,"em execução",IF(G101-DATA_GESTAO&lt;=42,"começa em até 6 semanas","futuro"))))&amp;IF(COUNTIFS('05C. RESTRIÇÕES'!$B$5:$B$204,"342",'05C. RESTRIÇÕES'!$C$5:$C$204,A101,'05C. RESTRIÇÕES'!$L$5:$L$204,"VENCIDA")&gt;0," · restrição vencida","")</f>
        <v>futuro</v>
      </c>
      <c r="M101" s="223" t="n">
        <v>1</v>
      </c>
      <c r="N101" s="218" t="inlineStr">
        <is>
          <t>nenhum</t>
        </is>
      </c>
      <c r="O101" s="226" t="str">
        <f>IF(COUNTIFS('05B. APONTAMENTO DIÁRIO'!$B$5:$B$1004,"342",'05B. APONTAMENTO DIÁRIO'!$C$5:$C$1004,$A101,'05B. APONTAMENTO DIÁRIO'!$A$5:$A$1004,"&lt;="&amp;DATA_GESTAO)=0,"sem apontamento",IF(COUNTIFS('05B. APONTAMENTO DIÁRIO'!$B$5:$B$1004,"342",'05B. APONTAMENTO DIÁRIO'!$C$5:$C$1004,$A101,'05B. APONTAMENTO DIÁRIO'!$A$5:$A$1004,"&lt;="&amp;DATA_GESTAO,'05B. APONTAMENTO DIÁRIO'!$G$5:$G$1004,"vb")=0,"unidade diferente",SUMIFS('05B. APONTAMENTO DIÁRIO'!$F$5:$F$1004,'05B. APONTAMENTO DIÁRIO'!$B$5:$B$1004,"342",'05B. APONTAMENTO DIÁRIO'!$C$5:$C$1004,$A101,'05B. APONTAMENTO DIÁRIO'!$A$5:$A$1004,"&lt;="&amp;DATA_GESTAO,'05B. APONTAMENTO DIÁRIO'!$G$5:$G$1004,"vb")/$M101))</f>
        <v>sem apontamento</v>
      </c>
      <c r="P101" s="224" t="inlineStr">
        <is>
          <t>PENDENTE</t>
        </is>
      </c>
      <c r="Q101" s="54" t="inlineStr">
        <is>
          <t>rede montada, ensaios a frio com laudo e ART (aba 37 ID 31; Anexo VII p.12)</t>
        </is>
      </c>
      <c r="AG101" s="54" t="inlineStr">
        <is>
          <t>laudo dos ensaios e ART</t>
        </is>
      </c>
    </row>
    <row r="102">
      <c r="A102" s="218" t="inlineStr">
        <is>
          <t>4.1.1</t>
        </is>
      </c>
      <c r="B102" s="218" t="inlineStr">
        <is>
          <t>342</t>
        </is>
      </c>
      <c r="C102" s="218" t="inlineStr">
        <is>
          <t>Projetos: parcela proporcional</t>
        </is>
      </c>
      <c r="D102" s="218" t="inlineStr">
        <is>
          <t>342-11</t>
        </is>
      </c>
      <c r="E102" s="218" t="inlineStr">
        <is>
          <t>%: proporcional</t>
        </is>
      </c>
      <c r="F102" s="219" t="n">
        <v>25160.99</v>
      </c>
      <c r="G102" s="220" t="n">
        <v>46268</v>
      </c>
      <c r="H102" s="220" t="n">
        <v>46329</v>
      </c>
      <c r="I102" s="220" t="n">
        <v>46346</v>
      </c>
      <c r="J102" s="221">
        <f>H102-G102+1</f>
        <v>62</v>
      </c>
      <c r="K102" s="221">
        <f>COUNTIFS('05C. RESTRIÇÕES'!$B$5:$B$204,"342",'05C. RESTRIÇÕES'!$C$5:$C$204,A102,'05C. RESTRIÇÕES'!$H$5:$H$204,"ABERTA")</f>
        <v>2</v>
      </c>
      <c r="L102" s="222" t="str">
        <f>IF(ISNUMBER(P102),"aceito",IF(H102&lt;DATA_GESTAO,"devia estar concluído",IF(G102&lt;=DATA_GESTAO,"em execução",IF(G102-DATA_GESTAO&lt;=42,"começa em até 6 semanas","futuro"))))&amp;IF(COUNTIFS('05C. RESTRIÇÕES'!$B$5:$B$204,"342",'05C. RESTRIÇÕES'!$C$5:$C$204,A102,'05C. RESTRIÇÕES'!$L$5:$L$204,"VENCIDA")&gt;0," · restrição vencida","")</f>
        <v>em execução · restrição vencida</v>
      </c>
      <c r="M102" s="223" t="n">
        <v>1</v>
      </c>
      <c r="N102" s="218" t="inlineStr">
        <is>
          <t>nenhum</t>
        </is>
      </c>
      <c r="O102" s="222" t="inlineStr">
        <is>
          <t>proporcional ao BM</t>
        </is>
      </c>
      <c r="P102" s="224" t="inlineStr">
        <is>
          <t>a cada BM (06)</t>
        </is>
      </c>
      <c r="Q102" s="54" t="inlineStr">
        <is>
          <t>medição proporcional no BM</t>
        </is>
      </c>
      <c r="AG102" s="54" t="inlineStr">
        <is>
          <t>BM aprovado (06)</t>
        </is>
      </c>
    </row>
    <row r="103">
      <c r="A103" s="218" t="inlineStr">
        <is>
          <t>4.1.2</t>
        </is>
      </c>
      <c r="B103" s="218" t="inlineStr">
        <is>
          <t>342</t>
        </is>
      </c>
      <c r="C103" s="218" t="inlineStr">
        <is>
          <t>Entrega definitiva e aprovação do as built</t>
        </is>
      </c>
      <c r="D103" s="218" t="inlineStr">
        <is>
          <t>342-11</t>
        </is>
      </c>
      <c r="E103" s="218" t="inlineStr">
        <is>
          <t>UN: só na conclusão</t>
        </is>
      </c>
      <c r="F103" s="219" t="n">
        <v>2795.67</v>
      </c>
      <c r="G103" s="220" t="n">
        <v>46626</v>
      </c>
      <c r="H103" s="220" t="n">
        <v>46626</v>
      </c>
      <c r="I103" s="220" t="n">
        <v>46650</v>
      </c>
      <c r="J103" s="221">
        <f>H103-G103+1</f>
        <v>1</v>
      </c>
      <c r="K103" s="221">
        <f>COUNTIFS('05C. RESTRIÇÕES'!$B$5:$B$204,"342",'05C. RESTRIÇÕES'!$C$5:$C$204,A103,'05C. RESTRIÇÕES'!$H$5:$H$204,"ABERTA")</f>
        <v>0</v>
      </c>
      <c r="L103" s="222" t="str">
        <f>IF(ISNUMBER(P103),"aceito",IF(H103&lt;DATA_GESTAO,"devia estar concluído",IF(G103&lt;=DATA_GESTAO,"em execução",IF(G103-DATA_GESTAO&lt;=42,"começa em até 6 semanas","futuro"))))&amp;IF(COUNTIFS('05C. RESTRIÇÕES'!$B$5:$B$204,"342",'05C. RESTRIÇÕES'!$C$5:$C$204,A103,'05C. RESTRIÇÕES'!$L$5:$L$204,"VENCIDA")&gt;0," · restrição vencida","")</f>
        <v>futuro</v>
      </c>
      <c r="M103" s="219" t="inlineStr">
        <is>
          <t>SEM BASE</t>
        </is>
      </c>
      <c r="N103" s="218" t="inlineStr">
        <is>
          <t>SEM BASE</t>
        </is>
      </c>
      <c r="O103" s="222" t="inlineStr">
        <is>
          <t>SEM BASE</t>
        </is>
      </c>
      <c r="P103" s="224" t="inlineStr">
        <is>
          <t>PENDENTE</t>
        </is>
      </c>
      <c r="Q103" s="54" t="inlineStr">
        <is>
          <t>as built entregue e aprovado pela fiscalização</t>
        </is>
      </c>
      <c r="AG103" s="54" t="inlineStr">
        <is>
          <t>termo de aprovação do as built</t>
        </is>
      </c>
    </row>
    <row r="104">
      <c r="C104" s="230" t="inlineStr">
        <is>
          <t>Total dos eventos</t>
        </is>
      </c>
      <c r="F104" s="231">
        <f>SUM(F74:F103)</f>
        <v>3257970.74</v>
      </c>
      <c r="G104" s="232">
        <f>_xlfn.MINIFS(G74:G103,B74:B103,"342")</f>
        <v>46268.0</v>
      </c>
      <c r="H104" s="232">
        <f>_xlfn.MAXIFS(H74:H103,B74:B103,"342")</f>
        <v>46626.0</v>
      </c>
    </row>
    <row r="105">
      <c r="C105" s="222" t="inlineStr">
        <is>
          <t>Contrato menos eventos (arredondamento dos pesos, R$)</t>
        </is>
      </c>
      <c r="F105" s="233">
        <f>'03. CONTRATOS'!$B$8-F104</f>
        <v>29.2600000002421</v>
      </c>
    </row>
    <row r="106"/>
    <row r="107">
      <c r="A107" s="10" t="inlineStr">
        <is>
          <t>MARCOS DO FIM DA 342 (estudo REV13, aba 37; contrato, cláusula sexta)</t>
        </is>
      </c>
      <c r="B107" s="11" t="n"/>
      <c r="C107" s="11" t="n"/>
      <c r="D107" s="11" t="n"/>
      <c r="E107" s="11" t="n"/>
      <c r="F107" s="11" t="n"/>
      <c r="G107" s="11" t="n"/>
      <c r="H107" s="11" t="n"/>
      <c r="I107" s="11" t="n"/>
      <c r="J107" s="11" t="n"/>
      <c r="K107" s="11" t="n"/>
      <c r="L107" s="11" t="n"/>
      <c r="M107" s="11" t="n"/>
      <c r="N107" s="11" t="n"/>
      <c r="O107" s="11" t="n"/>
      <c r="P107" s="11" t="n"/>
    </row>
    <row r="108" ht="30" customHeight="1" s="71">
      <c r="A108" s="215" t="inlineStr">
        <is>
          <t>Marco</t>
        </is>
      </c>
      <c r="B108" s="215" t="inlineStr">
        <is>
          <t>Obra</t>
        </is>
      </c>
      <c r="C108" s="215" t="inlineStr">
        <is>
          <t>Descrição (fonte)</t>
        </is>
      </c>
      <c r="D108" s="215" t="inlineStr">
        <is>
          <t>Antecessor</t>
        </is>
      </c>
      <c r="E108" s="215" t="inlineStr">
        <is>
          <t>Prazo (dias)</t>
        </is>
      </c>
      <c r="F108" s="215" t="inlineStr"/>
      <c r="G108" s="215" t="inlineStr">
        <is>
          <t>Início (plano)</t>
        </is>
      </c>
      <c r="H108" s="215" t="inlineStr">
        <is>
          <t>Fim (plano)</t>
        </is>
      </c>
      <c r="I108" s="215" t="inlineStr">
        <is>
          <t>Data real (digitar)</t>
        </is>
      </c>
      <c r="J108" s="215" t="inlineStr">
        <is>
          <t>Dias corridos</t>
        </is>
      </c>
      <c r="K108" s="215" t="inlineStr">
        <is>
          <t>Folga (dias)</t>
        </is>
      </c>
      <c r="L108" s="215" t="inlineStr">
        <is>
          <t>Situação no corte</t>
        </is>
      </c>
    </row>
    <row r="109">
      <c r="A109" s="222" t="inlineStr">
        <is>
          <t>M01</t>
        </is>
      </c>
      <c r="B109" s="222" t="inlineStr">
        <is>
          <t>342</t>
        </is>
      </c>
      <c r="C109" s="234" t="inlineStr">
        <is>
          <t>Teste hidrostático, desinfecção e liberação ETA × UTR (aba 37 ID 28; Anexo III ID 79; Anexo VII p.8)</t>
        </is>
      </c>
      <c r="D109" s="222" t="inlineStr">
        <is>
          <t>3.2.1</t>
        </is>
      </c>
      <c r="G109" s="220" t="n">
        <v>46384</v>
      </c>
      <c r="H109" s="220" t="n">
        <v>46393</v>
      </c>
      <c r="I109" s="224" t="inlineStr">
        <is>
          <t>PENDENTE</t>
        </is>
      </c>
      <c r="J109" s="221">
        <f>H109-G109+1</f>
        <v>10</v>
      </c>
      <c r="L109" s="222" t="str">
        <f>IF(ISNUMBER(I109),"feito",IF(H109&lt;DATA_GESTAO,"devia estar concluído",IF(G109&lt;=DATA_GESTAO,"em execução",IF(G109-DATA_GESTAO&lt;=42,"começa em até 6 semanas","futuro"))))</f>
        <v>futuro</v>
      </c>
    </row>
    <row r="110">
      <c r="A110" s="222" t="inlineStr">
        <is>
          <t>M02</t>
        </is>
      </c>
      <c r="B110" s="222" t="inlineStr">
        <is>
          <t>342</t>
        </is>
      </c>
      <c r="C110" s="234" t="inlineStr">
        <is>
          <t>Teste hidrostático e liberação do recalque UTR × ETA (aba 37 ID 29; Anexo III ID 88)</t>
        </is>
      </c>
      <c r="D110" s="222" t="inlineStr">
        <is>
          <t>3.3.1</t>
        </is>
      </c>
      <c r="G110" s="220" t="n">
        <v>46391</v>
      </c>
      <c r="H110" s="220" t="n">
        <v>46395</v>
      </c>
      <c r="I110" s="224" t="inlineStr">
        <is>
          <t>PENDENTE</t>
        </is>
      </c>
      <c r="J110" s="221">
        <f>H110-G110+1</f>
        <v>5</v>
      </c>
      <c r="L110" s="222" t="str">
        <f>IF(ISNUMBER(I110),"feito",IF(H110&lt;DATA_GESTAO,"devia estar concluído",IF(G110&lt;=DATA_GESTAO,"em execução",IF(G110-DATA_GESTAO&lt;=42,"começa em até 6 semanas","futuro"))))</f>
        <v>futuro</v>
      </c>
    </row>
    <row r="111">
      <c r="A111" s="222" t="inlineStr">
        <is>
          <t>M03</t>
        </is>
      </c>
      <c r="B111" s="222" t="inlineStr">
        <is>
          <t>342</t>
        </is>
      </c>
      <c r="C111" s="234" t="inlineStr">
        <is>
          <t>Teste de estanqueidade do tanque (aba 37 ID 30; Anexo III ID 55)</t>
        </is>
      </c>
      <c r="D111" s="222" t="inlineStr">
        <is>
          <t>3.5.5</t>
        </is>
      </c>
      <c r="G111" s="220" t="n">
        <v>46499</v>
      </c>
      <c r="H111" s="220" t="n">
        <v>46505</v>
      </c>
      <c r="I111" s="224" t="inlineStr">
        <is>
          <t>PENDENTE</t>
        </is>
      </c>
      <c r="J111" s="221">
        <f>H111-G111+1</f>
        <v>7</v>
      </c>
      <c r="L111" s="222" t="str">
        <f>IF(ISNUMBER(I111),"feito",IF(H111&lt;DATA_GESTAO,"devia estar concluído",IF(G111&lt;=DATA_GESTAO,"em execução",IF(G111-DATA_GESTAO&lt;=42,"começa em até 6 semanas","futuro"))))</f>
        <v>futuro</v>
      </c>
    </row>
    <row r="112">
      <c r="A112" s="222" t="inlineStr">
        <is>
          <t>M04</t>
        </is>
      </c>
      <c r="B112" s="222" t="inlineStr">
        <is>
          <t>342</t>
        </is>
      </c>
      <c r="C112" s="234" t="inlineStr">
        <is>
          <t>Ensaios elétricos a frio do QCM, cabos e aterramento, com laudo e ART (aba 37 ID 31; Anexo VII p.12)</t>
        </is>
      </c>
      <c r="D112" s="222" t="inlineStr">
        <is>
          <t>3.8.1</t>
        </is>
      </c>
      <c r="G112" s="220" t="n">
        <v>46450</v>
      </c>
      <c r="H112" s="220" t="n">
        <v>46451</v>
      </c>
      <c r="I112" s="224" t="inlineStr">
        <is>
          <t>PENDENTE</t>
        </is>
      </c>
      <c r="J112" s="221">
        <f>H112-G112+1</f>
        <v>2</v>
      </c>
      <c r="L112" s="222" t="str">
        <f>IF(ISNUMBER(I112),"feito",IF(H112&lt;DATA_GESTAO,"devia estar concluído",IF(G112&lt;=DATA_GESTAO,"em execução",IF(G112-DATA_GESTAO&lt;=42,"começa em até 6 semanas","futuro"))))</f>
        <v>futuro</v>
      </c>
    </row>
    <row r="113">
      <c r="A113" s="222" t="inlineStr">
        <is>
          <t>M05</t>
        </is>
      </c>
      <c r="B113" s="222" t="inlineStr">
        <is>
          <t>342</t>
        </is>
      </c>
      <c r="C113" s="234" t="inlineStr">
        <is>
          <t>Ligação definitiva Equatorial Goiás, vistoria e medição (aba 37 ID 32; REN 1000 art. 91 I)</t>
        </is>
      </c>
      <c r="D113" s="222" t="inlineStr">
        <is>
          <t>3.8.1</t>
        </is>
      </c>
      <c r="G113" s="220" t="n">
        <v>46450</v>
      </c>
      <c r="H113" s="220" t="n">
        <v>46456</v>
      </c>
      <c r="I113" s="224" t="inlineStr">
        <is>
          <t>PENDENTE</t>
        </is>
      </c>
      <c r="J113" s="221">
        <f>H113-G113+1</f>
        <v>7</v>
      </c>
      <c r="L113" s="222" t="str">
        <f>IF(ISNUMBER(I113),"feito",IF(H113&lt;DATA_GESTAO,"devia estar concluído",IF(G113&lt;=DATA_GESTAO,"em execução",IF(G113-DATA_GESTAO&lt;=42,"começa em até 6 semanas","futuro"))))</f>
        <v>futuro</v>
      </c>
    </row>
    <row r="114">
      <c r="A114" s="222" t="inlineStr">
        <is>
          <t>M06</t>
        </is>
      </c>
      <c r="B114" s="222" t="inlineStr">
        <is>
          <t>342</t>
        </is>
      </c>
      <c r="C114" s="234" t="inlineStr">
        <is>
          <t>Comissionamento e testes operacionais dos conjuntos motor-bomba (aba 37 ID 33; Anexo VII p.3)</t>
        </is>
      </c>
      <c r="D114" s="222" t="inlineStr">
        <is>
          <t>3.6.7</t>
        </is>
      </c>
      <c r="G114" s="220" t="n">
        <v>46531</v>
      </c>
      <c r="H114" s="220" t="n">
        <v>46539</v>
      </c>
      <c r="I114" s="224" t="inlineStr">
        <is>
          <t>PENDENTE</t>
        </is>
      </c>
      <c r="J114" s="221">
        <f>H114-G114+1</f>
        <v>9</v>
      </c>
      <c r="L114" s="222" t="str">
        <f>IF(ISNUMBER(I114),"feito",IF(H114&lt;DATA_GESTAO,"devia estar concluído",IF(G114&lt;=DATA_GESTAO,"em execução",IF(G114-DATA_GESTAO&lt;=42,"começa em até 6 semanas","futuro"))))</f>
        <v>futuro</v>
      </c>
    </row>
    <row r="115">
      <c r="A115" s="222" t="inlineStr">
        <is>
          <t>M07</t>
        </is>
      </c>
      <c r="B115" s="222" t="inlineStr">
        <is>
          <t>342</t>
        </is>
      </c>
      <c r="C115" s="234" t="inlineStr">
        <is>
          <t>Testes integrados, comissionamento assistido e correções: fim da produção (aba 37 ID 34; Anexo VII p.14)</t>
        </is>
      </c>
      <c r="D115" s="222" t="inlineStr">
        <is>
          <t>M06</t>
        </is>
      </c>
      <c r="G115" s="220" t="n">
        <v>46560</v>
      </c>
      <c r="H115" s="220" t="n">
        <v>46589</v>
      </c>
      <c r="I115" s="224" t="inlineStr">
        <is>
          <t>PENDENTE</t>
        </is>
      </c>
      <c r="J115" s="221">
        <f>H115-G115+1</f>
        <v>30</v>
      </c>
      <c r="L115" s="222" t="str">
        <f>IF(ISNUMBER(I115),"feito",IF(H115&lt;DATA_GESTAO,"devia estar concluído",IF(G115&lt;=DATA_GESTAO,"em execução",IF(G115-DATA_GESTAO&lt;=42,"começa em até 6 semanas","futuro"))))</f>
        <v>futuro</v>
      </c>
    </row>
    <row r="116">
      <c r="A116" s="222" t="inlineStr">
        <is>
          <t>M08</t>
        </is>
      </c>
      <c r="B116" s="222" t="inlineStr">
        <is>
          <t>342</t>
        </is>
      </c>
      <c r="C116" s="234" t="inlineStr">
        <is>
          <t>Comunicação de conclusão e pedido de vistoria (aba 37 ID 35)</t>
        </is>
      </c>
      <c r="D116" s="222" t="inlineStr">
        <is>
          <t>M07</t>
        </is>
      </c>
      <c r="G116" s="220" t="n">
        <v>46590</v>
      </c>
      <c r="H116" s="220" t="n">
        <v>46590</v>
      </c>
      <c r="I116" s="224" t="inlineStr">
        <is>
          <t>PENDENTE</t>
        </is>
      </c>
      <c r="J116" s="221">
        <f>H116-G116+1</f>
        <v>1</v>
      </c>
      <c r="L116" s="222" t="str">
        <f>IF(ISNUMBER(I116),"feito",IF(H116&lt;DATA_GESTAO,"devia estar concluído",IF(G116&lt;=DATA_GESTAO,"em execução",IF(G116-DATA_GESTAO&lt;=42,"começa em até 6 semanas","futuro"))))</f>
        <v>futuro</v>
      </c>
    </row>
    <row r="117">
      <c r="A117" s="222" t="inlineStr">
        <is>
          <t>M09</t>
        </is>
      </c>
      <c r="B117" s="222" t="inlineStr">
        <is>
          <t>342</t>
        </is>
      </c>
      <c r="C117" s="234" t="inlineStr">
        <is>
          <t>Fim do plano: medição final e as built (evento 4.1.2; aba 37 ID 41)</t>
        </is>
      </c>
      <c r="D117" s="222" t="inlineStr">
        <is>
          <t>M08</t>
        </is>
      </c>
      <c r="G117" s="232">
        <f>H103</f>
        <v>46626.0</v>
      </c>
      <c r="H117" s="232">
        <f>H104</f>
        <v>46626.0</v>
      </c>
      <c r="I117" s="224" t="inlineStr">
        <is>
          <t>PENDENTE</t>
        </is>
      </c>
      <c r="J117" s="221">
        <f>H117-G117+1</f>
        <v>1</v>
      </c>
      <c r="L117" s="222" t="str">
        <f>IF(ISNUMBER(I117),"feito",IF(H117&lt;DATA_GESTAO,"devia estar concluído",IF(G117&lt;=DATA_GESTAO,"em execução",IF(G117-DATA_GESTAO&lt;=42,"começa em até 6 semanas","futuro"))))</f>
        <v>futuro</v>
      </c>
    </row>
    <row r="118">
      <c r="A118" s="222" t="inlineStr">
        <is>
          <t>M10</t>
        </is>
      </c>
      <c r="B118" s="222" t="inlineStr">
        <is>
          <t>342</t>
        </is>
      </c>
      <c r="C118" s="234" t="inlineStr">
        <is>
          <t>Vistoria do cliente (contrato, cláusula sexta: até 15 dias)</t>
        </is>
      </c>
      <c r="D118" s="222" t="inlineStr">
        <is>
          <t>M09</t>
        </is>
      </c>
      <c r="E118" s="235" t="n">
        <v>15</v>
      </c>
      <c r="G118" s="232">
        <f>H117+1</f>
        <v>46627.0</v>
      </c>
      <c r="H118" s="232">
        <f>H117+E118</f>
        <v>46641.0</v>
      </c>
      <c r="I118" s="224" t="inlineStr">
        <is>
          <t>PENDENTE</t>
        </is>
      </c>
      <c r="J118" s="221">
        <f>H118-G118+1</f>
        <v>15</v>
      </c>
      <c r="L118" s="222" t="str">
        <f>IF(ISNUMBER(I118),"feito",IF(H118&lt;DATA_GESTAO,"devia estar concluído",IF(G118&lt;=DATA_GESTAO,"em execução",IF(G118-DATA_GESTAO&lt;=42,"começa em até 6 semanas","futuro"))))</f>
        <v>futuro</v>
      </c>
    </row>
    <row r="119">
      <c r="A119" s="222" t="inlineStr">
        <is>
          <t>M11</t>
        </is>
      </c>
      <c r="B119" s="222" t="inlineStr">
        <is>
          <t>342</t>
        </is>
      </c>
      <c r="C119" s="234" t="inlineStr">
        <is>
          <t>Recebimento definitivo (contrato, cláusula sexta: até 90 dias corridos)</t>
        </is>
      </c>
      <c r="D119" s="222" t="inlineStr">
        <is>
          <t>M10</t>
        </is>
      </c>
      <c r="E119" s="235" t="n">
        <v>90</v>
      </c>
      <c r="G119" s="232">
        <f>H118+1</f>
        <v>46642.0</v>
      </c>
      <c r="H119" s="232">
        <f>H118+E119</f>
        <v>46731.0</v>
      </c>
      <c r="I119" s="224" t="inlineStr">
        <is>
          <t>PENDENTE</t>
        </is>
      </c>
      <c r="J119" s="221">
        <f>H119-G119+1</f>
        <v>90</v>
      </c>
      <c r="L119" s="222" t="str">
        <f>IF(ISNUMBER(I119),"feito",IF(H119&lt;DATA_GESTAO,"devia estar concluído",IF(G119&lt;=DATA_GESTAO,"em execução",IF(G119-DATA_GESTAO&lt;=42,"começa em até 6 semanas","futuro"))))</f>
        <v>futuro</v>
      </c>
    </row>
    <row r="120">
      <c r="A120" s="222" t="inlineStr">
        <is>
          <t>LIM</t>
        </is>
      </c>
      <c r="B120" s="222" t="inlineStr">
        <is>
          <t>342</t>
        </is>
      </c>
      <c r="C120" s="234" t="inlineStr">
        <is>
          <t>Fim do seguro-garantia: o recebimento definitivo (M11) cabe? (03 B15: Junto Seguros 03-0775-0430793)</t>
        </is>
      </c>
      <c r="H120" s="220" t="n">
        <v>46712</v>
      </c>
      <c r="K120" s="221">
        <f>H120-$H$119</f>
        <v>-19</v>
      </c>
      <c r="L120" s="230" t="str">
        <f>IF(K120&gt;=0,"OK","NÃO CABE: "&amp;(-K120)&amp;" dias")</f>
        <v>NÃO CABE: 19 dias</v>
      </c>
    </row>
    <row r="121">
      <c r="A121" s="222" t="inlineStr">
        <is>
          <t>LIM</t>
        </is>
      </c>
      <c r="B121" s="222" t="inlineStr">
        <is>
          <t>342</t>
        </is>
      </c>
      <c r="C121" s="234" t="inlineStr">
        <is>
          <t>Fim da vigência do contrato: o recebimento definitivo (M11) cabe? (03: assinatura + vigência)</t>
        </is>
      </c>
      <c r="H121" s="232">
        <f>'03. CONTRATOS'!$B$9+'03. CONTRATOS'!$B$12</f>
        <v>46724.0</v>
      </c>
      <c r="K121" s="221">
        <f>H121-$H$119</f>
        <v>-7</v>
      </c>
      <c r="L121" s="230" t="str">
        <f>IF(K121&gt;=0,"OK","NÃO CABE: "&amp;(-K121)&amp;" dias")</f>
        <v>NÃO CABE: 7 dias</v>
      </c>
    </row>
    <row r="122">
      <c r="A122" s="222" t="inlineStr">
        <is>
          <t>ALT</t>
        </is>
      </c>
      <c r="B122" s="222" t="inlineStr">
        <is>
          <t>342</t>
        </is>
      </c>
      <c r="C122" s="234" t="inlineStr">
        <is>
          <t>Se a vistoria for pedida no M08: recebimento definitivo (15 + 90 dias) cabe no seguro?</t>
        </is>
      </c>
      <c r="G122" s="232">
        <f>H116</f>
        <v>46590.0</v>
      </c>
      <c r="H122" s="232">
        <f>H116+E118+E119</f>
        <v>46695.0</v>
      </c>
      <c r="K122" s="221">
        <f>$H$120-H122</f>
        <v>17</v>
      </c>
      <c r="L122" s="230" t="str">
        <f>IF(K122&gt;=0,"OK","NÃO CABE: "&amp;(-K122)&amp;" dias")</f>
        <v>OK</v>
      </c>
    </row>
  </sheetData>
  <mergeCells count="2">
    <mergeCell ref="A4:P4"/>
    <mergeCell ref="A3:P3"/>
  </mergeCells>
  <conditionalFormatting sqref="Q7:BR27">
    <cfRule type="cellIs" priority="1" operator="equal" dxfId="13" stopIfTrue="1">
      <formula>"P"</formula>
    </cfRule>
    <cfRule type="cellIs" priority="2" operator="equal" dxfId="12" stopIfTrue="1">
      <formula>"C"</formula>
    </cfRule>
  </conditionalFormatting>
  <conditionalFormatting sqref="N7:N27">
    <cfRule type="cellIs" priority="3" operator="equal" dxfId="2" stopIfTrue="1">
      <formula>"CRÍTICA"</formula>
    </cfRule>
    <cfRule type="cellIs" priority="4" operator="equal" dxfId="10" stopIfTrue="1">
      <formula>"sem rede"</formula>
    </cfRule>
  </conditionalFormatting>
  <conditionalFormatting sqref="P7:P27">
    <cfRule type="cellIs" priority="5" operator="equal" dxfId="1" stopIfTrue="1">
      <formula>"ok"</formula>
    </cfRule>
    <cfRule type="cellIs" priority="6" operator="equal" dxfId="2" stopIfTrue="1">
      <formula>"sem data"</formula>
    </cfRule>
    <cfRule type="cellIs" priority="7" operator="equal" dxfId="2" stopIfTrue="1">
      <formula>"predecessora inexistente"</formula>
    </cfRule>
    <cfRule type="cellIs" priority="8" operator="equal" dxfId="2" stopIfTrue="1">
      <formula>"predecessora abaixo da tarefa"</formula>
    </cfRule>
  </conditionalFormatting>
  <conditionalFormatting sqref="L120:L122">
    <cfRule type="expression" priority="9" dxfId="23">
      <formula>LEFT(L120,3)="NÃO"</formula>
    </cfRule>
    <cfRule type="expression" priority="10" dxfId="24">
      <formula>L120="OK"</formula>
    </cfRule>
  </conditionalFormatting>
  <dataValidations count="2">
    <dataValidation sqref="G7:I27" showDropDown="0" showInputMessage="1" showErrorMessage="1" allowBlank="1" errorTitle="Predecessora" error="Use o ID de uma etapa que está ACIMA desta linha (a lista mostra os IDs)." type="list" errorStyle="warning">
      <formula1>$A$7:$A$27</formula1>
    </dataValidation>
    <dataValidation sqref="J7:J27" showDropDown="0" showInputMessage="1" showErrorMessage="1" allowBlank="1" error="Digite entre 0% e 100%." type="decimal">
      <formula1>0</formula1>
      <formula2>1</formula2>
    </dataValidation>
  </dataValidations>
  <pageMargins left="0.3888888888888889" right="0.3888888888888889" top="0.3888888888888889" bottom="0.3888888888888889" header="0.31496062" footer="0.31496062"/>
  <pageSetup orientation="landscape" paperSize="8" scale="48" fitToHeight="0"/>
  <drawing xmlns:r="http://schemas.openxmlformats.org/officeDocument/2006/relationships" r:id="rIdDrw1"/>
</worksheet>
</file>

<file path=xl/worksheets/sheet5.xml><?xml version="1.0" encoding="utf-8"?>
<worksheet xmlns="http://schemas.openxmlformats.org/spreadsheetml/2006/main">
  <sheetPr>
    <tabColor rgb="FF2E8B99"/>
    <outlinePr summaryBelow="1" summaryRight="1"/>
    <pageSetUpPr fitToPage="1"/>
  </sheetPr>
  <dimension ref="A1:V162"/>
  <sheetViews>
    <sheetView showGridLines="0" workbookViewId="0">
      <selection activeCell="A1" sqref="A1"/>
    </sheetView>
  </sheetViews>
  <sheetFormatPr baseColWidth="8" defaultRowHeight="12.75"/>
  <cols>
    <col width="12.7109375" customWidth="1" style="73" min="1" max="1"/>
    <col width="14.7109375" customWidth="1" style="73" min="2" max="2"/>
    <col width="12.7109375" customWidth="1" style="73" min="3" max="3"/>
    <col width="14.7109375" customWidth="1" style="73" min="4" max="4"/>
    <col width="11.7109375" customWidth="1" style="73" min="5" max="5"/>
    <col width="17.7109375" customWidth="1" style="73" min="6" max="6"/>
    <col width="17.7109375" customWidth="1" style="71" min="7" max="7"/>
    <col width="17.7109375" customWidth="1" style="71" min="8" max="8"/>
    <col width="14.7109375" customWidth="1" style="73" min="9" max="9"/>
    <col width="12.7109375" customWidth="1" style="73" min="10" max="10"/>
    <col width="18.7109375" customWidth="1" style="73" min="11" max="11"/>
    <col width="13.7109375" customWidth="1" style="73" min="12" max="12"/>
    <col width="3.7109375" customWidth="1" style="73" min="13" max="13"/>
    <col width="11.7" customWidth="1" style="73" min="14" max="14"/>
    <col width="11.7" customWidth="1" style="71" min="15" max="15"/>
    <col width="11.7" customWidth="1" style="71" min="16" max="16"/>
    <col width="14.7" customWidth="1" style="71" min="17" max="17"/>
    <col width="11.7" customWidth="1" style="71" min="18" max="18"/>
    <col width="11.7" customWidth="1" style="71" min="19" max="19"/>
    <col width="16.7" customWidth="1" style="71" min="20" max="20"/>
    <col width="11.7" customWidth="1" style="71" min="21" max="21"/>
    <col width="34.7" customWidth="1" style="71" min="22" max="22"/>
    <col width="9.140625" customWidth="1" style="71" min="23" max="23"/>
    <col width="9.140625" customWidth="1" style="71" min="24" max="24"/>
    <col width="9.140625" customWidth="1" style="71" min="25" max="25"/>
    <col width="9.140625" customWidth="1" style="71" min="26" max="26"/>
    <col width="9.140625" customWidth="1" style="71" min="27" max="27"/>
    <col width="9.140625" customWidth="1" style="71" min="28" max="28"/>
    <col width="9.140625" customWidth="1" style="71" min="29" max="29"/>
    <col width="9.140625" customWidth="1" style="71" min="30" max="30"/>
    <col width="9.140625" customWidth="1" style="71" min="31" max="31"/>
    <col width="9.140625" customWidth="1" style="71" min="32" max="32"/>
    <col width="9.140625" customWidth="1" style="71" min="33" max="33"/>
    <col width="9.140625" customWidth="1" style="71" min="34" max="34"/>
    <col width="9.140625" customWidth="1" style="71" min="35" max="35"/>
    <col width="9.140625" customWidth="1" style="71" min="36" max="36"/>
    <col width="9.140625" customWidth="1" style="71" min="37" max="37"/>
    <col width="9.140625" customWidth="1" style="71" min="38" max="38"/>
    <col width="9.140625" customWidth="1" style="71" min="39" max="39"/>
    <col width="9.140625" customWidth="1" style="71" min="40" max="40"/>
    <col width="9.140625" customWidth="1" style="71" min="41" max="41"/>
    <col width="9.140625" customWidth="1" style="71" min="42" max="42"/>
    <col width="9.140625" customWidth="1" style="71" min="43" max="43"/>
    <col width="9.140625" customWidth="1" style="71" min="44" max="44"/>
    <col width="9.140625" customWidth="1" style="71" min="45" max="45"/>
    <col width="9.140625" customWidth="1" style="71" min="46" max="46"/>
    <col width="9.140625" customWidth="1" style="71" min="47" max="47"/>
    <col width="9.140625" customWidth="1" style="71" min="48" max="48"/>
    <col width="9.140625" customWidth="1" style="71" min="49" max="49"/>
    <col width="9.140625" customWidth="1" style="71" min="50" max="50"/>
    <col width="9.140625" customWidth="1" style="71" min="51" max="51"/>
    <col width="9.140625" customWidth="1" style="71" min="52" max="52"/>
    <col width="9.140625" customWidth="1" style="71" min="53" max="53"/>
    <col width="9.140625" customWidth="1" style="71" min="54" max="54"/>
    <col width="9.140625" customWidth="1" style="71" min="55" max="55"/>
    <col width="9.140625" customWidth="1" style="71" min="56" max="56"/>
    <col width="9.140625" customWidth="1" style="71" min="57" max="57"/>
    <col width="9.140625" customWidth="1" style="71" min="58" max="58"/>
    <col width="9.140625" customWidth="1" style="71" min="59" max="59"/>
    <col width="9.140625" customWidth="1" style="71" min="60" max="60"/>
  </cols>
  <sheetData>
    <row r="1" ht="24" customHeight="1" s="71"/>
    <row r="2" ht="20.25" customHeight="1" s="71">
      <c r="A2" s="74" t="inlineStr">
        <is>
          <t>HISTOGRAMA PLANEJADO: efetivo e custo de mão de obra + equipamentos, por mês e por semana</t>
        </is>
      </c>
    </row>
    <row r="3" ht="26.1" customHeight="1" s="71">
      <c r="A3" s="78" t="inlineStr">
        <is>
          <t>Valores copiados do estudo (planejamento, não apontamento). As colunas amarelas são do realizado: ficam vazias até o apontamento começar, e vazio não é zero (o desvio só aparece quando há realizado).</t>
        </is>
      </c>
    </row>
    <row r="4" ht="50.1" customHeight="1" s="71">
      <c r="A4" s="79" t="inlineStr">
        <is>
          <t>Fonte: 342 = estudo REV13 (pasta panorama do projeto, 15/10/2026), aba 40 (mensal: pico, média, dias úteis, engenheiro) e aba 39 (semanal), custo pela 04. PLANO DAS OBRAS; 343 = MOTOR TAF\ESTUDOS\TAF 343 CAESB SOBRADINHO - PLANEJAMENTO.xlsx (estudo de 27/09/2026 17:51).</t>
        </is>
      </c>
    </row>
    <row r="5"/>
    <row r="6">
      <c r="A6" s="80" t="inlineStr">
        <is>
          <t>OBRA 342 SANEAGO UTR: HISTOGRAMA MENSAL</t>
        </is>
      </c>
      <c r="B6" s="80" t="n"/>
      <c r="C6" s="80" t="n"/>
      <c r="D6" s="80" t="n"/>
      <c r="E6" s="80" t="n"/>
      <c r="F6" s="80" t="n"/>
      <c r="G6" s="80" t="n"/>
      <c r="H6" s="80" t="n"/>
      <c r="I6" s="80" t="n"/>
      <c r="J6" s="80" t="n"/>
      <c r="K6" s="80" t="n"/>
      <c r="L6" s="80" t="n"/>
      <c r="N6" s="80" t="inlineStr">
        <is>
          <t>TAF EMPRESA: GENTE DAS 3 OBRAS POR MÊS (soma dos picos)</t>
        </is>
      </c>
      <c r="O6" s="80" t="n"/>
      <c r="P6" s="80" t="n"/>
      <c r="Q6" s="80" t="n"/>
      <c r="R6" s="80" t="n"/>
      <c r="S6" s="80" t="n"/>
      <c r="T6" s="80" t="n"/>
      <c r="U6" s="80" t="n"/>
      <c r="V6" s="80" t="n"/>
    </row>
    <row r="7" ht="48" customHeight="1" s="71">
      <c r="A7" s="88" t="inlineStr">
        <is>
          <t>Mês</t>
        </is>
      </c>
      <c r="B7" s="88" t="inlineStr">
        <is>
          <t>Pico (pessoas)</t>
        </is>
      </c>
      <c r="C7" s="88" t="inlineStr">
        <is>
          <t>Média (pessoas)</t>
        </is>
      </c>
      <c r="D7" s="88" t="inlineStr">
        <is>
          <t>Dias úteis</t>
        </is>
      </c>
      <c r="E7" s="88" t="inlineStr">
        <is>
          <t>Engenheiros</t>
        </is>
      </c>
      <c r="F7" s="88" t="inlineStr">
        <is>
          <t>MO própria + serviços de campo previsto (R$, 04)</t>
        </is>
      </c>
      <c r="G7" s="88" t="inlineStr">
        <is>
          <t>Realizado: efetivo médio (digitar)</t>
        </is>
      </c>
      <c r="H7" s="88" t="inlineStr">
        <is>
          <t>Efetivo médio na 05. SEMANAS</t>
        </is>
      </c>
      <c r="I7" s="88" t="inlineStr">
        <is>
          <t>Realizado considerado</t>
        </is>
      </c>
      <c r="J7" s="88" t="inlineStr">
        <is>
          <t>Desvio (pessoas)</t>
        </is>
      </c>
      <c r="K7" s="88" t="inlineStr">
        <is>
          <t>Realizado: MO + equip. (R$, digitar)</t>
        </is>
      </c>
      <c r="L7" s="88" t="inlineStr">
        <is>
          <t>Desvio (R$)</t>
        </is>
      </c>
      <c r="N7" s="88" t="inlineStr">
        <is>
          <t>Mês</t>
        </is>
      </c>
      <c r="O7" s="88" t="inlineStr">
        <is>
          <t>342 (pico)</t>
        </is>
      </c>
      <c r="P7" s="88" t="inlineStr">
        <is>
          <t>343 (pico)</t>
        </is>
      </c>
      <c r="Q7" s="88" t="inlineStr">
        <is>
          <t>281 (pico; Ricarlos informa)</t>
        </is>
      </c>
      <c r="R7" s="88" t="inlineStr">
        <is>
          <t>342 + 343</t>
        </is>
      </c>
      <c r="S7" s="88" t="inlineStr">
        <is>
          <t>TAF (3 obras)</t>
        </is>
      </c>
      <c r="T7" s="88" t="inlineStr">
        <is>
          <t>Efetivo disponível (digitar; Thadeu indica quem informa)</t>
        </is>
      </c>
      <c r="U7" s="88" t="inlineStr">
        <is>
          <t>A contratar</t>
        </is>
      </c>
      <c r="V7" s="88" t="inlineStr">
        <is>
          <t>Leitura</t>
        </is>
      </c>
    </row>
    <row r="8">
      <c r="A8" s="110" t="n">
        <v>46266</v>
      </c>
      <c r="B8" s="236">
        <f>'04. PLANO DAS OBRAS'!C13</f>
        <v>1</v>
      </c>
      <c r="C8" s="236">
        <f>'04. PLANO DAS OBRAS'!C14</f>
        <v>0.9</v>
      </c>
      <c r="D8" s="237" t="n">
        <v>21</v>
      </c>
      <c r="E8" s="237" t="n">
        <v>0.9</v>
      </c>
      <c r="F8" s="238">
        <f>'04. PLANO DAS OBRAS'!C8+'04. PLANO DAS OBRAS'!C10</f>
        <v>0</v>
      </c>
      <c r="G8" s="119" t="n"/>
      <c r="H8" s="115">
        <f>IFERROR(AVERAGEIFS('05. SEMANAS'!$F$5:$F$64,'05. SEMANAS'!$B$5:$B$64,"342",'05. SEMANAS'!$A$5:$A$64,"&gt;="&amp;A8,'05. SEMANAS'!$A$5:$A$64,"&lt;"&amp;EDATE(A8,1)),"")</f>
      </c>
      <c r="I8" s="114">
        <f>IF(G8&lt;&gt;"",G8,H8)</f>
      </c>
      <c r="J8" s="116">
        <f>IF(I8="","",I8-C8)</f>
      </c>
      <c r="K8" s="121" t="n"/>
      <c r="L8" s="101">
        <f>IF(K8="","",K8-F8)</f>
      </c>
      <c r="N8" s="110">
        <f>A8</f>
        <v>46266.0</v>
      </c>
      <c r="O8" s="236">
        <f>B8</f>
        <v>1</v>
      </c>
      <c r="P8" s="236">
        <f>IFERROR(INDEX($B$29:$B$44,MATCH(N8,$A$29:$A$44,0)),"SEM BASE")</f>
        <v>4</v>
      </c>
      <c r="Q8" s="239" t="inlineStr">
        <is>
          <t>SEM BASE</t>
        </is>
      </c>
      <c r="R8" s="236">
        <f>IF(AND(ISNUMBER(O8),ISNUMBER(P8)),O8+P8,"SEM BASE")</f>
        <v>5</v>
      </c>
      <c r="S8" s="236" t="str">
        <f>IF(AND(ISNUMBER(R8),ISNUMBER(Q8)),R8+Q8,"SEM BASE")</f>
        <v>SEM BASE</v>
      </c>
      <c r="T8" s="240" t="inlineStr">
        <is>
          <t>PENDENTE</t>
        </is>
      </c>
      <c r="U8" s="241" t="str">
        <f>IF(NOT(ISNUMBER(T8)),"PENDENTE",IF(ISNUMBER(S8),MAX(0,ROUNDUP(S8-T8,0)),IF(ISNUMBER(R8),MAX(0,ROUNDUP(R8-T8,0)),"SEM BASE")))</f>
        <v>PENDENTE</v>
      </c>
      <c r="V8" s="242" t="str">
        <f>IF(NOT(ISNUMBER(T8)),"falta o efetivo disponível",IF(NOT(ISNUMBER(U8)),"SEM BASE",IF(U8&gt;0,IF(ISNUMBER(S8),"contratar","contratar (mínimo, sem a 281)"),IF(ISNUMBER(S8),"tem gente","tem gente para 342 e 343; falta a 281"))))</f>
        <v>falta o efetivo disponível</v>
      </c>
    </row>
    <row r="9">
      <c r="A9" s="110" t="n">
        <v>46296</v>
      </c>
      <c r="B9" s="236">
        <f>'04. PLANO DAS OBRAS'!D13</f>
        <v>23</v>
      </c>
      <c r="C9" s="236">
        <f>'04. PLANO DAS OBRAS'!D14</f>
        <v>11.48</v>
      </c>
      <c r="D9" s="237" t="n">
        <v>21</v>
      </c>
      <c r="E9" s="237" t="n">
        <v>1</v>
      </c>
      <c r="F9" s="238">
        <f>'04. PLANO DAS OBRAS'!D8+'04. PLANO DAS OBRAS'!D10</f>
        <v>0</v>
      </c>
      <c r="G9" s="119" t="n"/>
      <c r="H9" s="115">
        <f>IFERROR(AVERAGEIFS('05. SEMANAS'!$F$5:$F$64,'05. SEMANAS'!$B$5:$B$64,"342",'05. SEMANAS'!$A$5:$A$64,"&gt;="&amp;A9,'05. SEMANAS'!$A$5:$A$64,"&lt;"&amp;EDATE(A9,1)),"")</f>
      </c>
      <c r="I9" s="114">
        <f>IF(G9&lt;&gt;"",G9,H9)</f>
      </c>
      <c r="J9" s="116">
        <f>IF(I9="","",I9-C9)</f>
      </c>
      <c r="K9" s="121" t="n"/>
      <c r="L9" s="101">
        <f>IF(K9="","",K9-F9)</f>
      </c>
      <c r="N9" s="110">
        <f>A9</f>
        <v>46296.0</v>
      </c>
      <c r="O9" s="236">
        <f>B9</f>
        <v>23</v>
      </c>
      <c r="P9" s="236">
        <f>IFERROR(INDEX($B$29:$B$44,MATCH(N9,$A$29:$A$44,0)),"SEM BASE")</f>
        <v>11.3108</v>
      </c>
      <c r="Q9" s="239" t="inlineStr">
        <is>
          <t>SEM BASE</t>
        </is>
      </c>
      <c r="R9" s="236">
        <f>IF(AND(ISNUMBER(O9),ISNUMBER(P9)),O9+P9,"SEM BASE")</f>
        <v>34.3108</v>
      </c>
      <c r="S9" s="236" t="str">
        <f>IF(AND(ISNUMBER(R9),ISNUMBER(Q9)),R9+Q9,"SEM BASE")</f>
        <v>SEM BASE</v>
      </c>
      <c r="T9" s="240" t="inlineStr">
        <is>
          <t>PENDENTE</t>
        </is>
      </c>
      <c r="U9" s="241" t="str">
        <f>IF(NOT(ISNUMBER(T9)),"PENDENTE",IF(ISNUMBER(S9),MAX(0,ROUNDUP(S9-T9,0)),IF(ISNUMBER(R9),MAX(0,ROUNDUP(R9-T9,0)),"SEM BASE")))</f>
        <v>PENDENTE</v>
      </c>
      <c r="V9" s="242" t="str">
        <f>IF(NOT(ISNUMBER(T9)),"falta o efetivo disponível",IF(NOT(ISNUMBER(U9)),"SEM BASE",IF(U9&gt;0,IF(ISNUMBER(S9),"contratar","contratar (mínimo, sem a 281)"),IF(ISNUMBER(S9),"tem gente","tem gente para 342 e 343; falta a 281"))))</f>
        <v>falta o efetivo disponível</v>
      </c>
    </row>
    <row r="10">
      <c r="A10" s="110" t="n">
        <v>46327</v>
      </c>
      <c r="B10" s="236">
        <f>'04. PLANO DAS OBRAS'!E13</f>
        <v>23</v>
      </c>
      <c r="C10" s="236">
        <f>'04. PLANO DAS OBRAS'!E14</f>
        <v>17.22</v>
      </c>
      <c r="D10" s="237" t="n">
        <v>18</v>
      </c>
      <c r="E10" s="237" t="n">
        <v>1</v>
      </c>
      <c r="F10" s="238">
        <f>'04. PLANO DAS OBRAS'!E8+'04. PLANO DAS OBRAS'!E10</f>
        <v>112252.18</v>
      </c>
      <c r="G10" s="119" t="n"/>
      <c r="H10" s="115">
        <f>IFERROR(AVERAGEIFS('05. SEMANAS'!$F$5:$F$64,'05. SEMANAS'!$B$5:$B$64,"342",'05. SEMANAS'!$A$5:$A$64,"&gt;="&amp;A10,'05. SEMANAS'!$A$5:$A$64,"&lt;"&amp;EDATE(A10,1)),"")</f>
      </c>
      <c r="I10" s="114">
        <f>IF(G10&lt;&gt;"",G10,H10)</f>
      </c>
      <c r="J10" s="116">
        <f>IF(I10="","",I10-C10)</f>
      </c>
      <c r="K10" s="121" t="n"/>
      <c r="L10" s="101">
        <f>IF(K10="","",K10-F10)</f>
      </c>
      <c r="N10" s="110">
        <f>A10</f>
        <v>46327.0</v>
      </c>
      <c r="O10" s="236">
        <f>B10</f>
        <v>23</v>
      </c>
      <c r="P10" s="236">
        <f>IFERROR(INDEX($B$29:$B$44,MATCH(N10,$A$29:$A$44,0)),"SEM BASE")</f>
        <v>11.3108</v>
      </c>
      <c r="Q10" s="239" t="inlineStr">
        <is>
          <t>SEM BASE</t>
        </is>
      </c>
      <c r="R10" s="236">
        <f>IF(AND(ISNUMBER(O10),ISNUMBER(P10)),O10+P10,"SEM BASE")</f>
        <v>34.3108</v>
      </c>
      <c r="S10" s="236" t="str">
        <f>IF(AND(ISNUMBER(R10),ISNUMBER(Q10)),R10+Q10,"SEM BASE")</f>
        <v>SEM BASE</v>
      </c>
      <c r="T10" s="240" t="inlineStr">
        <is>
          <t>PENDENTE</t>
        </is>
      </c>
      <c r="U10" s="241" t="str">
        <f>IF(NOT(ISNUMBER(T10)),"PENDENTE",IF(ISNUMBER(S10),MAX(0,ROUNDUP(S10-T10,0)),IF(ISNUMBER(R10),MAX(0,ROUNDUP(R10-T10,0)),"SEM BASE")))</f>
        <v>PENDENTE</v>
      </c>
      <c r="V10" s="242" t="str">
        <f>IF(NOT(ISNUMBER(T10)),"falta o efetivo disponível",IF(NOT(ISNUMBER(U10)),"SEM BASE",IF(U10&gt;0,IF(ISNUMBER(S10),"contratar","contratar (mínimo, sem a 281)"),IF(ISNUMBER(S10),"tem gente","tem gente para 342 e 343; falta a 281"))))</f>
        <v>falta o efetivo disponível</v>
      </c>
    </row>
    <row r="11">
      <c r="A11" s="110" t="n">
        <v>46357</v>
      </c>
      <c r="B11" s="236">
        <f>'04. PLANO DAS OBRAS'!F13</f>
        <v>43</v>
      </c>
      <c r="C11" s="236">
        <f>'04. PLANO DAS OBRAS'!F14</f>
        <v>39.68</v>
      </c>
      <c r="D11" s="237" t="n">
        <v>22</v>
      </c>
      <c r="E11" s="237" t="n">
        <v>1</v>
      </c>
      <c r="F11" s="238">
        <f>'04. PLANO DAS OBRAS'!F8+'04. PLANO DAS OBRAS'!F10</f>
        <v>83607.92</v>
      </c>
      <c r="G11" s="119" t="n"/>
      <c r="H11" s="115">
        <f>IFERROR(AVERAGEIFS('05. SEMANAS'!$F$5:$F$64,'05. SEMANAS'!$B$5:$B$64,"342",'05. SEMANAS'!$A$5:$A$64,"&gt;="&amp;A11,'05. SEMANAS'!$A$5:$A$64,"&lt;"&amp;EDATE(A11,1)),"")</f>
      </c>
      <c r="I11" s="114">
        <f>IF(G11&lt;&gt;"",G11,H11)</f>
      </c>
      <c r="J11" s="116">
        <f>IF(I11="","",I11-C11)</f>
      </c>
      <c r="K11" s="121" t="n"/>
      <c r="L11" s="101">
        <f>IF(K11="","",K11-F11)</f>
      </c>
      <c r="N11" s="110">
        <f>A11</f>
        <v>46357.0</v>
      </c>
      <c r="O11" s="236">
        <f>B11</f>
        <v>43</v>
      </c>
      <c r="P11" s="236">
        <f>IFERROR(INDEX($B$29:$B$44,MATCH(N11,$A$29:$A$44,0)),"SEM BASE")</f>
        <v>11.3108</v>
      </c>
      <c r="Q11" s="239" t="inlineStr">
        <is>
          <t>SEM BASE</t>
        </is>
      </c>
      <c r="R11" s="236">
        <f>IF(AND(ISNUMBER(O11),ISNUMBER(P11)),O11+P11,"SEM BASE")</f>
        <v>54.3108</v>
      </c>
      <c r="S11" s="236" t="str">
        <f>IF(AND(ISNUMBER(R11),ISNUMBER(Q11)),R11+Q11,"SEM BASE")</f>
        <v>SEM BASE</v>
      </c>
      <c r="T11" s="240" t="inlineStr">
        <is>
          <t>PENDENTE</t>
        </is>
      </c>
      <c r="U11" s="241" t="str">
        <f>IF(NOT(ISNUMBER(T11)),"PENDENTE",IF(ISNUMBER(S11),MAX(0,ROUNDUP(S11-T11,0)),IF(ISNUMBER(R11),MAX(0,ROUNDUP(R11-T11,0)),"SEM BASE")))</f>
        <v>PENDENTE</v>
      </c>
      <c r="V11" s="242" t="str">
        <f>IF(NOT(ISNUMBER(T11)),"falta o efetivo disponível",IF(NOT(ISNUMBER(U11)),"SEM BASE",IF(U11&gt;0,IF(ISNUMBER(S11),"contratar","contratar (mínimo, sem a 281)"),IF(ISNUMBER(S11),"tem gente","tem gente para 342 e 343; falta a 281"))))</f>
        <v>falta o efetivo disponível</v>
      </c>
    </row>
    <row r="12">
      <c r="A12" s="110" t="n">
        <v>46388</v>
      </c>
      <c r="B12" s="236">
        <f>'04. PLANO DAS OBRAS'!G13</f>
        <v>27</v>
      </c>
      <c r="C12" s="236">
        <f>'04. PLANO DAS OBRAS'!G14</f>
        <v>21.4</v>
      </c>
      <c r="D12" s="237" t="n">
        <v>20</v>
      </c>
      <c r="E12" s="237" t="n">
        <v>1</v>
      </c>
      <c r="F12" s="238">
        <f>'04. PLANO DAS OBRAS'!G8+'04. PLANO DAS OBRAS'!G10</f>
        <v>395729.49</v>
      </c>
      <c r="G12" s="119" t="n"/>
      <c r="H12" s="115">
        <f>IFERROR(AVERAGEIFS('05. SEMANAS'!$F$5:$F$64,'05. SEMANAS'!$B$5:$B$64,"342",'05. SEMANAS'!$A$5:$A$64,"&gt;="&amp;A12,'05. SEMANAS'!$A$5:$A$64,"&lt;"&amp;EDATE(A12,1)),"")</f>
      </c>
      <c r="I12" s="114">
        <f>IF(G12&lt;&gt;"",G12,H12)</f>
      </c>
      <c r="J12" s="116">
        <f>IF(I12="","",I12-C12)</f>
      </c>
      <c r="K12" s="121" t="n"/>
      <c r="L12" s="101">
        <f>IF(K12="","",K12-F12)</f>
      </c>
      <c r="N12" s="110">
        <f>A12</f>
        <v>46388.0</v>
      </c>
      <c r="O12" s="236">
        <f>B12</f>
        <v>27</v>
      </c>
      <c r="P12" s="236">
        <f>IFERROR(INDEX($B$29:$B$44,MATCH(N12,$A$29:$A$44,0)),"SEM BASE")</f>
        <v>7.3108</v>
      </c>
      <c r="Q12" s="239" t="inlineStr">
        <is>
          <t>SEM BASE</t>
        </is>
      </c>
      <c r="R12" s="236">
        <f>IF(AND(ISNUMBER(O12),ISNUMBER(P12)),O12+P12,"SEM BASE")</f>
        <v>34.3108</v>
      </c>
      <c r="S12" s="236" t="str">
        <f>IF(AND(ISNUMBER(R12),ISNUMBER(Q12)),R12+Q12,"SEM BASE")</f>
        <v>SEM BASE</v>
      </c>
      <c r="T12" s="240" t="inlineStr">
        <is>
          <t>PENDENTE</t>
        </is>
      </c>
      <c r="U12" s="241" t="str">
        <f>IF(NOT(ISNUMBER(T12)),"PENDENTE",IF(ISNUMBER(S12),MAX(0,ROUNDUP(S12-T12,0)),IF(ISNUMBER(R12),MAX(0,ROUNDUP(R12-T12,0)),"SEM BASE")))</f>
        <v>PENDENTE</v>
      </c>
      <c r="V12" s="242" t="str">
        <f>IF(NOT(ISNUMBER(T12)),"falta o efetivo disponível",IF(NOT(ISNUMBER(U12)),"SEM BASE",IF(U12&gt;0,IF(ISNUMBER(S12),"contratar","contratar (mínimo, sem a 281)"),IF(ISNUMBER(S12),"tem gente","tem gente para 342 e 343; falta a 281"))))</f>
        <v>falta o efetivo disponível</v>
      </c>
    </row>
    <row r="13">
      <c r="A13" s="110" t="n">
        <v>46419</v>
      </c>
      <c r="B13" s="236">
        <f>'04. PLANO DAS OBRAS'!H13</f>
        <v>27</v>
      </c>
      <c r="C13" s="236">
        <f>'04. PLANO DAS OBRAS'!H14</f>
        <v>19.89</v>
      </c>
      <c r="D13" s="237" t="n">
        <v>18</v>
      </c>
      <c r="E13" s="237" t="n">
        <v>1</v>
      </c>
      <c r="F13" s="238">
        <f>'04. PLANO DAS OBRAS'!H8+'04. PLANO DAS OBRAS'!H10</f>
        <v>176763.18</v>
      </c>
      <c r="G13" s="119" t="n"/>
      <c r="H13" s="115">
        <f>IFERROR(AVERAGEIFS('05. SEMANAS'!$F$5:$F$64,'05. SEMANAS'!$B$5:$B$64,"342",'05. SEMANAS'!$A$5:$A$64,"&gt;="&amp;A13,'05. SEMANAS'!$A$5:$A$64,"&lt;"&amp;EDATE(A13,1)),"")</f>
      </c>
      <c r="I13" s="114">
        <f>IF(G13&lt;&gt;"",G13,H13)</f>
      </c>
      <c r="J13" s="116">
        <f>IF(I13="","",I13-C13)</f>
      </c>
      <c r="K13" s="121" t="n"/>
      <c r="L13" s="101">
        <f>IF(K13="","",K13-F13)</f>
      </c>
      <c r="N13" s="110">
        <f>A13</f>
        <v>46419.0</v>
      </c>
      <c r="O13" s="236">
        <f>B13</f>
        <v>27</v>
      </c>
      <c r="P13" s="236">
        <f>IFERROR(INDEX($B$29:$B$44,MATCH(N13,$A$29:$A$44,0)),"SEM BASE")</f>
        <v>7.3108</v>
      </c>
      <c r="Q13" s="239" t="inlineStr">
        <is>
          <t>SEM BASE</t>
        </is>
      </c>
      <c r="R13" s="236">
        <f>IF(AND(ISNUMBER(O13),ISNUMBER(P13)),O13+P13,"SEM BASE")</f>
        <v>34.3108</v>
      </c>
      <c r="S13" s="236" t="str">
        <f>IF(AND(ISNUMBER(R13),ISNUMBER(Q13)),R13+Q13,"SEM BASE")</f>
        <v>SEM BASE</v>
      </c>
      <c r="T13" s="240" t="inlineStr">
        <is>
          <t>PENDENTE</t>
        </is>
      </c>
      <c r="U13" s="241" t="str">
        <f>IF(NOT(ISNUMBER(T13)),"PENDENTE",IF(ISNUMBER(S13),MAX(0,ROUNDUP(S13-T13,0)),IF(ISNUMBER(R13),MAX(0,ROUNDUP(R13-T13,0)),"SEM BASE")))</f>
        <v>PENDENTE</v>
      </c>
      <c r="V13" s="242" t="str">
        <f>IF(NOT(ISNUMBER(T13)),"falta o efetivo disponível",IF(NOT(ISNUMBER(U13)),"SEM BASE",IF(U13&gt;0,IF(ISNUMBER(S13),"contratar","contratar (mínimo, sem a 281)"),IF(ISNUMBER(S13),"tem gente","tem gente para 342 e 343; falta a 281"))))</f>
        <v>falta o efetivo disponível</v>
      </c>
    </row>
    <row r="14">
      <c r="A14" s="110" t="n">
        <v>46447</v>
      </c>
      <c r="B14" s="236">
        <f>'04. PLANO DAS OBRAS'!I13</f>
        <v>43</v>
      </c>
      <c r="C14" s="236">
        <f>'04. PLANO DAS OBRAS'!I14</f>
        <v>20.89</v>
      </c>
      <c r="D14" s="237" t="n">
        <v>22</v>
      </c>
      <c r="E14" s="237" t="n">
        <v>1</v>
      </c>
      <c r="F14" s="238">
        <f>'04. PLANO DAS OBRAS'!I8+'04. PLANO DAS OBRAS'!I10</f>
        <v>147157.32</v>
      </c>
      <c r="G14" s="119" t="n"/>
      <c r="H14" s="115">
        <f>IFERROR(AVERAGEIFS('05. SEMANAS'!$F$5:$F$64,'05. SEMANAS'!$B$5:$B$64,"342",'05. SEMANAS'!$A$5:$A$64,"&gt;="&amp;A14,'05. SEMANAS'!$A$5:$A$64,"&lt;"&amp;EDATE(A14,1)),"")</f>
      </c>
      <c r="I14" s="114">
        <f>IF(G14&lt;&gt;"",G14,H14)</f>
      </c>
      <c r="J14" s="116">
        <f>IF(I14="","",I14-C14)</f>
      </c>
      <c r="K14" s="121" t="n"/>
      <c r="L14" s="101">
        <f>IF(K14="","",K14-F14)</f>
      </c>
      <c r="N14" s="110">
        <f>A14</f>
        <v>46447.0</v>
      </c>
      <c r="O14" s="236">
        <f>B14</f>
        <v>43</v>
      </c>
      <c r="P14" s="236">
        <f>IFERROR(INDEX($B$29:$B$44,MATCH(N14,$A$29:$A$44,0)),"SEM BASE")</f>
        <v>7.3108</v>
      </c>
      <c r="Q14" s="239" t="inlineStr">
        <is>
          <t>SEM BASE</t>
        </is>
      </c>
      <c r="R14" s="236">
        <f>IF(AND(ISNUMBER(O14),ISNUMBER(P14)),O14+P14,"SEM BASE")</f>
        <v>50.3108</v>
      </c>
      <c r="S14" s="236" t="str">
        <f>IF(AND(ISNUMBER(R14),ISNUMBER(Q14)),R14+Q14,"SEM BASE")</f>
        <v>SEM BASE</v>
      </c>
      <c r="T14" s="240" t="inlineStr">
        <is>
          <t>PENDENTE</t>
        </is>
      </c>
      <c r="U14" s="241" t="str">
        <f>IF(NOT(ISNUMBER(T14)),"PENDENTE",IF(ISNUMBER(S14),MAX(0,ROUNDUP(S14-T14,0)),IF(ISNUMBER(R14),MAX(0,ROUNDUP(R14-T14,0)),"SEM BASE")))</f>
        <v>PENDENTE</v>
      </c>
      <c r="V14" s="242" t="str">
        <f>IF(NOT(ISNUMBER(T14)),"falta o efetivo disponível",IF(NOT(ISNUMBER(U14)),"SEM BASE",IF(U14&gt;0,IF(ISNUMBER(S14),"contratar","contratar (mínimo, sem a 281)"),IF(ISNUMBER(S14),"tem gente","tem gente para 342 e 343; falta a 281"))))</f>
        <v>falta o efetivo disponível</v>
      </c>
    </row>
    <row r="15">
      <c r="A15" s="110" t="n">
        <v>46478</v>
      </c>
      <c r="B15" s="236">
        <f>'04. PLANO DAS OBRAS'!J13</f>
        <v>34.5</v>
      </c>
      <c r="C15" s="236">
        <f>'04. PLANO DAS OBRAS'!J14</f>
        <v>23.12</v>
      </c>
      <c r="D15" s="237" t="n">
        <v>21</v>
      </c>
      <c r="E15" s="237" t="n">
        <v>1</v>
      </c>
      <c r="F15" s="238">
        <f>'04. PLANO DAS OBRAS'!J8+'04. PLANO DAS OBRAS'!J10</f>
        <v>100127.67</v>
      </c>
      <c r="G15" s="119" t="n"/>
      <c r="H15" s="115">
        <f>IFERROR(AVERAGEIFS('05. SEMANAS'!$F$5:$F$64,'05. SEMANAS'!$B$5:$B$64,"342",'05. SEMANAS'!$A$5:$A$64,"&gt;="&amp;A15,'05. SEMANAS'!$A$5:$A$64,"&lt;"&amp;EDATE(A15,1)),"")</f>
      </c>
      <c r="I15" s="114">
        <f>IF(G15&lt;&gt;"",G15,H15)</f>
      </c>
      <c r="J15" s="116">
        <f>IF(I15="","",I15-C15)</f>
      </c>
      <c r="K15" s="121" t="n"/>
      <c r="L15" s="101">
        <f>IF(K15="","",K15-F15)</f>
      </c>
      <c r="N15" s="110">
        <f>A15</f>
        <v>46478.0</v>
      </c>
      <c r="O15" s="236">
        <f>B15</f>
        <v>34.5</v>
      </c>
      <c r="P15" s="236">
        <f>IFERROR(INDEX($B$29:$B$44,MATCH(N15,$A$29:$A$44,0)),"SEM BASE")</f>
        <v>7.3108</v>
      </c>
      <c r="Q15" s="239" t="inlineStr">
        <is>
          <t>SEM BASE</t>
        </is>
      </c>
      <c r="R15" s="236">
        <f>IF(AND(ISNUMBER(O15),ISNUMBER(P15)),O15+P15,"SEM BASE")</f>
        <v>41.8108</v>
      </c>
      <c r="S15" s="236" t="str">
        <f>IF(AND(ISNUMBER(R15),ISNUMBER(Q15)),R15+Q15,"SEM BASE")</f>
        <v>SEM BASE</v>
      </c>
      <c r="T15" s="240" t="inlineStr">
        <is>
          <t>PENDENTE</t>
        </is>
      </c>
      <c r="U15" s="241" t="str">
        <f>IF(NOT(ISNUMBER(T15)),"PENDENTE",IF(ISNUMBER(S15),MAX(0,ROUNDUP(S15-T15,0)),IF(ISNUMBER(R15),MAX(0,ROUNDUP(R15-T15,0)),"SEM BASE")))</f>
        <v>PENDENTE</v>
      </c>
      <c r="V15" s="242" t="str">
        <f>IF(NOT(ISNUMBER(T15)),"falta o efetivo disponível",IF(NOT(ISNUMBER(U15)),"SEM BASE",IF(U15&gt;0,IF(ISNUMBER(S15),"contratar","contratar (mínimo, sem a 281)"),IF(ISNUMBER(S15),"tem gente","tem gente para 342 e 343; falta a 281"))))</f>
        <v>falta o efetivo disponível</v>
      </c>
    </row>
    <row r="16">
      <c r="A16" s="110" t="n">
        <v>46508</v>
      </c>
      <c r="B16" s="236">
        <f>'04. PLANO DAS OBRAS'!K13</f>
        <v>29.5</v>
      </c>
      <c r="C16" s="236">
        <f>'04. PLANO DAS OBRAS'!K14</f>
        <v>21.39</v>
      </c>
      <c r="D16" s="237" t="n">
        <v>19</v>
      </c>
      <c r="E16" s="237" t="n">
        <v>1</v>
      </c>
      <c r="F16" s="238">
        <f>'04. PLANO DAS OBRAS'!K8+'04. PLANO DAS OBRAS'!K10</f>
        <v>141771.61</v>
      </c>
      <c r="G16" s="119" t="n"/>
      <c r="H16" s="115">
        <f>IFERROR(AVERAGEIFS('05. SEMANAS'!$F$5:$F$64,'05. SEMANAS'!$B$5:$B$64,"342",'05. SEMANAS'!$A$5:$A$64,"&gt;="&amp;A16,'05. SEMANAS'!$A$5:$A$64,"&lt;"&amp;EDATE(A16,1)),"")</f>
      </c>
      <c r="I16" s="114">
        <f>IF(G16&lt;&gt;"",G16,H16)</f>
      </c>
      <c r="J16" s="116">
        <f>IF(I16="","",I16-C16)</f>
      </c>
      <c r="K16" s="121" t="n"/>
      <c r="L16" s="101">
        <f>IF(K16="","",K16-F16)</f>
      </c>
      <c r="N16" s="110">
        <f>A16</f>
        <v>46508.0</v>
      </c>
      <c r="O16" s="236">
        <f>B16</f>
        <v>29.5</v>
      </c>
      <c r="P16" s="236">
        <f>IFERROR(INDEX($B$29:$B$44,MATCH(N16,$A$29:$A$44,0)),"SEM BASE")</f>
        <v>4</v>
      </c>
      <c r="Q16" s="239" t="inlineStr">
        <is>
          <t>SEM BASE</t>
        </is>
      </c>
      <c r="R16" s="236">
        <f>IF(AND(ISNUMBER(O16),ISNUMBER(P16)),O16+P16,"SEM BASE")</f>
        <v>33.5</v>
      </c>
      <c r="S16" s="236" t="str">
        <f>IF(AND(ISNUMBER(R16),ISNUMBER(Q16)),R16+Q16,"SEM BASE")</f>
        <v>SEM BASE</v>
      </c>
      <c r="T16" s="240" t="inlineStr">
        <is>
          <t>PENDENTE</t>
        </is>
      </c>
      <c r="U16" s="241" t="str">
        <f>IF(NOT(ISNUMBER(T16)),"PENDENTE",IF(ISNUMBER(S16),MAX(0,ROUNDUP(S16-T16,0)),IF(ISNUMBER(R16),MAX(0,ROUNDUP(R16-T16,0)),"SEM BASE")))</f>
        <v>PENDENTE</v>
      </c>
      <c r="V16" s="242" t="str">
        <f>IF(NOT(ISNUMBER(T16)),"falta o efetivo disponível",IF(NOT(ISNUMBER(U16)),"SEM BASE",IF(U16&gt;0,IF(ISNUMBER(S16),"contratar","contratar (mínimo, sem a 281)"),IF(ISNUMBER(S16),"tem gente","tem gente para 342 e 343; falta a 281"))))</f>
        <v>falta o efetivo disponível</v>
      </c>
    </row>
    <row r="17">
      <c r="A17" s="110" t="n">
        <v>46539</v>
      </c>
      <c r="B17" s="236">
        <f>'04. PLANO DAS OBRAS'!L13</f>
        <v>31.5</v>
      </c>
      <c r="C17" s="236">
        <f>'04. PLANO DAS OBRAS'!L14</f>
        <v>21.3</v>
      </c>
      <c r="D17" s="237" t="n">
        <v>22</v>
      </c>
      <c r="E17" s="237" t="n">
        <v>1</v>
      </c>
      <c r="F17" s="238">
        <f>'04. PLANO DAS OBRAS'!L8+'04. PLANO DAS OBRAS'!L10</f>
        <v>97210.15</v>
      </c>
      <c r="G17" s="119" t="n"/>
      <c r="H17" s="115">
        <f>IFERROR(AVERAGEIFS('05. SEMANAS'!$F$5:$F$64,'05. SEMANAS'!$B$5:$B$64,"342",'05. SEMANAS'!$A$5:$A$64,"&gt;="&amp;A17,'05. SEMANAS'!$A$5:$A$64,"&lt;"&amp;EDATE(A17,1)),"")</f>
      </c>
      <c r="I17" s="114">
        <f>IF(G17&lt;&gt;"",G17,H17)</f>
      </c>
      <c r="J17" s="116">
        <f>IF(I17="","",I17-C17)</f>
      </c>
      <c r="K17" s="121" t="n"/>
      <c r="L17" s="101">
        <f>IF(K17="","",K17-F17)</f>
      </c>
      <c r="N17" s="110">
        <f>A17</f>
        <v>46539.0</v>
      </c>
      <c r="O17" s="236">
        <f>B17</f>
        <v>31.5</v>
      </c>
      <c r="P17" s="236">
        <f>IFERROR(INDEX($B$29:$B$44,MATCH(N17,$A$29:$A$44,0)),"SEM BASE")</f>
        <v>0</v>
      </c>
      <c r="Q17" s="239" t="inlineStr">
        <is>
          <t>SEM BASE</t>
        </is>
      </c>
      <c r="R17" s="236">
        <f>IF(AND(ISNUMBER(O17),ISNUMBER(P17)),O17+P17,"SEM BASE")</f>
        <v>31.5</v>
      </c>
      <c r="S17" s="236" t="str">
        <f>IF(AND(ISNUMBER(R17),ISNUMBER(Q17)),R17+Q17,"SEM BASE")</f>
        <v>SEM BASE</v>
      </c>
      <c r="T17" s="240" t="inlineStr">
        <is>
          <t>PENDENTE</t>
        </is>
      </c>
      <c r="U17" s="241" t="str">
        <f>IF(NOT(ISNUMBER(T17)),"PENDENTE",IF(ISNUMBER(S17),MAX(0,ROUNDUP(S17-T17,0)),IF(ISNUMBER(R17),MAX(0,ROUNDUP(R17-T17,0)),"SEM BASE")))</f>
        <v>PENDENTE</v>
      </c>
      <c r="V17" s="242" t="str">
        <f>IF(NOT(ISNUMBER(T17)),"falta o efetivo disponível",IF(NOT(ISNUMBER(U17)),"SEM BASE",IF(U17&gt;0,IF(ISNUMBER(S17),"contratar","contratar (mínimo, sem a 281)"),IF(ISNUMBER(S17),"tem gente","tem gente para 342 e 343; falta a 281"))))</f>
        <v>falta o efetivo disponível</v>
      </c>
    </row>
    <row r="18">
      <c r="A18" s="110" t="n">
        <v>46569</v>
      </c>
      <c r="B18" s="236">
        <f>'04. PLANO DAS OBRAS'!M13</f>
        <v>28.5</v>
      </c>
      <c r="C18" s="236">
        <f>'04. PLANO DAS OBRAS'!M14</f>
        <v>17.95</v>
      </c>
      <c r="D18" s="237" t="n">
        <v>22</v>
      </c>
      <c r="E18" s="237" t="n">
        <v>1</v>
      </c>
      <c r="F18" s="238">
        <f>'04. PLANO DAS OBRAS'!M8+'04. PLANO DAS OBRAS'!M10</f>
        <v>163276.85</v>
      </c>
      <c r="G18" s="119" t="n"/>
      <c r="H18" s="115">
        <f>IFERROR(AVERAGEIFS('05. SEMANAS'!$F$5:$F$64,'05. SEMANAS'!$B$5:$B$64,"342",'05. SEMANAS'!$A$5:$A$64,"&gt;="&amp;A18,'05. SEMANAS'!$A$5:$A$64,"&lt;"&amp;EDATE(A18,1)),"")</f>
      </c>
      <c r="I18" s="114">
        <f>IF(G18&lt;&gt;"",G18,H18)</f>
      </c>
      <c r="J18" s="116">
        <f>IF(I18="","",I18-C18)</f>
      </c>
      <c r="K18" s="121" t="n"/>
      <c r="L18" s="101">
        <f>IF(K18="","",K18-F18)</f>
      </c>
      <c r="N18" s="110">
        <f>A18</f>
        <v>46569.0</v>
      </c>
      <c r="O18" s="236">
        <f>B18</f>
        <v>28.5</v>
      </c>
      <c r="P18" s="236">
        <f>IFERROR(INDEX($B$29:$B$44,MATCH(N18,$A$29:$A$44,0)),"SEM BASE")</f>
        <v>0</v>
      </c>
      <c r="Q18" s="239" t="inlineStr">
        <is>
          <t>SEM BASE</t>
        </is>
      </c>
      <c r="R18" s="236">
        <f>IF(AND(ISNUMBER(O18),ISNUMBER(P18)),O18+P18,"SEM BASE")</f>
        <v>28.5</v>
      </c>
      <c r="S18" s="236" t="str">
        <f>IF(AND(ISNUMBER(R18),ISNUMBER(Q18)),R18+Q18,"SEM BASE")</f>
        <v>SEM BASE</v>
      </c>
      <c r="T18" s="240" t="inlineStr">
        <is>
          <t>PENDENTE</t>
        </is>
      </c>
      <c r="U18" s="241" t="str">
        <f>IF(NOT(ISNUMBER(T18)),"PENDENTE",IF(ISNUMBER(S18),MAX(0,ROUNDUP(S18-T18,0)),IF(ISNUMBER(R18),MAX(0,ROUNDUP(R18-T18,0)),"SEM BASE")))</f>
        <v>PENDENTE</v>
      </c>
      <c r="V18" s="242" t="str">
        <f>IF(NOT(ISNUMBER(T18)),"falta o efetivo disponível",IF(NOT(ISNUMBER(U18)),"SEM BASE",IF(U18&gt;0,IF(ISNUMBER(S18),"contratar","contratar (mínimo, sem a 281)"),IF(ISNUMBER(S18),"tem gente","tem gente para 342 e 343; falta a 281"))))</f>
        <v>falta o efetivo disponível</v>
      </c>
    </row>
    <row r="19">
      <c r="A19" s="110" t="n">
        <v>46600</v>
      </c>
      <c r="B19" s="236">
        <f>'04. PLANO DAS OBRAS'!N13</f>
        <v>15</v>
      </c>
      <c r="C19" s="236">
        <f>'04. PLANO DAS OBRAS'!N14</f>
        <v>3.45</v>
      </c>
      <c r="D19" s="237" t="n">
        <v>22</v>
      </c>
      <c r="E19" s="237" t="n">
        <v>0.91</v>
      </c>
      <c r="F19" s="238">
        <f>'04. PLANO DAS OBRAS'!N8+'04. PLANO DAS OBRAS'!N10</f>
        <v>89535.44</v>
      </c>
      <c r="G19" s="119" t="n"/>
      <c r="H19" s="115">
        <f>IFERROR(AVERAGEIFS('05. SEMANAS'!$F$5:$F$64,'05. SEMANAS'!$B$5:$B$64,"342",'05. SEMANAS'!$A$5:$A$64,"&gt;="&amp;A19,'05. SEMANAS'!$A$5:$A$64,"&lt;"&amp;EDATE(A19,1)),"")</f>
      </c>
      <c r="I19" s="114">
        <f>IF(G19&lt;&gt;"",G19,H19)</f>
      </c>
      <c r="J19" s="116">
        <f>IF(I19="","",I19-C19)</f>
      </c>
      <c r="K19" s="121" t="n"/>
      <c r="L19" s="101">
        <f>IF(K19="","",K19-F19)</f>
      </c>
      <c r="N19" s="110">
        <f>A19</f>
        <v>46600.0</v>
      </c>
      <c r="O19" s="236">
        <f>B19</f>
        <v>15</v>
      </c>
      <c r="P19" s="236">
        <f>IFERROR(INDEX($B$29:$B$44,MATCH(N19,$A$29:$A$44,0)),"SEM BASE")</f>
        <v>0</v>
      </c>
      <c r="Q19" s="239" t="inlineStr">
        <is>
          <t>SEM BASE</t>
        </is>
      </c>
      <c r="R19" s="236">
        <f>IF(AND(ISNUMBER(O19),ISNUMBER(P19)),O19+P19,"SEM BASE")</f>
        <v>15</v>
      </c>
      <c r="S19" s="236" t="str">
        <f>IF(AND(ISNUMBER(R19),ISNUMBER(Q19)),R19+Q19,"SEM BASE")</f>
        <v>SEM BASE</v>
      </c>
      <c r="T19" s="240" t="inlineStr">
        <is>
          <t>PENDENTE</t>
        </is>
      </c>
      <c r="U19" s="241" t="str">
        <f>IF(NOT(ISNUMBER(T19)),"PENDENTE",IF(ISNUMBER(S19),MAX(0,ROUNDUP(S19-T19,0)),IF(ISNUMBER(R19),MAX(0,ROUNDUP(R19-T19,0)),"SEM BASE")))</f>
        <v>PENDENTE</v>
      </c>
      <c r="V19" s="242" t="str">
        <f>IF(NOT(ISNUMBER(T19)),"falta o efetivo disponível",IF(NOT(ISNUMBER(U19)),"SEM BASE",IF(U19&gt;0,IF(ISNUMBER(S19),"contratar","contratar (mínimo, sem a 281)"),IF(ISNUMBER(S19),"tem gente","tem gente para 342 e 343; falta a 281"))))</f>
        <v>falta o efetivo disponível</v>
      </c>
    </row>
    <row r="20">
      <c r="A20" s="110" t="n">
        <v>46631</v>
      </c>
      <c r="B20" s="236">
        <f>'04. PLANO DAS OBRAS'!O13</f>
        <v>0</v>
      </c>
      <c r="C20" s="236">
        <f>'04. PLANO DAS OBRAS'!O14</f>
        <v>0</v>
      </c>
      <c r="D20" s="237" t="n">
        <v>21</v>
      </c>
      <c r="E20" s="237" t="n">
        <v>0</v>
      </c>
      <c r="F20" s="238">
        <f>'04. PLANO DAS OBRAS'!O8+'04. PLANO DAS OBRAS'!O10</f>
        <v>10894.39</v>
      </c>
      <c r="G20" s="119" t="n"/>
      <c r="H20" s="115">
        <f>IFERROR(AVERAGEIFS('05. SEMANAS'!$F$5:$F$64,'05. SEMANAS'!$B$5:$B$64,"342",'05. SEMANAS'!$A$5:$A$64,"&gt;="&amp;A20,'05. SEMANAS'!$A$5:$A$64,"&lt;"&amp;EDATE(A20,1)),"")</f>
      </c>
      <c r="I20" s="114">
        <f>IF(G20&lt;&gt;"",G20,H20)</f>
      </c>
      <c r="J20" s="116">
        <f>IF(I20="","",I20-C20)</f>
      </c>
      <c r="K20" s="121" t="n"/>
      <c r="L20" s="101">
        <f>IF(K20="","",K20-F20)</f>
      </c>
      <c r="N20" s="110">
        <f>A20</f>
        <v>46631.0</v>
      </c>
      <c r="O20" s="236">
        <f>B20</f>
        <v>0</v>
      </c>
      <c r="P20" s="236">
        <f>IFERROR(INDEX($B$29:$B$44,MATCH(N20,$A$29:$A$44,0)),"SEM BASE")</f>
        <v>0</v>
      </c>
      <c r="Q20" s="239" t="inlineStr">
        <is>
          <t>SEM BASE</t>
        </is>
      </c>
      <c r="R20" s="236">
        <f>IF(AND(ISNUMBER(O20),ISNUMBER(P20)),O20+P20,"SEM BASE")</f>
        <v>0</v>
      </c>
      <c r="S20" s="236" t="str">
        <f>IF(AND(ISNUMBER(R20),ISNUMBER(Q20)),R20+Q20,"SEM BASE")</f>
        <v>SEM BASE</v>
      </c>
      <c r="T20" s="240" t="inlineStr">
        <is>
          <t>PENDENTE</t>
        </is>
      </c>
      <c r="U20" s="241" t="str">
        <f>IF(NOT(ISNUMBER(T20)),"PENDENTE",IF(ISNUMBER(S20),MAX(0,ROUNDUP(S20-T20,0)),IF(ISNUMBER(R20),MAX(0,ROUNDUP(R20-T20,0)),"SEM BASE")))</f>
        <v>PENDENTE</v>
      </c>
      <c r="V20" s="242" t="str">
        <f>IF(NOT(ISNUMBER(T20)),"falta o efetivo disponível",IF(NOT(ISNUMBER(U20)),"SEM BASE",IF(U20&gt;0,IF(ISNUMBER(S20),"contratar","contratar (mínimo, sem a 281)"),IF(ISNUMBER(S20),"tem gente","tem gente para 342 e 343; falta a 281"))))</f>
        <v>falta o efetivo disponível</v>
      </c>
    </row>
    <row r="21">
      <c r="A21" s="110" t="n">
        <v>46661</v>
      </c>
      <c r="B21" s="236">
        <f>'04. PLANO DAS OBRAS'!P13</f>
        <v>0</v>
      </c>
      <c r="C21" s="236">
        <f>'04. PLANO DAS OBRAS'!P14</f>
        <v>0</v>
      </c>
      <c r="D21" s="237" t="n">
        <v>20</v>
      </c>
      <c r="E21" s="237" t="n">
        <v>0</v>
      </c>
      <c r="F21" s="238">
        <f>'04. PLANO DAS OBRAS'!P8+'04. PLANO DAS OBRAS'!P10</f>
        <v>0</v>
      </c>
      <c r="G21" s="119" t="n"/>
      <c r="H21" s="115">
        <f>IFERROR(AVERAGEIFS('05. SEMANAS'!$F$5:$F$64,'05. SEMANAS'!$B$5:$B$64,"342",'05. SEMANAS'!$A$5:$A$64,"&gt;="&amp;A21,'05. SEMANAS'!$A$5:$A$64,"&lt;"&amp;EDATE(A21,1)),"")</f>
      </c>
      <c r="I21" s="114">
        <f>IF(G21&lt;&gt;"",G21,H21)</f>
      </c>
      <c r="J21" s="116">
        <f>IF(I21="","",I21-C21)</f>
      </c>
      <c r="K21" s="121" t="n"/>
      <c r="L21" s="101">
        <f>IF(K21="","",K21-F21)</f>
      </c>
      <c r="N21" s="110">
        <f>A21</f>
        <v>46661.0</v>
      </c>
      <c r="O21" s="236">
        <f>B21</f>
        <v>0</v>
      </c>
      <c r="P21" s="236">
        <f>IFERROR(INDEX($B$29:$B$44,MATCH(N21,$A$29:$A$44,0)),"SEM BASE")</f>
        <v>0</v>
      </c>
      <c r="Q21" s="239" t="inlineStr">
        <is>
          <t>SEM BASE</t>
        </is>
      </c>
      <c r="R21" s="236">
        <f>IF(AND(ISNUMBER(O21),ISNUMBER(P21)),O21+P21,"SEM BASE")</f>
        <v>0</v>
      </c>
      <c r="S21" s="236" t="str">
        <f>IF(AND(ISNUMBER(R21),ISNUMBER(Q21)),R21+Q21,"SEM BASE")</f>
        <v>SEM BASE</v>
      </c>
      <c r="T21" s="240" t="inlineStr">
        <is>
          <t>PENDENTE</t>
        </is>
      </c>
      <c r="U21" s="241" t="str">
        <f>IF(NOT(ISNUMBER(T21)),"PENDENTE",IF(ISNUMBER(S21),MAX(0,ROUNDUP(S21-T21,0)),IF(ISNUMBER(R21),MAX(0,ROUNDUP(R21-T21,0)),"SEM BASE")))</f>
        <v>PENDENTE</v>
      </c>
      <c r="V21" s="242" t="str">
        <f>IF(NOT(ISNUMBER(T21)),"falta o efetivo disponível",IF(NOT(ISNUMBER(U21)),"SEM BASE",IF(U21&gt;0,IF(ISNUMBER(S21),"contratar","contratar (mínimo, sem a 281)"),IF(ISNUMBER(S21),"tem gente","tem gente para 342 e 343; falta a 281"))))</f>
        <v>falta o efetivo disponível</v>
      </c>
    </row>
    <row r="22">
      <c r="A22" s="110" t="n">
        <v>46692</v>
      </c>
      <c r="B22" s="236">
        <f>'04. PLANO DAS OBRAS'!Q13</f>
        <v>0</v>
      </c>
      <c r="C22" s="236">
        <f>'04. PLANO DAS OBRAS'!Q14</f>
        <v>0</v>
      </c>
      <c r="D22" s="237" t="n">
        <v>19</v>
      </c>
      <c r="E22" s="237" t="n">
        <v>0</v>
      </c>
      <c r="F22" s="238">
        <f>'04. PLANO DAS OBRAS'!Q8+'04. PLANO DAS OBRAS'!Q10</f>
        <v>0</v>
      </c>
      <c r="G22" s="119" t="n"/>
      <c r="H22" s="115">
        <f>IFERROR(AVERAGEIFS('05. SEMANAS'!$F$5:$F$64,'05. SEMANAS'!$B$5:$B$64,"342",'05. SEMANAS'!$A$5:$A$64,"&gt;="&amp;A22,'05. SEMANAS'!$A$5:$A$64,"&lt;"&amp;EDATE(A22,1)),"")</f>
      </c>
      <c r="I22" s="114">
        <f>IF(G22&lt;&gt;"",G22,H22)</f>
      </c>
      <c r="J22" s="116">
        <f>IF(I22="","",I22-C22)</f>
      </c>
      <c r="K22" s="121" t="n"/>
      <c r="L22" s="101">
        <f>IF(K22="","",K22-F22)</f>
      </c>
      <c r="N22" s="110">
        <f>A22</f>
        <v>46692.0</v>
      </c>
      <c r="O22" s="236">
        <f>B22</f>
        <v>0</v>
      </c>
      <c r="P22" s="236">
        <f>IFERROR(INDEX($B$29:$B$44,MATCH(N22,$A$29:$A$44,0)),"SEM BASE")</f>
        <v>0</v>
      </c>
      <c r="Q22" s="239" t="inlineStr">
        <is>
          <t>SEM BASE</t>
        </is>
      </c>
      <c r="R22" s="236">
        <f>IF(AND(ISNUMBER(O22),ISNUMBER(P22)),O22+P22,"SEM BASE")</f>
        <v>0</v>
      </c>
      <c r="S22" s="236" t="str">
        <f>IF(AND(ISNUMBER(R22),ISNUMBER(Q22)),R22+Q22,"SEM BASE")</f>
        <v>SEM BASE</v>
      </c>
      <c r="T22" s="240" t="inlineStr">
        <is>
          <t>PENDENTE</t>
        </is>
      </c>
      <c r="U22" s="241" t="str">
        <f>IF(NOT(ISNUMBER(T22)),"PENDENTE",IF(ISNUMBER(S22),MAX(0,ROUNDUP(S22-T22,0)),IF(ISNUMBER(R22),MAX(0,ROUNDUP(R22-T22,0)),"SEM BASE")))</f>
        <v>PENDENTE</v>
      </c>
      <c r="V22" s="242" t="str">
        <f>IF(NOT(ISNUMBER(T22)),"falta o efetivo disponível",IF(NOT(ISNUMBER(U22)),"SEM BASE",IF(U22&gt;0,IF(ISNUMBER(S22),"contratar","contratar (mínimo, sem a 281)"),IF(ISNUMBER(S22),"tem gente","tem gente para 342 e 343; falta a 281"))))</f>
        <v>falta o efetivo disponível</v>
      </c>
    </row>
    <row r="23">
      <c r="A23" s="110" t="n">
        <v>46722</v>
      </c>
      <c r="B23" s="236">
        <f>'04. PLANO DAS OBRAS'!R13</f>
        <v>0</v>
      </c>
      <c r="C23" s="236">
        <f>'04. PLANO DAS OBRAS'!R14</f>
        <v>0</v>
      </c>
      <c r="D23" s="237" t="n">
        <v>23</v>
      </c>
      <c r="E23" s="237" t="n">
        <v>0</v>
      </c>
      <c r="F23" s="238">
        <f>'04. PLANO DAS OBRAS'!R8+'04. PLANO DAS OBRAS'!R10</f>
        <v>0</v>
      </c>
      <c r="G23" s="118" t="n"/>
      <c r="H23" s="115">
        <f>IFERROR(AVERAGEIFS('05. SEMANAS'!$F$5:$F$64,'05. SEMANAS'!$B$5:$B$64,"342",'05. SEMANAS'!$A$5:$A$64,"&gt;="&amp;A23,'05. SEMANAS'!$A$5:$A$64,"&lt;"&amp;EDATE(A23,1)),"")</f>
      </c>
      <c r="I23" s="114">
        <f>IF(G23&lt;&gt;"",G23,H23)</f>
      </c>
      <c r="J23" s="116">
        <f>IF(I23="","",I23-C23)</f>
      </c>
      <c r="K23" s="120" t="n"/>
      <c r="L23" s="101">
        <f>IF(K23="","",K23-F23)</f>
      </c>
      <c r="N23" s="110">
        <f>A23</f>
        <v>46722.0</v>
      </c>
      <c r="O23" s="236">
        <f>B23</f>
        <v>0</v>
      </c>
      <c r="P23" s="236">
        <f>IFERROR(INDEX($B$29:$B$44,MATCH(N23,$A$29:$A$44,0)),"SEM BASE")</f>
        <v>0</v>
      </c>
      <c r="Q23" s="239" t="inlineStr">
        <is>
          <t>SEM BASE</t>
        </is>
      </c>
      <c r="R23" s="236">
        <f>IF(AND(ISNUMBER(O23),ISNUMBER(P23)),O23+P23,"SEM BASE")</f>
        <v>0</v>
      </c>
      <c r="S23" s="236" t="str">
        <f>IF(AND(ISNUMBER(R23),ISNUMBER(Q23)),R23+Q23,"SEM BASE")</f>
        <v>SEM BASE</v>
      </c>
      <c r="T23" s="240" t="inlineStr">
        <is>
          <t>PENDENTE</t>
        </is>
      </c>
      <c r="U23" s="241" t="str">
        <f>IF(NOT(ISNUMBER(T23)),"PENDENTE",IF(ISNUMBER(S23),MAX(0,ROUNDUP(S23-T23,0)),IF(ISNUMBER(R23),MAX(0,ROUNDUP(R23-T23,0)),"SEM BASE")))</f>
        <v>PENDENTE</v>
      </c>
      <c r="V23" s="242" t="str">
        <f>IF(NOT(ISNUMBER(T23)),"falta o efetivo disponível",IF(NOT(ISNUMBER(U23)),"SEM BASE",IF(U23&gt;0,IF(ISNUMBER(S23),"contratar","contratar (mínimo, sem a 281)"),IF(ISNUMBER(S23),"tem gente","tem gente para 342 e 343; falta a 281"))))</f>
        <v>falta o efetivo disponível</v>
      </c>
    </row>
    <row r="24">
      <c r="A24" s="122" t="inlineStr">
        <is>
          <t>Pico / total</t>
        </is>
      </c>
      <c r="B24" s="123">
        <f>MAX(B8:B23)</f>
        <v>43</v>
      </c>
      <c r="C24" s="124" t="n"/>
      <c r="D24" s="124" t="n"/>
      <c r="E24" s="124" t="n"/>
      <c r="F24" s="125">
        <f>SUM(F8:F23)</f>
        <v>1518326.2</v>
      </c>
      <c r="G24" s="124" t="n"/>
      <c r="H24" s="124" t="n"/>
      <c r="I24" s="124" t="n"/>
      <c r="J24" s="124" t="n"/>
      <c r="K24" s="125" t="str">
        <f>IF(COUNT(K8:K23)=0,"sem lançamento",SUM(K8:K23))</f>
        <v>sem lançamento</v>
      </c>
      <c r="L24" s="124" t="n"/>
      <c r="N24" s="122" t="inlineStr">
        <is>
          <t>Pico</t>
        </is>
      </c>
      <c r="O24" s="123">
        <f>MAX(O8:O23)</f>
        <v>43</v>
      </c>
      <c r="P24" s="123">
        <f>IF(COUNT(P8:P23)=0,"SEM BASE",MAX(P8:P23))</f>
        <v>11.3108</v>
      </c>
      <c r="Q24" s="123" t="str">
        <f>IF(COUNT(Q8:Q23)&lt;16,"SEM BASE",MAX(Q8:Q23))</f>
        <v>SEM BASE</v>
      </c>
      <c r="R24" s="123">
        <f>IF(COUNT(R8:R23)=0,"SEM BASE",MAX(R8:R23))</f>
        <v>54.3108</v>
      </c>
      <c r="S24" s="123" t="str">
        <f>IF(COUNT(S8:S23)&lt;16,"SEM BASE",MAX(S8:S23))</f>
        <v>SEM BASE</v>
      </c>
      <c r="T24" s="18" t="inlineStr">
        <is>
          <t>maior falta</t>
        </is>
      </c>
      <c r="U24" s="243" t="str">
        <f>IF(COUNT(U8:U23)=0,"PENDENTE",MAX(U8:U23))</f>
        <v>PENDENTE</v>
      </c>
    </row>
    <row r="25">
      <c r="N25" s="122" t="inlineStr">
        <is>
          <t>Contratar a partir de</t>
        </is>
      </c>
      <c r="P25" s="244" t="str">
        <f>IF(COUNT(U8:U23)=0,"PENDENTE",IF(COUNTIF(U8:U23,"&gt;0")=0,"nenhum",_xlfn.MINIFS(N8:N23,U8:U23,"&gt;0")))</f>
        <v>PENDENTE</v>
      </c>
    </row>
    <row r="26"/>
    <row r="27">
      <c r="A27" s="80" t="inlineStr">
        <is>
          <t>OBRA 343 CAESB SOBRADINHO: HISTOGRAMA MENSAL</t>
        </is>
      </c>
      <c r="B27" s="80" t="n"/>
      <c r="C27" s="80" t="n"/>
      <c r="D27" s="80" t="n"/>
      <c r="E27" s="80" t="n"/>
      <c r="F27" s="80" t="n"/>
      <c r="G27" s="80" t="n"/>
      <c r="H27" s="80" t="n"/>
      <c r="I27" s="80" t="n"/>
      <c r="J27" s="80" t="n"/>
      <c r="K27" s="80" t="n"/>
      <c r="L27" s="80" t="n"/>
    </row>
    <row r="28" ht="48" customHeight="1" s="71">
      <c r="A28" s="88" t="inlineStr">
        <is>
          <t>Mês</t>
        </is>
      </c>
      <c r="B28" s="88" t="inlineStr">
        <is>
          <t>Pico (pessoas)</t>
        </is>
      </c>
      <c r="C28" s="88" t="inlineStr">
        <is>
          <t>Média (pessoas)</t>
        </is>
      </c>
      <c r="D28" s="88" t="inlineStr">
        <is>
          <t>Dias úteis</t>
        </is>
      </c>
      <c r="E28" s="88" t="inlineStr">
        <is>
          <t>Engenheiros</t>
        </is>
      </c>
      <c r="F28" s="88" t="inlineStr">
        <is>
          <t>MO + equip. previsto (R$)</t>
        </is>
      </c>
      <c r="G28" s="88" t="inlineStr">
        <is>
          <t>Realizado: efetivo médio (digitar)</t>
        </is>
      </c>
      <c r="H28" s="88" t="inlineStr">
        <is>
          <t>Efetivo médio na 05. SEMANAS</t>
        </is>
      </c>
      <c r="I28" s="88" t="inlineStr">
        <is>
          <t>Realizado considerado</t>
        </is>
      </c>
      <c r="J28" s="88" t="inlineStr">
        <is>
          <t>Desvio (pessoas)</t>
        </is>
      </c>
      <c r="K28" s="88" t="inlineStr">
        <is>
          <t>Realizado: MO + equip. (R$, digitar)</t>
        </is>
      </c>
      <c r="L28" s="88" t="inlineStr">
        <is>
          <t>Desvio (R$)</t>
        </is>
      </c>
    </row>
    <row r="29">
      <c r="A29" s="110" t="n">
        <v>46266</v>
      </c>
      <c r="B29" s="112" t="n">
        <v>4</v>
      </c>
      <c r="C29" s="112" t="n">
        <v>4</v>
      </c>
      <c r="D29" s="111" t="n">
        <v>21</v>
      </c>
      <c r="E29" s="111" t="n">
        <v>1</v>
      </c>
      <c r="F29" s="113" t="n">
        <v>55670.76064800002</v>
      </c>
      <c r="G29" s="119" t="n"/>
      <c r="H29" s="115">
        <f>IFERROR(AVERAGEIFS('05. SEMANAS'!$F$5:$F$64,'05. SEMANAS'!$B$5:$B$64,"343",'05. SEMANAS'!$A$5:$A$64,"&gt;="&amp;A29,'05. SEMANAS'!$A$5:$A$64,"&lt;"&amp;EDATE(A29,1)),"")</f>
      </c>
      <c r="I29" s="114">
        <f>IF(G29&lt;&gt;"",G29,H29)</f>
      </c>
      <c r="J29" s="116">
        <f>IF(I29="","",I29-C29)</f>
      </c>
      <c r="K29" s="121" t="n"/>
      <c r="L29" s="101">
        <f>IF(K29="","",K29-F29)</f>
      </c>
    </row>
    <row r="30">
      <c r="A30" s="110" t="n">
        <v>46296</v>
      </c>
      <c r="B30" s="112" t="n">
        <v>11.3108</v>
      </c>
      <c r="C30" s="112" t="n">
        <v>11.3108</v>
      </c>
      <c r="D30" s="111" t="n">
        <v>21</v>
      </c>
      <c r="E30" s="111" t="n">
        <v>1</v>
      </c>
      <c r="F30" s="113" t="n">
        <v>212493.7465459292</v>
      </c>
      <c r="G30" s="119" t="n"/>
      <c r="H30" s="115">
        <f>IFERROR(AVERAGEIFS('05. SEMANAS'!$F$5:$F$64,'05. SEMANAS'!$B$5:$B$64,"343",'05. SEMANAS'!$A$5:$A$64,"&gt;="&amp;A30,'05. SEMANAS'!$A$5:$A$64,"&lt;"&amp;EDATE(A30,1)),"")</f>
      </c>
      <c r="I30" s="114">
        <f>IF(G30&lt;&gt;"",G30,H30)</f>
      </c>
      <c r="J30" s="116">
        <f>IF(I30="","",I30-C30)</f>
      </c>
      <c r="K30" s="121" t="n"/>
      <c r="L30" s="101">
        <f>IF(K30="","",K30-F30)</f>
      </c>
    </row>
    <row r="31">
      <c r="A31" s="110" t="n">
        <v>46327</v>
      </c>
      <c r="B31" s="112" t="n">
        <v>11.3108</v>
      </c>
      <c r="C31" s="112" t="n">
        <v>11.3108</v>
      </c>
      <c r="D31" s="111" t="n">
        <v>18</v>
      </c>
      <c r="E31" s="111" t="n">
        <v>1</v>
      </c>
      <c r="F31" s="113" t="n">
        <v>182137.4970393679</v>
      </c>
      <c r="G31" s="119" t="n"/>
      <c r="H31" s="115">
        <f>IFERROR(AVERAGEIFS('05. SEMANAS'!$F$5:$F$64,'05. SEMANAS'!$B$5:$B$64,"343",'05. SEMANAS'!$A$5:$A$64,"&gt;="&amp;A31,'05. SEMANAS'!$A$5:$A$64,"&lt;"&amp;EDATE(A31,1)),"")</f>
      </c>
      <c r="I31" s="114">
        <f>IF(G31&lt;&gt;"",G31,H31)</f>
      </c>
      <c r="J31" s="116">
        <f>IF(I31="","",I31-C31)</f>
      </c>
      <c r="K31" s="121" t="n"/>
      <c r="L31" s="101">
        <f>IF(K31="","",K31-F31)</f>
      </c>
    </row>
    <row r="32">
      <c r="A32" s="110" t="n">
        <v>46357</v>
      </c>
      <c r="B32" s="112" t="n">
        <v>11.3108</v>
      </c>
      <c r="C32" s="112" t="n">
        <v>7.674436363636364</v>
      </c>
      <c r="D32" s="111" t="n">
        <v>22</v>
      </c>
      <c r="E32" s="111" t="n">
        <v>1</v>
      </c>
      <c r="F32" s="113" t="n">
        <v>96993.9484905406</v>
      </c>
      <c r="G32" s="119" t="n"/>
      <c r="H32" s="115">
        <f>IFERROR(AVERAGEIFS('05. SEMANAS'!$F$5:$F$64,'05. SEMANAS'!$B$5:$B$64,"343",'05. SEMANAS'!$A$5:$A$64,"&gt;="&amp;A32,'05. SEMANAS'!$A$5:$A$64,"&lt;"&amp;EDATE(A32,1)),"")</f>
      </c>
      <c r="I32" s="114">
        <f>IF(G32&lt;&gt;"",G32,H32)</f>
      </c>
      <c r="J32" s="116">
        <f>IF(I32="","",I32-C32)</f>
      </c>
      <c r="K32" s="121" t="n"/>
      <c r="L32" s="101">
        <f>IF(K32="","",K32-F32)</f>
      </c>
    </row>
    <row r="33">
      <c r="A33" s="110" t="n">
        <v>46388</v>
      </c>
      <c r="B33" s="112" t="n">
        <v>7.3108</v>
      </c>
      <c r="C33" s="112" t="n">
        <v>7.3108</v>
      </c>
      <c r="D33" s="111" t="n">
        <v>20</v>
      </c>
      <c r="E33" s="111" t="n">
        <v>1</v>
      </c>
      <c r="F33" s="113" t="n">
        <v>76756.44881949975</v>
      </c>
      <c r="G33" s="119" t="n"/>
      <c r="H33" s="115">
        <f>IFERROR(AVERAGEIFS('05. SEMANAS'!$F$5:$F$64,'05. SEMANAS'!$B$5:$B$64,"343",'05. SEMANAS'!$A$5:$A$64,"&gt;="&amp;A33,'05. SEMANAS'!$A$5:$A$64,"&lt;"&amp;EDATE(A33,1)),"")</f>
      </c>
      <c r="I33" s="114">
        <f>IF(G33&lt;&gt;"",G33,H33)</f>
      </c>
      <c r="J33" s="116">
        <f>IF(I33="","",I33-C33)</f>
      </c>
      <c r="K33" s="121" t="n"/>
      <c r="L33" s="101">
        <f>IF(K33="","",K33-F33)</f>
      </c>
    </row>
    <row r="34">
      <c r="A34" s="110" t="n">
        <v>46419</v>
      </c>
      <c r="B34" s="112" t="n">
        <v>7.3108</v>
      </c>
      <c r="C34" s="112" t="n">
        <v>7.3108</v>
      </c>
      <c r="D34" s="111" t="n">
        <v>18</v>
      </c>
      <c r="E34" s="111" t="n">
        <v>1</v>
      </c>
      <c r="F34" s="113" t="n">
        <v>69080.80393754979</v>
      </c>
      <c r="G34" s="119" t="n"/>
      <c r="H34" s="115">
        <f>IFERROR(AVERAGEIFS('05. SEMANAS'!$F$5:$F$64,'05. SEMANAS'!$B$5:$B$64,"343",'05. SEMANAS'!$A$5:$A$64,"&gt;="&amp;A34,'05. SEMANAS'!$A$5:$A$64,"&lt;"&amp;EDATE(A34,1)),"")</f>
      </c>
      <c r="I34" s="114">
        <f>IF(G34&lt;&gt;"",G34,H34)</f>
      </c>
      <c r="J34" s="116">
        <f>IF(I34="","",I34-C34)</f>
      </c>
      <c r="K34" s="121" t="n"/>
      <c r="L34" s="101">
        <f>IF(K34="","",K34-F34)</f>
      </c>
    </row>
    <row r="35">
      <c r="A35" s="110" t="n">
        <v>46447</v>
      </c>
      <c r="B35" s="112" t="n">
        <v>7.3108</v>
      </c>
      <c r="C35" s="112" t="n">
        <v>7.3108</v>
      </c>
      <c r="D35" s="111" t="n">
        <v>22</v>
      </c>
      <c r="E35" s="111" t="n">
        <v>1</v>
      </c>
      <c r="F35" s="113" t="n">
        <v>84432.09370144972</v>
      </c>
      <c r="G35" s="119" t="n"/>
      <c r="H35" s="115">
        <f>IFERROR(AVERAGEIFS('05. SEMANAS'!$F$5:$F$64,'05. SEMANAS'!$B$5:$B$64,"343",'05. SEMANAS'!$A$5:$A$64,"&gt;="&amp;A35,'05. SEMANAS'!$A$5:$A$64,"&lt;"&amp;EDATE(A35,1)),"")</f>
      </c>
      <c r="I35" s="114">
        <f>IF(G35&lt;&gt;"",G35,H35)</f>
      </c>
      <c r="J35" s="116">
        <f>IF(I35="","",I35-C35)</f>
      </c>
      <c r="K35" s="121" t="n"/>
      <c r="L35" s="101">
        <f>IF(K35="","",K35-F35)</f>
      </c>
    </row>
    <row r="36">
      <c r="A36" s="110" t="n">
        <v>46478</v>
      </c>
      <c r="B36" s="112" t="n">
        <v>7.3108</v>
      </c>
      <c r="C36" s="112" t="n">
        <v>4.472971428571428</v>
      </c>
      <c r="D36" s="111" t="n">
        <v>21</v>
      </c>
      <c r="E36" s="111" t="n">
        <v>1</v>
      </c>
      <c r="F36" s="113" t="n">
        <v>59231.26216406784</v>
      </c>
      <c r="G36" s="119" t="n"/>
      <c r="H36" s="115">
        <f>IFERROR(AVERAGEIFS('05. SEMANAS'!$F$5:$F$64,'05. SEMANAS'!$B$5:$B$64,"343",'05. SEMANAS'!$A$5:$A$64,"&gt;="&amp;A36,'05. SEMANAS'!$A$5:$A$64,"&lt;"&amp;EDATE(A36,1)),"")</f>
      </c>
      <c r="I36" s="114">
        <f>IF(G36&lt;&gt;"",G36,H36)</f>
      </c>
      <c r="J36" s="116">
        <f>IF(I36="","",I36-C36)</f>
      </c>
      <c r="K36" s="121" t="n"/>
      <c r="L36" s="101">
        <f>IF(K36="","",K36-F36)</f>
      </c>
    </row>
    <row r="37">
      <c r="A37" s="110" t="n">
        <v>46508</v>
      </c>
      <c r="B37" s="112" t="n">
        <v>4</v>
      </c>
      <c r="C37" s="112" t="n">
        <v>2.4</v>
      </c>
      <c r="D37" s="111" t="n">
        <v>20</v>
      </c>
      <c r="E37" s="111" t="n">
        <v>1</v>
      </c>
      <c r="F37" s="113" t="n">
        <v>31811.86322742857</v>
      </c>
      <c r="G37" s="119" t="n"/>
      <c r="H37" s="115">
        <f>IFERROR(AVERAGEIFS('05. SEMANAS'!$F$5:$F$64,'05. SEMANAS'!$B$5:$B$64,"343",'05. SEMANAS'!$A$5:$A$64,"&gt;="&amp;A37,'05. SEMANAS'!$A$5:$A$64,"&lt;"&amp;EDATE(A37,1)),"")</f>
      </c>
      <c r="I37" s="114">
        <f>IF(G37&lt;&gt;"",G37,H37)</f>
      </c>
      <c r="J37" s="116">
        <f>IF(I37="","",I37-C37)</f>
      </c>
      <c r="K37" s="121" t="n"/>
      <c r="L37" s="101">
        <f>IF(K37="","",K37-F37)</f>
      </c>
    </row>
    <row r="38">
      <c r="A38" s="110" t="n">
        <v>46539</v>
      </c>
      <c r="B38" s="112" t="n">
        <v>0</v>
      </c>
      <c r="C38" s="112" t="n">
        <v>0</v>
      </c>
      <c r="D38" s="111" t="n">
        <v>22</v>
      </c>
      <c r="E38" s="111" t="n">
        <v>0</v>
      </c>
      <c r="F38" s="113" t="n">
        <v>0</v>
      </c>
      <c r="G38" s="119" t="n"/>
      <c r="H38" s="115">
        <f>IFERROR(AVERAGEIFS('05. SEMANAS'!$F$5:$F$64,'05. SEMANAS'!$B$5:$B$64,"343",'05. SEMANAS'!$A$5:$A$64,"&gt;="&amp;A38,'05. SEMANAS'!$A$5:$A$64,"&lt;"&amp;EDATE(A38,1)),"")</f>
      </c>
      <c r="I38" s="114">
        <f>IF(G38&lt;&gt;"",G38,H38)</f>
      </c>
      <c r="J38" s="116">
        <f>IF(I38="","",I38-C38)</f>
      </c>
      <c r="K38" s="121" t="n"/>
      <c r="L38" s="101">
        <f>IF(K38="","",K38-F38)</f>
      </c>
    </row>
    <row r="39">
      <c r="A39" s="110" t="n">
        <v>46569</v>
      </c>
      <c r="B39" s="112" t="n">
        <v>0</v>
      </c>
      <c r="C39" s="112" t="n">
        <v>0</v>
      </c>
      <c r="D39" s="111" t="n">
        <v>22</v>
      </c>
      <c r="E39" s="111" t="n">
        <v>0</v>
      </c>
      <c r="F39" s="113" t="n">
        <v>0</v>
      </c>
      <c r="G39" s="119" t="n"/>
      <c r="H39" s="115">
        <f>IFERROR(AVERAGEIFS('05. SEMANAS'!$F$5:$F$64,'05. SEMANAS'!$B$5:$B$64,"343",'05. SEMANAS'!$A$5:$A$64,"&gt;="&amp;A39,'05. SEMANAS'!$A$5:$A$64,"&lt;"&amp;EDATE(A39,1)),"")</f>
      </c>
      <c r="I39" s="114">
        <f>IF(G39&lt;&gt;"",G39,H39)</f>
      </c>
      <c r="J39" s="116">
        <f>IF(I39="","",I39-C39)</f>
      </c>
      <c r="K39" s="121" t="n"/>
      <c r="L39" s="101">
        <f>IF(K39="","",K39-F39)</f>
      </c>
    </row>
    <row r="40">
      <c r="A40" s="110" t="n">
        <v>46600</v>
      </c>
      <c r="B40" s="112" t="n">
        <v>0</v>
      </c>
      <c r="C40" s="112" t="n">
        <v>0</v>
      </c>
      <c r="D40" s="111" t="n">
        <v>22</v>
      </c>
      <c r="E40" s="111" t="n">
        <v>0</v>
      </c>
      <c r="F40" s="113" t="n">
        <v>0</v>
      </c>
      <c r="G40" s="119" t="n"/>
      <c r="H40" s="115">
        <f>IFERROR(AVERAGEIFS('05. SEMANAS'!$F$5:$F$64,'05. SEMANAS'!$B$5:$B$64,"343",'05. SEMANAS'!$A$5:$A$64,"&gt;="&amp;A40,'05. SEMANAS'!$A$5:$A$64,"&lt;"&amp;EDATE(A40,1)),"")</f>
      </c>
      <c r="I40" s="114">
        <f>IF(G40&lt;&gt;"",G40,H40)</f>
      </c>
      <c r="J40" s="116">
        <f>IF(I40="","",I40-C40)</f>
      </c>
      <c r="K40" s="121" t="n"/>
      <c r="L40" s="101">
        <f>IF(K40="","",K40-F40)</f>
      </c>
    </row>
    <row r="41">
      <c r="A41" s="110" t="n">
        <v>46631</v>
      </c>
      <c r="B41" s="112" t="n">
        <v>0</v>
      </c>
      <c r="C41" s="112" t="n">
        <v>0</v>
      </c>
      <c r="D41" s="111" t="n">
        <v>21</v>
      </c>
      <c r="E41" s="111" t="n">
        <v>0</v>
      </c>
      <c r="F41" s="113" t="n">
        <v>0</v>
      </c>
      <c r="G41" s="119" t="n"/>
      <c r="H41" s="115">
        <f>IFERROR(AVERAGEIFS('05. SEMANAS'!$F$5:$F$64,'05. SEMANAS'!$B$5:$B$64,"343",'05. SEMANAS'!$A$5:$A$64,"&gt;="&amp;A41,'05. SEMANAS'!$A$5:$A$64,"&lt;"&amp;EDATE(A41,1)),"")</f>
      </c>
      <c r="I41" s="114">
        <f>IF(G41&lt;&gt;"",G41,H41)</f>
      </c>
      <c r="J41" s="116">
        <f>IF(I41="","",I41-C41)</f>
      </c>
      <c r="K41" s="121" t="n"/>
      <c r="L41" s="101">
        <f>IF(K41="","",K41-F41)</f>
      </c>
    </row>
    <row r="42">
      <c r="A42" s="110" t="n">
        <v>46661</v>
      </c>
      <c r="B42" s="112" t="n">
        <v>0</v>
      </c>
      <c r="C42" s="112" t="n">
        <v>0</v>
      </c>
      <c r="D42" s="111" t="n">
        <v>20</v>
      </c>
      <c r="E42" s="111" t="n">
        <v>0</v>
      </c>
      <c r="F42" s="113" t="n">
        <v>0</v>
      </c>
      <c r="G42" s="119" t="n"/>
      <c r="H42" s="115">
        <f>IFERROR(AVERAGEIFS('05. SEMANAS'!$F$5:$F$64,'05. SEMANAS'!$B$5:$B$64,"343",'05. SEMANAS'!$A$5:$A$64,"&gt;="&amp;A42,'05. SEMANAS'!$A$5:$A$64,"&lt;"&amp;EDATE(A42,1)),"")</f>
      </c>
      <c r="I42" s="114">
        <f>IF(G42&lt;&gt;"",G42,H42)</f>
      </c>
      <c r="J42" s="116">
        <f>IF(I42="","",I42-C42)</f>
      </c>
      <c r="K42" s="121" t="n"/>
      <c r="L42" s="101">
        <f>IF(K42="","",K42-F42)</f>
      </c>
    </row>
    <row r="43">
      <c r="A43" s="110" t="n">
        <v>46692</v>
      </c>
      <c r="B43" s="112" t="n">
        <v>0</v>
      </c>
      <c r="C43" s="112" t="n">
        <v>0</v>
      </c>
      <c r="D43" s="111" t="n">
        <v>9</v>
      </c>
      <c r="E43" s="111" t="n">
        <v>0</v>
      </c>
      <c r="F43" s="113" t="n">
        <v>0</v>
      </c>
      <c r="G43" s="119" t="n"/>
      <c r="H43" s="115">
        <f>IFERROR(AVERAGEIFS('05. SEMANAS'!$F$5:$F$64,'05. SEMANAS'!$B$5:$B$64,"343",'05. SEMANAS'!$A$5:$A$64,"&gt;="&amp;A43,'05. SEMANAS'!$A$5:$A$64,"&lt;"&amp;EDATE(A43,1)),"")</f>
      </c>
      <c r="I43" s="114">
        <f>IF(G43&lt;&gt;"",G43,H43)</f>
      </c>
      <c r="J43" s="116">
        <f>IF(I43="","",I43-C43)</f>
      </c>
      <c r="K43" s="121" t="n"/>
      <c r="L43" s="101">
        <f>IF(K43="","",K43-F43)</f>
      </c>
    </row>
    <row r="44">
      <c r="A44" s="110" t="n">
        <v>46722</v>
      </c>
      <c r="B44" s="112" t="n">
        <v>0</v>
      </c>
      <c r="C44" s="112" t="n">
        <v>0</v>
      </c>
      <c r="D44" s="111" t="n">
        <v>0</v>
      </c>
      <c r="E44" s="111" t="n">
        <v>0</v>
      </c>
      <c r="F44" s="113" t="n">
        <v>0</v>
      </c>
      <c r="G44" s="118" t="n"/>
      <c r="H44" s="115">
        <f>IFERROR(AVERAGEIFS('05. SEMANAS'!$F$5:$F$64,'05. SEMANAS'!$B$5:$B$64,"343",'05. SEMANAS'!$A$5:$A$64,"&gt;="&amp;A44,'05. SEMANAS'!$A$5:$A$64,"&lt;"&amp;EDATE(A44,1)),"")</f>
      </c>
      <c r="I44" s="114">
        <f>IF(G44&lt;&gt;"",G44,H44)</f>
      </c>
      <c r="J44" s="116">
        <f>IF(I44="","",I44-C44)</f>
      </c>
      <c r="K44" s="120" t="n"/>
      <c r="L44" s="101">
        <f>IF(K44="","",K44-F44)</f>
      </c>
    </row>
    <row r="45">
      <c r="A45" s="122" t="inlineStr">
        <is>
          <t>Pico / total</t>
        </is>
      </c>
      <c r="B45" s="123">
        <f>MAX(B29:B44)</f>
        <v>11.3108</v>
      </c>
      <c r="C45" s="124" t="n"/>
      <c r="D45" s="124" t="n"/>
      <c r="E45" s="124" t="n"/>
      <c r="F45" s="125">
        <f>SUM(F29:F44)</f>
        <v>868608.424573833</v>
      </c>
      <c r="G45" s="124" t="n"/>
      <c r="H45" s="124" t="n"/>
      <c r="I45" s="124" t="n"/>
      <c r="J45" s="124" t="n"/>
      <c r="K45" s="125" t="str">
        <f>IF(COUNT(K29:K44)=0,"sem lançamento",SUM(K29:K44))</f>
        <v>sem lançamento</v>
      </c>
      <c r="L45" s="124" t="n"/>
    </row>
    <row r="46"/>
    <row r="47"/>
    <row r="48">
      <c r="A48" s="80" t="inlineStr">
        <is>
          <t>OBRA 342 SANEAGO UTR: HISTOGRAMA SEMANAL (semanas de segunda a domingo, 1 a 53; estudo REV13, aba 39)</t>
        </is>
      </c>
      <c r="B48" s="80" t="n"/>
      <c r="C48" s="80" t="n"/>
      <c r="D48" s="80" t="n"/>
      <c r="E48" s="80" t="n"/>
      <c r="F48" s="80" t="n"/>
      <c r="G48" s="80" t="n"/>
      <c r="H48" s="80" t="n"/>
      <c r="I48" s="80" t="n"/>
      <c r="J48" s="80" t="n"/>
      <c r="K48" s="80" t="n"/>
      <c r="L48" s="80" t="n"/>
    </row>
    <row r="49" ht="48" customHeight="1" s="71">
      <c r="A49" s="88" t="inlineStr">
        <is>
          <t>Semana</t>
        </is>
      </c>
      <c r="B49" s="88" t="inlineStr">
        <is>
          <t>Início da semana</t>
        </is>
      </c>
      <c r="C49" s="88" t="inlineStr">
        <is>
          <t>Pico (pessoas)</t>
        </is>
      </c>
      <c r="D49" s="88" t="inlineStr">
        <is>
          <t>Média (pessoas)</t>
        </is>
      </c>
      <c r="E49" s="88" t="inlineStr">
        <is>
          <t>Dias úteis</t>
        </is>
      </c>
      <c r="F49" s="88" t="inlineStr">
        <is>
          <t>Realizado: efetivo médio (digitar)</t>
        </is>
      </c>
      <c r="G49" s="88" t="inlineStr">
        <is>
          <t>Efetivo na 05. SEMANAS</t>
        </is>
      </c>
      <c r="H49" s="88" t="inlineStr">
        <is>
          <t>Realizado considerado</t>
        </is>
      </c>
      <c r="I49" s="88" t="inlineStr">
        <is>
          <t>Desvio (pessoas)</t>
        </is>
      </c>
    </row>
    <row r="50">
      <c r="A50" s="245" t="n">
        <v>1</v>
      </c>
      <c r="B50" s="246" t="n">
        <v>46265</v>
      </c>
      <c r="C50" s="247" t="n">
        <v>1</v>
      </c>
      <c r="D50" s="247" t="n">
        <v>0.5</v>
      </c>
      <c r="E50" s="237" t="n">
        <v>4</v>
      </c>
      <c r="F50" s="119" t="n"/>
      <c r="G50" s="115">
        <f>IFERROR(AVERAGEIFS('05. SEMANAS'!$F$5:$F$64,'05. SEMANAS'!$B$5:$B$64,"342",'05. SEMANAS'!$A$5:$A$64,"&gt;="&amp;B50,'05. SEMANAS'!$A$5:$A$64,"&lt;="&amp;B50+6),"")</f>
      </c>
      <c r="H50" s="114">
        <f>IF(F50&lt;&gt;"",F50,G50)</f>
      </c>
      <c r="I50" s="116">
        <f>IF(H50="","",H50-D50)</f>
      </c>
    </row>
    <row r="51">
      <c r="A51" s="245" t="n">
        <v>2</v>
      </c>
      <c r="B51" s="246" t="n">
        <v>46272</v>
      </c>
      <c r="C51" s="247" t="n">
        <v>1</v>
      </c>
      <c r="D51" s="247" t="n">
        <v>1</v>
      </c>
      <c r="E51" s="237" t="n">
        <v>4</v>
      </c>
      <c r="F51" s="119" t="n"/>
      <c r="G51" s="115">
        <f>IFERROR(AVERAGEIFS('05. SEMANAS'!$F$5:$F$64,'05. SEMANAS'!$B$5:$B$64,"342",'05. SEMANAS'!$A$5:$A$64,"&gt;="&amp;B51,'05. SEMANAS'!$A$5:$A$64,"&lt;="&amp;B51+6),"")</f>
      </c>
      <c r="H51" s="114">
        <f>IF(F51&lt;&gt;"",F51,G51)</f>
      </c>
      <c r="I51" s="116">
        <f>IF(H51="","",H51-D51)</f>
      </c>
    </row>
    <row r="52">
      <c r="A52" s="245" t="n">
        <v>3</v>
      </c>
      <c r="B52" s="246" t="n">
        <v>46279</v>
      </c>
      <c r="C52" s="247" t="n">
        <v>1</v>
      </c>
      <c r="D52" s="247" t="n">
        <v>1</v>
      </c>
      <c r="E52" s="237" t="n">
        <v>5</v>
      </c>
      <c r="F52" s="119" t="n"/>
      <c r="G52" s="115">
        <f>IFERROR(AVERAGEIFS('05. SEMANAS'!$F$5:$F$64,'05. SEMANAS'!$B$5:$B$64,"342",'05. SEMANAS'!$A$5:$A$64,"&gt;="&amp;B52,'05. SEMANAS'!$A$5:$A$64,"&lt;="&amp;B52+6),"")</f>
      </c>
      <c r="H52" s="114">
        <f>IF(F52&lt;&gt;"",F52,G52)</f>
      </c>
      <c r="I52" s="116">
        <f>IF(H52="","",H52-D52)</f>
      </c>
    </row>
    <row r="53">
      <c r="A53" s="245" t="n">
        <v>4</v>
      </c>
      <c r="B53" s="246" t="n">
        <v>46286</v>
      </c>
      <c r="C53" s="247" t="n">
        <v>1</v>
      </c>
      <c r="D53" s="247" t="n">
        <v>1</v>
      </c>
      <c r="E53" s="237" t="n">
        <v>5</v>
      </c>
      <c r="F53" s="119" t="n"/>
      <c r="G53" s="115">
        <f>IFERROR(AVERAGEIFS('05. SEMANAS'!$F$5:$F$64,'05. SEMANAS'!$B$5:$B$64,"342",'05. SEMANAS'!$A$5:$A$64,"&gt;="&amp;B53,'05. SEMANAS'!$A$5:$A$64,"&lt;="&amp;B53+6),"")</f>
      </c>
      <c r="H53" s="114">
        <f>IF(F53&lt;&gt;"",F53,G53)</f>
      </c>
      <c r="I53" s="116">
        <f>IF(H53="","",H53-D53)</f>
      </c>
    </row>
    <row r="54">
      <c r="A54" s="245" t="n">
        <v>5</v>
      </c>
      <c r="B54" s="246" t="n">
        <v>46293</v>
      </c>
      <c r="C54" s="247" t="n">
        <v>1</v>
      </c>
      <c r="D54" s="247" t="n">
        <v>1</v>
      </c>
      <c r="E54" s="237" t="n">
        <v>5</v>
      </c>
      <c r="F54" s="119" t="n"/>
      <c r="G54" s="115">
        <f>IFERROR(AVERAGEIFS('05. SEMANAS'!$F$5:$F$64,'05. SEMANAS'!$B$5:$B$64,"342",'05. SEMANAS'!$A$5:$A$64,"&gt;="&amp;B54,'05. SEMANAS'!$A$5:$A$64,"&lt;="&amp;B54+6),"")</f>
      </c>
      <c r="H54" s="114">
        <f>IF(F54&lt;&gt;"",F54,G54)</f>
      </c>
      <c r="I54" s="116">
        <f>IF(H54="","",H54-D54)</f>
      </c>
    </row>
    <row r="55">
      <c r="A55" s="245" t="n">
        <v>6</v>
      </c>
      <c r="B55" s="246" t="n">
        <v>46300</v>
      </c>
      <c r="C55" s="247" t="n">
        <v>1</v>
      </c>
      <c r="D55" s="247" t="n">
        <v>1</v>
      </c>
      <c r="E55" s="237" t="n">
        <v>5</v>
      </c>
      <c r="F55" s="119" t="n"/>
      <c r="G55" s="115">
        <f>IFERROR(AVERAGEIFS('05. SEMANAS'!$F$5:$F$64,'05. SEMANAS'!$B$5:$B$64,"342",'05. SEMANAS'!$A$5:$A$64,"&gt;="&amp;B55,'05. SEMANAS'!$A$5:$A$64,"&lt;="&amp;B55+6),"")</f>
      </c>
      <c r="H55" s="114">
        <f>IF(F55&lt;&gt;"",F55,G55)</f>
      </c>
      <c r="I55" s="116">
        <f>IF(H55="","",H55-D55)</f>
      </c>
    </row>
    <row r="56">
      <c r="A56" s="245" t="n">
        <v>7</v>
      </c>
      <c r="B56" s="246" t="n">
        <v>46307</v>
      </c>
      <c r="C56" s="247" t="n">
        <v>1</v>
      </c>
      <c r="D56" s="247" t="n">
        <v>1</v>
      </c>
      <c r="E56" s="237" t="n">
        <v>4</v>
      </c>
      <c r="F56" s="119" t="n"/>
      <c r="G56" s="115">
        <f>IFERROR(AVERAGEIFS('05. SEMANAS'!$F$5:$F$64,'05. SEMANAS'!$B$5:$B$64,"342",'05. SEMANAS'!$A$5:$A$64,"&gt;="&amp;B56,'05. SEMANAS'!$A$5:$A$64,"&lt;="&amp;B56+6),"")</f>
      </c>
      <c r="H56" s="114">
        <f>IF(F56&lt;&gt;"",F56,G56)</f>
      </c>
      <c r="I56" s="116">
        <f>IF(H56="","",H56-D56)</f>
      </c>
    </row>
    <row r="57">
      <c r="A57" s="245" t="n">
        <v>8</v>
      </c>
      <c r="B57" s="246" t="n">
        <v>46314</v>
      </c>
      <c r="C57" s="247" t="n">
        <v>23</v>
      </c>
      <c r="D57" s="247" t="n">
        <v>23</v>
      </c>
      <c r="E57" s="237" t="n">
        <v>5</v>
      </c>
      <c r="F57" s="119" t="n"/>
      <c r="G57" s="115">
        <f>IFERROR(AVERAGEIFS('05. SEMANAS'!$F$5:$F$64,'05. SEMANAS'!$B$5:$B$64,"342",'05. SEMANAS'!$A$5:$A$64,"&gt;="&amp;B57,'05. SEMANAS'!$A$5:$A$64,"&lt;="&amp;B57+6),"")</f>
      </c>
      <c r="H57" s="114">
        <f>IF(F57&lt;&gt;"",F57,G57)</f>
      </c>
      <c r="I57" s="116">
        <f>IF(H57="","",H57-D57)</f>
      </c>
    </row>
    <row r="58">
      <c r="A58" s="245" t="n">
        <v>9</v>
      </c>
      <c r="B58" s="246" t="n">
        <v>46321</v>
      </c>
      <c r="C58" s="247" t="n">
        <v>23</v>
      </c>
      <c r="D58" s="247" t="n">
        <v>23</v>
      </c>
      <c r="E58" s="237" t="n">
        <v>5</v>
      </c>
      <c r="F58" s="119" t="n"/>
      <c r="G58" s="115">
        <f>IFERROR(AVERAGEIFS('05. SEMANAS'!$F$5:$F$64,'05. SEMANAS'!$B$5:$B$64,"342",'05. SEMANAS'!$A$5:$A$64,"&gt;="&amp;B58,'05. SEMANAS'!$A$5:$A$64,"&lt;="&amp;B58+6),"")</f>
      </c>
      <c r="H58" s="114">
        <f>IF(F58&lt;&gt;"",F58,G58)</f>
      </c>
      <c r="I58" s="116">
        <f>IF(H58="","",H58-D58)</f>
      </c>
    </row>
    <row r="59">
      <c r="A59" s="245" t="n">
        <v>10</v>
      </c>
      <c r="B59" s="246" t="n">
        <v>46328</v>
      </c>
      <c r="C59" s="247" t="n">
        <v>23</v>
      </c>
      <c r="D59" s="247" t="n">
        <v>19.25</v>
      </c>
      <c r="E59" s="237" t="n">
        <v>4</v>
      </c>
      <c r="F59" s="119" t="n"/>
      <c r="G59" s="115">
        <f>IFERROR(AVERAGEIFS('05. SEMANAS'!$F$5:$F$64,'05. SEMANAS'!$B$5:$B$64,"342",'05. SEMANAS'!$A$5:$A$64,"&gt;="&amp;B59,'05. SEMANAS'!$A$5:$A$64,"&lt;="&amp;B59+6),"")</f>
      </c>
      <c r="H59" s="114">
        <f>IF(F59&lt;&gt;"",F59,G59)</f>
      </c>
      <c r="I59" s="116">
        <f>IF(H59="","",H59-D59)</f>
      </c>
    </row>
    <row r="60">
      <c r="A60" s="245" t="n">
        <v>11</v>
      </c>
      <c r="B60" s="246" t="n">
        <v>46335</v>
      </c>
      <c r="C60" s="247" t="n">
        <v>18</v>
      </c>
      <c r="D60" s="247" t="n">
        <v>18</v>
      </c>
      <c r="E60" s="237" t="n">
        <v>5</v>
      </c>
      <c r="F60" s="119" t="n"/>
      <c r="G60" s="115">
        <f>IFERROR(AVERAGEIFS('05. SEMANAS'!$F$5:$F$64,'05. SEMANAS'!$B$5:$B$64,"342",'05. SEMANAS'!$A$5:$A$64,"&gt;="&amp;B60,'05. SEMANAS'!$A$5:$A$64,"&lt;="&amp;B60+6),"")</f>
      </c>
      <c r="H60" s="114">
        <f>IF(F60&lt;&gt;"",F60,G60)</f>
      </c>
      <c r="I60" s="116">
        <f>IF(H60="","",H60-D60)</f>
      </c>
    </row>
    <row r="61">
      <c r="A61" s="245" t="n">
        <v>12</v>
      </c>
      <c r="B61" s="246" t="n">
        <v>46342</v>
      </c>
      <c r="C61" s="247" t="n">
        <v>18</v>
      </c>
      <c r="D61" s="247" t="n">
        <v>12</v>
      </c>
      <c r="E61" s="237" t="n">
        <v>4</v>
      </c>
      <c r="F61" s="119" t="n"/>
      <c r="G61" s="115">
        <f>IFERROR(AVERAGEIFS('05. SEMANAS'!$F$5:$F$64,'05. SEMANAS'!$B$5:$B$64,"342",'05. SEMANAS'!$A$5:$A$64,"&gt;="&amp;B61,'05. SEMANAS'!$A$5:$A$64,"&lt;="&amp;B61+6),"")</f>
      </c>
      <c r="H61" s="114">
        <f>IF(F61&lt;&gt;"",F61,G61)</f>
      </c>
      <c r="I61" s="116">
        <f>IF(H61="","",H61-D61)</f>
      </c>
    </row>
    <row r="62">
      <c r="A62" s="245" t="n">
        <v>13</v>
      </c>
      <c r="B62" s="246" t="n">
        <v>46349</v>
      </c>
      <c r="C62" s="247" t="n">
        <v>19</v>
      </c>
      <c r="D62" s="247" t="n">
        <v>19</v>
      </c>
      <c r="E62" s="237" t="n">
        <v>5</v>
      </c>
      <c r="F62" s="119" t="n"/>
      <c r="G62" s="115">
        <f>IFERROR(AVERAGEIFS('05. SEMANAS'!$F$5:$F$64,'05. SEMANAS'!$B$5:$B$64,"342",'05. SEMANAS'!$A$5:$A$64,"&gt;="&amp;B62,'05. SEMANAS'!$A$5:$A$64,"&lt;="&amp;B62+6),"")</f>
      </c>
      <c r="H62" s="114">
        <f>IF(F62&lt;&gt;"",F62,G62)</f>
      </c>
      <c r="I62" s="116">
        <f>IF(H62="","",H62-D62)</f>
      </c>
    </row>
    <row r="63">
      <c r="A63" s="245" t="n">
        <v>14</v>
      </c>
      <c r="B63" s="246" t="n">
        <v>46356</v>
      </c>
      <c r="C63" s="247" t="n">
        <v>42</v>
      </c>
      <c r="D63" s="247" t="n">
        <v>36.25</v>
      </c>
      <c r="E63" s="237" t="n">
        <v>4</v>
      </c>
      <c r="F63" s="119" t="n"/>
      <c r="G63" s="115">
        <f>IFERROR(AVERAGEIFS('05. SEMANAS'!$F$5:$F$64,'05. SEMANAS'!$B$5:$B$64,"342",'05. SEMANAS'!$A$5:$A$64,"&gt;="&amp;B63,'05. SEMANAS'!$A$5:$A$64,"&lt;="&amp;B63+6),"")</f>
      </c>
      <c r="H63" s="114">
        <f>IF(F63&lt;&gt;"",F63,G63)</f>
      </c>
      <c r="I63" s="116">
        <f>IF(H63="","",H63-D63)</f>
      </c>
    </row>
    <row r="64">
      <c r="A64" s="245" t="n">
        <v>15</v>
      </c>
      <c r="B64" s="246" t="n">
        <v>46363</v>
      </c>
      <c r="C64" s="247" t="n">
        <v>42</v>
      </c>
      <c r="D64" s="247" t="n">
        <v>40.2</v>
      </c>
      <c r="E64" s="237" t="n">
        <v>5</v>
      </c>
      <c r="F64" s="119" t="n"/>
      <c r="G64" s="115">
        <f>IFERROR(AVERAGEIFS('05. SEMANAS'!$F$5:$F$64,'05. SEMANAS'!$B$5:$B$64,"342",'05. SEMANAS'!$A$5:$A$64,"&gt;="&amp;B64,'05. SEMANAS'!$A$5:$A$64,"&lt;="&amp;B64+6),"")</f>
      </c>
      <c r="H64" s="114">
        <f>IF(F64&lt;&gt;"",F64,G64)</f>
      </c>
      <c r="I64" s="116">
        <f>IF(H64="","",H64-D64)</f>
      </c>
    </row>
    <row r="65">
      <c r="A65" s="245" t="n">
        <v>16</v>
      </c>
      <c r="B65" s="246" t="n">
        <v>46370</v>
      </c>
      <c r="C65" s="247" t="n">
        <v>43</v>
      </c>
      <c r="D65" s="247" t="n">
        <v>43</v>
      </c>
      <c r="E65" s="237" t="n">
        <v>5</v>
      </c>
      <c r="F65" s="119" t="n"/>
      <c r="G65" s="115">
        <f>IFERROR(AVERAGEIFS('05. SEMANAS'!$F$5:$F$64,'05. SEMANAS'!$B$5:$B$64,"342",'05. SEMANAS'!$A$5:$A$64,"&gt;="&amp;B65,'05. SEMANAS'!$A$5:$A$64,"&lt;="&amp;B65+6),"")</f>
      </c>
      <c r="H65" s="114">
        <f>IF(F65&lt;&gt;"",F65,G65)</f>
      </c>
      <c r="I65" s="116">
        <f>IF(H65="","",H65-D65)</f>
      </c>
    </row>
    <row r="66">
      <c r="A66" s="245" t="n">
        <v>17</v>
      </c>
      <c r="B66" s="246" t="n">
        <v>46377</v>
      </c>
      <c r="C66" s="247" t="n">
        <v>43</v>
      </c>
      <c r="D66" s="247" t="n">
        <v>43</v>
      </c>
      <c r="E66" s="237" t="n">
        <v>4</v>
      </c>
      <c r="F66" s="119" t="n"/>
      <c r="G66" s="115">
        <f>IFERROR(AVERAGEIFS('05. SEMANAS'!$F$5:$F$64,'05. SEMANAS'!$B$5:$B$64,"342",'05. SEMANAS'!$A$5:$A$64,"&gt;="&amp;B66,'05. SEMANAS'!$A$5:$A$64,"&lt;="&amp;B66+6),"")</f>
      </c>
      <c r="H66" s="114">
        <f>IF(F66&lt;&gt;"",F66,G66)</f>
      </c>
      <c r="I66" s="116">
        <f>IF(H66="","",H66-D66)</f>
      </c>
    </row>
    <row r="67">
      <c r="A67" s="245" t="n">
        <v>18</v>
      </c>
      <c r="B67" s="246" t="n">
        <v>46384</v>
      </c>
      <c r="C67" s="247" t="n">
        <v>35</v>
      </c>
      <c r="D67" s="247" t="n">
        <v>35</v>
      </c>
      <c r="E67" s="237" t="n">
        <v>4</v>
      </c>
      <c r="F67" s="119" t="n"/>
      <c r="G67" s="115">
        <f>IFERROR(AVERAGEIFS('05. SEMANAS'!$F$5:$F$64,'05. SEMANAS'!$B$5:$B$64,"342",'05. SEMANAS'!$A$5:$A$64,"&gt;="&amp;B67,'05. SEMANAS'!$A$5:$A$64,"&lt;="&amp;B67+6),"")</f>
      </c>
      <c r="H67" s="114">
        <f>IF(F67&lt;&gt;"",F67,G67)</f>
      </c>
      <c r="I67" s="116">
        <f>IF(H67="","",H67-D67)</f>
      </c>
    </row>
    <row r="68">
      <c r="A68" s="245" t="n">
        <v>19</v>
      </c>
      <c r="B68" s="246" t="n">
        <v>46391</v>
      </c>
      <c r="C68" s="247" t="n">
        <v>27</v>
      </c>
      <c r="D68" s="247" t="n">
        <v>26.2</v>
      </c>
      <c r="E68" s="237" t="n">
        <v>5</v>
      </c>
      <c r="F68" s="119" t="n"/>
      <c r="G68" s="115">
        <f>IFERROR(AVERAGEIFS('05. SEMANAS'!$F$5:$F$64,'05. SEMANAS'!$B$5:$B$64,"342",'05. SEMANAS'!$A$5:$A$64,"&gt;="&amp;B68,'05. SEMANAS'!$A$5:$A$64,"&lt;="&amp;B68+6),"")</f>
      </c>
      <c r="H68" s="114">
        <f>IF(F68&lt;&gt;"",F68,G68)</f>
      </c>
      <c r="I68" s="116">
        <f>IF(H68="","",H68-D68)</f>
      </c>
    </row>
    <row r="69">
      <c r="A69" s="245" t="n">
        <v>20</v>
      </c>
      <c r="B69" s="246" t="n">
        <v>46398</v>
      </c>
      <c r="C69" s="247" t="n">
        <v>23</v>
      </c>
      <c r="D69" s="247" t="n">
        <v>23</v>
      </c>
      <c r="E69" s="237" t="n">
        <v>5</v>
      </c>
      <c r="F69" s="119" t="n"/>
      <c r="G69" s="115">
        <f>IFERROR(AVERAGEIFS('05. SEMANAS'!$F$5:$F$64,'05. SEMANAS'!$B$5:$B$64,"342",'05. SEMANAS'!$A$5:$A$64,"&gt;="&amp;B69,'05. SEMANAS'!$A$5:$A$64,"&lt;="&amp;B69+6),"")</f>
      </c>
      <c r="H69" s="114">
        <f>IF(F69&lt;&gt;"",F69,G69)</f>
      </c>
      <c r="I69" s="116">
        <f>IF(H69="","",H69-D69)</f>
      </c>
    </row>
    <row r="70">
      <c r="A70" s="245" t="n">
        <v>21</v>
      </c>
      <c r="B70" s="246" t="n">
        <v>46405</v>
      </c>
      <c r="C70" s="247" t="n">
        <v>23</v>
      </c>
      <c r="D70" s="247" t="n">
        <v>18.4</v>
      </c>
      <c r="E70" s="237" t="n">
        <v>5</v>
      </c>
      <c r="F70" s="119" t="n"/>
      <c r="G70" s="115">
        <f>IFERROR(AVERAGEIFS('05. SEMANAS'!$F$5:$F$64,'05. SEMANAS'!$B$5:$B$64,"342",'05. SEMANAS'!$A$5:$A$64,"&gt;="&amp;B70,'05. SEMANAS'!$A$5:$A$64,"&lt;="&amp;B70+6),"")</f>
      </c>
      <c r="H70" s="114">
        <f>IF(F70&lt;&gt;"",F70,G70)</f>
      </c>
      <c r="I70" s="116">
        <f>IF(H70="","",H70-D70)</f>
      </c>
    </row>
    <row r="71">
      <c r="A71" s="245" t="n">
        <v>22</v>
      </c>
      <c r="B71" s="246" t="n">
        <v>46412</v>
      </c>
      <c r="C71" s="247" t="n">
        <v>18</v>
      </c>
      <c r="D71" s="247" t="n">
        <v>18</v>
      </c>
      <c r="E71" s="237" t="n">
        <v>5</v>
      </c>
      <c r="F71" s="119" t="n"/>
      <c r="G71" s="115">
        <f>IFERROR(AVERAGEIFS('05. SEMANAS'!$F$5:$F$64,'05. SEMANAS'!$B$5:$B$64,"342",'05. SEMANAS'!$A$5:$A$64,"&gt;="&amp;B71,'05. SEMANAS'!$A$5:$A$64,"&lt;="&amp;B71+6),"")</f>
      </c>
      <c r="H71" s="114">
        <f>IF(F71&lt;&gt;"",F71,G71)</f>
      </c>
      <c r="I71" s="116">
        <f>IF(H71="","",H71-D71)</f>
      </c>
    </row>
    <row r="72">
      <c r="A72" s="245" t="n">
        <v>23</v>
      </c>
      <c r="B72" s="246" t="n">
        <v>46419</v>
      </c>
      <c r="C72" s="247" t="n">
        <v>18</v>
      </c>
      <c r="D72" s="247" t="n">
        <v>11.6</v>
      </c>
      <c r="E72" s="237" t="n">
        <v>5</v>
      </c>
      <c r="F72" s="119" t="n"/>
      <c r="G72" s="115">
        <f>IFERROR(AVERAGEIFS('05. SEMANAS'!$F$5:$F$64,'05. SEMANAS'!$B$5:$B$64,"342",'05. SEMANAS'!$A$5:$A$64,"&gt;="&amp;B72,'05. SEMANAS'!$A$5:$A$64,"&lt;="&amp;B72+6),"")</f>
      </c>
      <c r="H72" s="114">
        <f>IF(F72&lt;&gt;"",F72,G72)</f>
      </c>
      <c r="I72" s="116">
        <f>IF(H72="","",H72-D72)</f>
      </c>
    </row>
    <row r="73">
      <c r="A73" s="245" t="n">
        <v>24</v>
      </c>
      <c r="B73" s="246" t="n">
        <v>46426</v>
      </c>
      <c r="C73" s="247" t="n">
        <v>10</v>
      </c>
      <c r="D73" s="247" t="n">
        <v>10</v>
      </c>
      <c r="E73" s="237" t="n">
        <v>3</v>
      </c>
      <c r="F73" s="119" t="n"/>
      <c r="G73" s="115">
        <f>IFERROR(AVERAGEIFS('05. SEMANAS'!$F$5:$F$64,'05. SEMANAS'!$B$5:$B$64,"342",'05. SEMANAS'!$A$5:$A$64,"&gt;="&amp;B73,'05. SEMANAS'!$A$5:$A$64,"&lt;="&amp;B73+6),"")</f>
      </c>
      <c r="H73" s="114">
        <f>IF(F73&lt;&gt;"",F73,G73)</f>
      </c>
      <c r="I73" s="116">
        <f>IF(H73="","",H73-D73)</f>
      </c>
    </row>
    <row r="74">
      <c r="A74" s="245" t="n">
        <v>25</v>
      </c>
      <c r="B74" s="246" t="n">
        <v>46433</v>
      </c>
      <c r="C74" s="247" t="n">
        <v>27</v>
      </c>
      <c r="D74" s="247" t="n">
        <v>27</v>
      </c>
      <c r="E74" s="237" t="n">
        <v>5</v>
      </c>
      <c r="F74" s="119" t="n"/>
      <c r="G74" s="115">
        <f>IFERROR(AVERAGEIFS('05. SEMANAS'!$F$5:$F$64,'05. SEMANAS'!$B$5:$B$64,"342",'05. SEMANAS'!$A$5:$A$64,"&gt;="&amp;B74,'05. SEMANAS'!$A$5:$A$64,"&lt;="&amp;B74+6),"")</f>
      </c>
      <c r="H74" s="114">
        <f>IF(F74&lt;&gt;"",F74,G74)</f>
      </c>
      <c r="I74" s="116">
        <f>IF(H74="","",H74-D74)</f>
      </c>
    </row>
    <row r="75">
      <c r="A75" s="245" t="n">
        <v>26</v>
      </c>
      <c r="B75" s="246" t="n">
        <v>46440</v>
      </c>
      <c r="C75" s="247" t="n">
        <v>27</v>
      </c>
      <c r="D75" s="247" t="n">
        <v>27</v>
      </c>
      <c r="E75" s="237" t="n">
        <v>5</v>
      </c>
      <c r="F75" s="119" t="n"/>
      <c r="G75" s="115">
        <f>IFERROR(AVERAGEIFS('05. SEMANAS'!$F$5:$F$64,'05. SEMANAS'!$B$5:$B$64,"342",'05. SEMANAS'!$A$5:$A$64,"&gt;="&amp;B75,'05. SEMANAS'!$A$5:$A$64,"&lt;="&amp;B75+6),"")</f>
      </c>
      <c r="H75" s="114">
        <f>IF(F75&lt;&gt;"",F75,G75)</f>
      </c>
      <c r="I75" s="116">
        <f>IF(H75="","",H75-D75)</f>
      </c>
    </row>
    <row r="76">
      <c r="A76" s="245" t="n">
        <v>27</v>
      </c>
      <c r="B76" s="246" t="n">
        <v>46447</v>
      </c>
      <c r="C76" s="247" t="n">
        <v>27</v>
      </c>
      <c r="D76" s="247" t="n">
        <v>19.2</v>
      </c>
      <c r="E76" s="237" t="n">
        <v>5</v>
      </c>
      <c r="F76" s="119" t="n"/>
      <c r="G76" s="115">
        <f>IFERROR(AVERAGEIFS('05. SEMANAS'!$F$5:$F$64,'05. SEMANAS'!$B$5:$B$64,"342",'05. SEMANAS'!$A$5:$A$64,"&gt;="&amp;B76,'05. SEMANAS'!$A$5:$A$64,"&lt;="&amp;B76+6),"")</f>
      </c>
      <c r="H76" s="114">
        <f>IF(F76&lt;&gt;"",F76,G76)</f>
      </c>
      <c r="I76" s="116">
        <f>IF(H76="","",H76-D76)</f>
      </c>
    </row>
    <row r="77">
      <c r="A77" s="245" t="n">
        <v>28</v>
      </c>
      <c r="B77" s="246" t="n">
        <v>46454</v>
      </c>
      <c r="C77" s="247" t="n">
        <v>10</v>
      </c>
      <c r="D77" s="247" t="n">
        <v>10</v>
      </c>
      <c r="E77" s="237" t="n">
        <v>5</v>
      </c>
      <c r="F77" s="119" t="n"/>
      <c r="G77" s="115">
        <f>IFERROR(AVERAGEIFS('05. SEMANAS'!$F$5:$F$64,'05. SEMANAS'!$B$5:$B$64,"342",'05. SEMANAS'!$A$5:$A$64,"&gt;="&amp;B77,'05. SEMANAS'!$A$5:$A$64,"&lt;="&amp;B77+6),"")</f>
      </c>
      <c r="H77" s="114">
        <f>IF(F77&lt;&gt;"",F77,G77)</f>
      </c>
      <c r="I77" s="116">
        <f>IF(H77="","",H77-D77)</f>
      </c>
    </row>
    <row r="78">
      <c r="A78" s="245" t="n">
        <v>29</v>
      </c>
      <c r="B78" s="246" t="n">
        <v>46461</v>
      </c>
      <c r="C78" s="247" t="n">
        <v>23.5</v>
      </c>
      <c r="D78" s="247" t="n">
        <v>20.8</v>
      </c>
      <c r="E78" s="237" t="n">
        <v>5</v>
      </c>
      <c r="F78" s="119" t="n"/>
      <c r="G78" s="115">
        <f>IFERROR(AVERAGEIFS('05. SEMANAS'!$F$5:$F$64,'05. SEMANAS'!$B$5:$B$64,"342",'05. SEMANAS'!$A$5:$A$64,"&gt;="&amp;B78,'05. SEMANAS'!$A$5:$A$64,"&lt;="&amp;B78+6),"")</f>
      </c>
      <c r="H78" s="114">
        <f>IF(F78&lt;&gt;"",F78,G78)</f>
      </c>
      <c r="I78" s="116">
        <f>IF(H78="","",H78-D78)</f>
      </c>
    </row>
    <row r="79">
      <c r="A79" s="245" t="n">
        <v>30</v>
      </c>
      <c r="B79" s="246" t="n">
        <v>46468</v>
      </c>
      <c r="C79" s="247" t="n">
        <v>23.5</v>
      </c>
      <c r="D79" s="247" t="n">
        <v>23.5</v>
      </c>
      <c r="E79" s="237" t="n">
        <v>4</v>
      </c>
      <c r="F79" s="119" t="n"/>
      <c r="G79" s="115">
        <f>IFERROR(AVERAGEIFS('05. SEMANAS'!$F$5:$F$64,'05. SEMANAS'!$B$5:$B$64,"342",'05. SEMANAS'!$A$5:$A$64,"&gt;="&amp;B79,'05. SEMANAS'!$A$5:$A$64,"&lt;="&amp;B79+6),"")</f>
      </c>
      <c r="H79" s="114">
        <f>IF(F79&lt;&gt;"",F79,G79)</f>
      </c>
      <c r="I79" s="116">
        <f>IF(H79="","",H79-D79)</f>
      </c>
    </row>
    <row r="80">
      <c r="A80" s="245" t="n">
        <v>31</v>
      </c>
      <c r="B80" s="246" t="n">
        <v>46475</v>
      </c>
      <c r="C80" s="247" t="n">
        <v>43</v>
      </c>
      <c r="D80" s="247" t="n">
        <v>34.9</v>
      </c>
      <c r="E80" s="237" t="n">
        <v>5</v>
      </c>
      <c r="F80" s="119" t="n"/>
      <c r="G80" s="115">
        <f>IFERROR(AVERAGEIFS('05. SEMANAS'!$F$5:$F$64,'05. SEMANAS'!$B$5:$B$64,"342",'05. SEMANAS'!$A$5:$A$64,"&gt;="&amp;B80,'05. SEMANAS'!$A$5:$A$64,"&lt;="&amp;B80+6),"")</f>
      </c>
      <c r="H80" s="114">
        <f>IF(F80&lt;&gt;"",F80,G80)</f>
      </c>
      <c r="I80" s="116">
        <f>IF(H80="","",H80-D80)</f>
      </c>
    </row>
    <row r="81">
      <c r="A81" s="245" t="n">
        <v>32</v>
      </c>
      <c r="B81" s="246" t="n">
        <v>46482</v>
      </c>
      <c r="C81" s="247" t="n">
        <v>34.5</v>
      </c>
      <c r="D81" s="247" t="n">
        <v>33.5</v>
      </c>
      <c r="E81" s="237" t="n">
        <v>5</v>
      </c>
      <c r="F81" s="119" t="n"/>
      <c r="G81" s="115">
        <f>IFERROR(AVERAGEIFS('05. SEMANAS'!$F$5:$F$64,'05. SEMANAS'!$B$5:$B$64,"342",'05. SEMANAS'!$A$5:$A$64,"&gt;="&amp;B81,'05. SEMANAS'!$A$5:$A$64,"&lt;="&amp;B81+6),"")</f>
      </c>
      <c r="H81" s="114">
        <f>IF(F81&lt;&gt;"",F81,G81)</f>
      </c>
      <c r="I81" s="116">
        <f>IF(H81="","",H81-D81)</f>
      </c>
    </row>
    <row r="82">
      <c r="A82" s="245" t="n">
        <v>33</v>
      </c>
      <c r="B82" s="246" t="n">
        <v>46489</v>
      </c>
      <c r="C82" s="247" t="n">
        <v>32.5</v>
      </c>
      <c r="D82" s="247" t="n">
        <v>27.3</v>
      </c>
      <c r="E82" s="237" t="n">
        <v>5</v>
      </c>
      <c r="F82" s="119" t="n"/>
      <c r="G82" s="115">
        <f>IFERROR(AVERAGEIFS('05. SEMANAS'!$F$5:$F$64,'05. SEMANAS'!$B$5:$B$64,"342",'05. SEMANAS'!$A$5:$A$64,"&gt;="&amp;B82,'05. SEMANAS'!$A$5:$A$64,"&lt;="&amp;B82+6),"")</f>
      </c>
      <c r="H82" s="114">
        <f>IF(F82&lt;&gt;"",F82,G82)</f>
      </c>
      <c r="I82" s="116">
        <f>IF(H82="","",H82-D82)</f>
      </c>
    </row>
    <row r="83">
      <c r="A83" s="245" t="n">
        <v>34</v>
      </c>
      <c r="B83" s="246" t="n">
        <v>46496</v>
      </c>
      <c r="C83" s="247" t="n">
        <v>21</v>
      </c>
      <c r="D83" s="247" t="n">
        <v>15.38</v>
      </c>
      <c r="E83" s="237" t="n">
        <v>4</v>
      </c>
      <c r="F83" s="119" t="n"/>
      <c r="G83" s="115">
        <f>IFERROR(AVERAGEIFS('05. SEMANAS'!$F$5:$F$64,'05. SEMANAS'!$B$5:$B$64,"342",'05. SEMANAS'!$A$5:$A$64,"&gt;="&amp;B83,'05. SEMANAS'!$A$5:$A$64,"&lt;="&amp;B83+6),"")</f>
      </c>
      <c r="H83" s="114">
        <f>IF(F83&lt;&gt;"",F83,G83)</f>
      </c>
      <c r="I83" s="116">
        <f>IF(H83="","",H83-D83)</f>
      </c>
    </row>
    <row r="84">
      <c r="A84" s="245" t="n">
        <v>35</v>
      </c>
      <c r="B84" s="246" t="n">
        <v>46503</v>
      </c>
      <c r="C84" s="247" t="n">
        <v>17</v>
      </c>
      <c r="D84" s="247" t="n">
        <v>12.2</v>
      </c>
      <c r="E84" s="237" t="n">
        <v>5</v>
      </c>
      <c r="F84" s="119" t="n"/>
      <c r="G84" s="115">
        <f>IFERROR(AVERAGEIFS('05. SEMANAS'!$F$5:$F$64,'05. SEMANAS'!$B$5:$B$64,"342",'05. SEMANAS'!$A$5:$A$64,"&gt;="&amp;B84,'05. SEMANAS'!$A$5:$A$64,"&lt;="&amp;B84+6),"")</f>
      </c>
      <c r="H84" s="114">
        <f>IF(F84&lt;&gt;"",F84,G84)</f>
      </c>
      <c r="I84" s="116">
        <f>IF(H84="","",H84-D84)</f>
      </c>
    </row>
    <row r="85">
      <c r="A85" s="245" t="n">
        <v>36</v>
      </c>
      <c r="B85" s="246" t="n">
        <v>46510</v>
      </c>
      <c r="C85" s="247" t="n">
        <v>29.5</v>
      </c>
      <c r="D85" s="247" t="n">
        <v>29.5</v>
      </c>
      <c r="E85" s="237" t="n">
        <v>5</v>
      </c>
      <c r="F85" s="119" t="n"/>
      <c r="G85" s="115">
        <f>IFERROR(AVERAGEIFS('05. SEMANAS'!$F$5:$F$64,'05. SEMANAS'!$B$5:$B$64,"342",'05. SEMANAS'!$A$5:$A$64,"&gt;="&amp;B85,'05. SEMANAS'!$A$5:$A$64,"&lt;="&amp;B85+6),"")</f>
      </c>
      <c r="H85" s="114">
        <f>IF(F85&lt;&gt;"",F85,G85)</f>
      </c>
      <c r="I85" s="116">
        <f>IF(H85="","",H85-D85)</f>
      </c>
    </row>
    <row r="86">
      <c r="A86" s="245" t="n">
        <v>37</v>
      </c>
      <c r="B86" s="246" t="n">
        <v>46517</v>
      </c>
      <c r="C86" s="247" t="n">
        <v>29.5</v>
      </c>
      <c r="D86" s="247" t="n">
        <v>19.75</v>
      </c>
      <c r="E86" s="237" t="n">
        <v>4</v>
      </c>
      <c r="F86" s="119" t="n"/>
      <c r="G86" s="115">
        <f>IFERROR(AVERAGEIFS('05. SEMANAS'!$F$5:$F$64,'05. SEMANAS'!$B$5:$B$64,"342",'05. SEMANAS'!$A$5:$A$64,"&gt;="&amp;B86,'05. SEMANAS'!$A$5:$A$64,"&lt;="&amp;B86+6),"")</f>
      </c>
      <c r="H86" s="114">
        <f>IF(F86&lt;&gt;"",F86,G86)</f>
      </c>
      <c r="I86" s="116">
        <f>IF(H86="","",H86-D86)</f>
      </c>
    </row>
    <row r="87">
      <c r="A87" s="245" t="n">
        <v>38</v>
      </c>
      <c r="B87" s="246" t="n">
        <v>46524</v>
      </c>
      <c r="C87" s="247" t="n">
        <v>22.5</v>
      </c>
      <c r="D87" s="247" t="n">
        <v>15.5</v>
      </c>
      <c r="E87" s="237" t="n">
        <v>5</v>
      </c>
      <c r="F87" s="119" t="n"/>
      <c r="G87" s="115">
        <f>IFERROR(AVERAGEIFS('05. SEMANAS'!$F$5:$F$64,'05. SEMANAS'!$B$5:$B$64,"342",'05. SEMANAS'!$A$5:$A$64,"&gt;="&amp;B87,'05. SEMANAS'!$A$5:$A$64,"&lt;="&amp;B87+6),"")</f>
      </c>
      <c r="H87" s="114">
        <f>IF(F87&lt;&gt;"",F87,G87)</f>
      </c>
      <c r="I87" s="116">
        <f>IF(H87="","",H87-D87)</f>
      </c>
    </row>
    <row r="88">
      <c r="A88" s="245" t="n">
        <v>39</v>
      </c>
      <c r="B88" s="246" t="n">
        <v>46531</v>
      </c>
      <c r="C88" s="247" t="n">
        <v>20.5</v>
      </c>
      <c r="D88" s="247" t="n">
        <v>20.5</v>
      </c>
      <c r="E88" s="237" t="n">
        <v>4</v>
      </c>
      <c r="F88" s="119" t="n"/>
      <c r="G88" s="115">
        <f>IFERROR(AVERAGEIFS('05. SEMANAS'!$F$5:$F$64,'05. SEMANAS'!$B$5:$B$64,"342",'05. SEMANAS'!$A$5:$A$64,"&gt;="&amp;B88,'05. SEMANAS'!$A$5:$A$64,"&lt;="&amp;B88+6),"")</f>
      </c>
      <c r="H88" s="114">
        <f>IF(F88&lt;&gt;"",F88,G88)</f>
      </c>
      <c r="I88" s="116">
        <f>IF(H88="","",H88-D88)</f>
      </c>
    </row>
    <row r="89">
      <c r="A89" s="245" t="n">
        <v>40</v>
      </c>
      <c r="B89" s="246" t="n">
        <v>46538</v>
      </c>
      <c r="C89" s="247" t="n">
        <v>25</v>
      </c>
      <c r="D89" s="247" t="n">
        <v>21.7</v>
      </c>
      <c r="E89" s="237" t="n">
        <v>5</v>
      </c>
      <c r="F89" s="119" t="n"/>
      <c r="G89" s="115">
        <f>IFERROR(AVERAGEIFS('05. SEMANAS'!$F$5:$F$64,'05. SEMANAS'!$B$5:$B$64,"342",'05. SEMANAS'!$A$5:$A$64,"&gt;="&amp;B89,'05. SEMANAS'!$A$5:$A$64,"&lt;="&amp;B89+6),"")</f>
      </c>
      <c r="H89" s="114">
        <f>IF(F89&lt;&gt;"",F89,G89)</f>
      </c>
      <c r="I89" s="116">
        <f>IF(H89="","",H89-D89)</f>
      </c>
    </row>
    <row r="90">
      <c r="A90" s="245" t="n">
        <v>41</v>
      </c>
      <c r="B90" s="246" t="n">
        <v>46545</v>
      </c>
      <c r="C90" s="247" t="n">
        <v>31.5</v>
      </c>
      <c r="D90" s="247" t="n">
        <v>27</v>
      </c>
      <c r="E90" s="237" t="n">
        <v>5</v>
      </c>
      <c r="F90" s="119" t="n"/>
      <c r="G90" s="115">
        <f>IFERROR(AVERAGEIFS('05. SEMANAS'!$F$5:$F$64,'05. SEMANAS'!$B$5:$B$64,"342",'05. SEMANAS'!$A$5:$A$64,"&gt;="&amp;B90,'05. SEMANAS'!$A$5:$A$64,"&lt;="&amp;B90+6),"")</f>
      </c>
      <c r="H90" s="114">
        <f>IF(F90&lt;&gt;"",F90,G90)</f>
      </c>
      <c r="I90" s="116">
        <f>IF(H90="","",H90-D90)</f>
      </c>
    </row>
    <row r="91">
      <c r="A91" s="245" t="n">
        <v>42</v>
      </c>
      <c r="B91" s="246" t="n">
        <v>46552</v>
      </c>
      <c r="C91" s="247" t="n">
        <v>25</v>
      </c>
      <c r="D91" s="247" t="n">
        <v>19</v>
      </c>
      <c r="E91" s="237" t="n">
        <v>5</v>
      </c>
      <c r="F91" s="119" t="n"/>
      <c r="G91" s="115">
        <f>IFERROR(AVERAGEIFS('05. SEMANAS'!$F$5:$F$64,'05. SEMANAS'!$B$5:$B$64,"342",'05. SEMANAS'!$A$5:$A$64,"&gt;="&amp;B91,'05. SEMANAS'!$A$5:$A$64,"&lt;="&amp;B91+6),"")</f>
      </c>
      <c r="H91" s="114">
        <f>IF(F91&lt;&gt;"",F91,G91)</f>
      </c>
      <c r="I91" s="116">
        <f>IF(H91="","",H91-D91)</f>
      </c>
    </row>
    <row r="92">
      <c r="A92" s="245" t="n">
        <v>43</v>
      </c>
      <c r="B92" s="246" t="n">
        <v>46559</v>
      </c>
      <c r="C92" s="247" t="n">
        <v>27</v>
      </c>
      <c r="D92" s="247" t="n">
        <v>22.3</v>
      </c>
      <c r="E92" s="237" t="n">
        <v>5</v>
      </c>
      <c r="F92" s="119" t="n"/>
      <c r="G92" s="115">
        <f>IFERROR(AVERAGEIFS('05. SEMANAS'!$F$5:$F$64,'05. SEMANAS'!$B$5:$B$64,"342",'05. SEMANAS'!$A$5:$A$64,"&gt;="&amp;B92,'05. SEMANAS'!$A$5:$A$64,"&lt;="&amp;B92+6),"")</f>
      </c>
      <c r="H92" s="114">
        <f>IF(F92&lt;&gt;"",F92,G92)</f>
      </c>
      <c r="I92" s="116">
        <f>IF(H92="","",H92-D92)</f>
      </c>
    </row>
    <row r="93">
      <c r="A93" s="245" t="n">
        <v>44</v>
      </c>
      <c r="B93" s="246" t="n">
        <v>46566</v>
      </c>
      <c r="C93" s="247" t="n">
        <v>13</v>
      </c>
      <c r="D93" s="247" t="n">
        <v>13</v>
      </c>
      <c r="E93" s="237" t="n">
        <v>5</v>
      </c>
      <c r="F93" s="119" t="n"/>
      <c r="G93" s="115">
        <f>IFERROR(AVERAGEIFS('05. SEMANAS'!$F$5:$F$64,'05. SEMANAS'!$B$5:$B$64,"342",'05. SEMANAS'!$A$5:$A$64,"&gt;="&amp;B93,'05. SEMANAS'!$A$5:$A$64,"&lt;="&amp;B93+6),"")</f>
      </c>
      <c r="H93" s="114">
        <f>IF(F93&lt;&gt;"",F93,G93)</f>
      </c>
      <c r="I93" s="116">
        <f>IF(H93="","",H93-D93)</f>
      </c>
    </row>
    <row r="94">
      <c r="A94" s="245" t="n">
        <v>45</v>
      </c>
      <c r="B94" s="246" t="n">
        <v>46573</v>
      </c>
      <c r="C94" s="247" t="n">
        <v>21</v>
      </c>
      <c r="D94" s="247" t="n">
        <v>16.2</v>
      </c>
      <c r="E94" s="237" t="n">
        <v>5</v>
      </c>
      <c r="F94" s="119" t="n"/>
      <c r="G94" s="115">
        <f>IFERROR(AVERAGEIFS('05. SEMANAS'!$F$5:$F$64,'05. SEMANAS'!$B$5:$B$64,"342",'05. SEMANAS'!$A$5:$A$64,"&gt;="&amp;B94,'05. SEMANAS'!$A$5:$A$64,"&lt;="&amp;B94+6),"")</f>
      </c>
      <c r="H94" s="114">
        <f>IF(F94&lt;&gt;"",F94,G94)</f>
      </c>
      <c r="I94" s="116">
        <f>IF(H94="","",H94-D94)</f>
      </c>
    </row>
    <row r="95">
      <c r="A95" s="245" t="n">
        <v>46</v>
      </c>
      <c r="B95" s="246" t="n">
        <v>46580</v>
      </c>
      <c r="C95" s="247" t="n">
        <v>28.5</v>
      </c>
      <c r="D95" s="247" t="n">
        <v>24</v>
      </c>
      <c r="E95" s="237" t="n">
        <v>5</v>
      </c>
      <c r="F95" s="119" t="n"/>
      <c r="G95" s="115">
        <f>IFERROR(AVERAGEIFS('05. SEMANAS'!$F$5:$F$64,'05. SEMANAS'!$B$5:$B$64,"342",'05. SEMANAS'!$A$5:$A$64,"&gt;="&amp;B95,'05. SEMANAS'!$A$5:$A$64,"&lt;="&amp;B95+6),"")</f>
      </c>
      <c r="H95" s="114">
        <f>IF(F95&lt;&gt;"",F95,G95)</f>
      </c>
      <c r="I95" s="116">
        <f>IF(H95="","",H95-D95)</f>
      </c>
    </row>
    <row r="96">
      <c r="A96" s="245" t="n">
        <v>47</v>
      </c>
      <c r="B96" s="246" t="n">
        <v>46587</v>
      </c>
      <c r="C96" s="247" t="n">
        <v>21</v>
      </c>
      <c r="D96" s="247" t="n">
        <v>18.6</v>
      </c>
      <c r="E96" s="237" t="n">
        <v>5</v>
      </c>
      <c r="F96" s="119" t="n"/>
      <c r="G96" s="115">
        <f>IFERROR(AVERAGEIFS('05. SEMANAS'!$F$5:$F$64,'05. SEMANAS'!$B$5:$B$64,"342",'05. SEMANAS'!$A$5:$A$64,"&gt;="&amp;B96,'05. SEMANAS'!$A$5:$A$64,"&lt;="&amp;B96+6),"")</f>
      </c>
      <c r="H96" s="114">
        <f>IF(F96&lt;&gt;"",F96,G96)</f>
      </c>
      <c r="I96" s="116">
        <f>IF(H96="","",H96-D96)</f>
      </c>
    </row>
    <row r="97">
      <c r="A97" s="245" t="n">
        <v>48</v>
      </c>
      <c r="B97" s="246" t="n">
        <v>46594</v>
      </c>
      <c r="C97" s="247" t="n">
        <v>15</v>
      </c>
      <c r="D97" s="247" t="n">
        <v>15</v>
      </c>
      <c r="E97" s="237" t="n">
        <v>5</v>
      </c>
      <c r="F97" s="119" t="n"/>
      <c r="G97" s="115">
        <f>IFERROR(AVERAGEIFS('05. SEMANAS'!$F$5:$F$64,'05. SEMANAS'!$B$5:$B$64,"342",'05. SEMANAS'!$A$5:$A$64,"&gt;="&amp;B97,'05. SEMANAS'!$A$5:$A$64,"&lt;="&amp;B97+6),"")</f>
      </c>
      <c r="H97" s="114">
        <f>IF(F97&lt;&gt;"",F97,G97)</f>
      </c>
      <c r="I97" s="116">
        <f>IF(H97="","",H97-D97)</f>
      </c>
    </row>
    <row r="98">
      <c r="A98" s="245" t="n">
        <v>49</v>
      </c>
      <c r="B98" s="246" t="n">
        <v>46601</v>
      </c>
      <c r="C98" s="247" t="n">
        <v>15</v>
      </c>
      <c r="D98" s="247" t="n">
        <v>12.2</v>
      </c>
      <c r="E98" s="237" t="n">
        <v>5</v>
      </c>
      <c r="F98" s="119" t="n"/>
      <c r="G98" s="115">
        <f>IFERROR(AVERAGEIFS('05. SEMANAS'!$F$5:$F$64,'05. SEMANAS'!$B$5:$B$64,"342",'05. SEMANAS'!$A$5:$A$64,"&gt;="&amp;B98,'05. SEMANAS'!$A$5:$A$64,"&lt;="&amp;B98+6),"")</f>
      </c>
      <c r="H98" s="114">
        <f>IF(F98&lt;&gt;"",F98,G98)</f>
      </c>
      <c r="I98" s="116">
        <f>IF(H98="","",H98-D98)</f>
      </c>
    </row>
    <row r="99">
      <c r="A99" s="245" t="n">
        <v>50</v>
      </c>
      <c r="B99" s="246" t="n">
        <v>46608</v>
      </c>
      <c r="C99" s="247" t="n">
        <v>1</v>
      </c>
      <c r="D99" s="247" t="n">
        <v>1</v>
      </c>
      <c r="E99" s="237" t="n">
        <v>5</v>
      </c>
      <c r="F99" s="119" t="n"/>
      <c r="G99" s="115">
        <f>IFERROR(AVERAGEIFS('05. SEMANAS'!$F$5:$F$64,'05. SEMANAS'!$B$5:$B$64,"342",'05. SEMANAS'!$A$5:$A$64,"&gt;="&amp;B99,'05. SEMANAS'!$A$5:$A$64,"&lt;="&amp;B99+6),"")</f>
      </c>
      <c r="H99" s="114">
        <f>IF(F99&lt;&gt;"",F99,G99)</f>
      </c>
      <c r="I99" s="116">
        <f>IF(H99="","",H99-D99)</f>
      </c>
    </row>
    <row r="100">
      <c r="A100" s="245" t="n">
        <v>51</v>
      </c>
      <c r="B100" s="246" t="n">
        <v>46615</v>
      </c>
      <c r="C100" s="247" t="n">
        <v>1</v>
      </c>
      <c r="D100" s="247" t="n">
        <v>1</v>
      </c>
      <c r="E100" s="237" t="n">
        <v>5</v>
      </c>
      <c r="F100" s="119" t="n"/>
      <c r="G100" s="115">
        <f>IFERROR(AVERAGEIFS('05. SEMANAS'!$F$5:$F$64,'05. SEMANAS'!$B$5:$B$64,"342",'05. SEMANAS'!$A$5:$A$64,"&gt;="&amp;B100,'05. SEMANAS'!$A$5:$A$64,"&lt;="&amp;B100+6),"")</f>
      </c>
      <c r="H100" s="114">
        <f>IF(F100&lt;&gt;"",F100,G100)</f>
      </c>
      <c r="I100" s="116">
        <f>IF(H100="","",H100-D100)</f>
      </c>
    </row>
    <row r="101">
      <c r="A101" s="245" t="n">
        <v>52</v>
      </c>
      <c r="B101" s="246" t="n">
        <v>46622</v>
      </c>
      <c r="C101" s="247" t="n">
        <v>1</v>
      </c>
      <c r="D101" s="247" t="n">
        <v>1</v>
      </c>
      <c r="E101" s="237" t="n">
        <v>5</v>
      </c>
      <c r="F101" s="119" t="n"/>
      <c r="G101" s="115">
        <f>IFERROR(AVERAGEIFS('05. SEMANAS'!$F$5:$F$64,'05. SEMANAS'!$B$5:$B$64,"342",'05. SEMANAS'!$A$5:$A$64,"&gt;="&amp;B101,'05. SEMANAS'!$A$5:$A$64,"&lt;="&amp;B101+6),"")</f>
      </c>
      <c r="H101" s="114">
        <f>IF(F101&lt;&gt;"",F101,G101)</f>
      </c>
      <c r="I101" s="116">
        <f>IF(H101="","",H101-D101)</f>
      </c>
    </row>
    <row r="102">
      <c r="A102" s="245" t="n">
        <v>53</v>
      </c>
      <c r="B102" s="246" t="n">
        <v>46629</v>
      </c>
      <c r="C102" s="247" t="n">
        <v>0</v>
      </c>
      <c r="D102" s="247" t="n">
        <v>0</v>
      </c>
      <c r="E102" s="237" t="n">
        <v>5</v>
      </c>
      <c r="F102" s="119" t="n"/>
      <c r="G102" s="115">
        <f>IFERROR(AVERAGEIFS('05. SEMANAS'!$F$5:$F$64,'05. SEMANAS'!$B$5:$B$64,"342",'05. SEMANAS'!$A$5:$A$64,"&gt;="&amp;B102,'05. SEMANAS'!$A$5:$A$64,"&lt;="&amp;B102+6),"")</f>
      </c>
      <c r="H102" s="114">
        <f>IF(F102&lt;&gt;"",F102,G102)</f>
      </c>
      <c r="I102" s="116">
        <f>IF(H102="","",H102-D102)</f>
      </c>
    </row>
    <row r="103"/>
    <row r="104"/>
    <row r="105">
      <c r="A105" s="80" t="inlineStr">
        <is>
          <t>OBRA 343 CAESB SOBRADINHO: HISTOGRAMA SEMANAL (semanas 1 a 38, até a última com efetivo)</t>
        </is>
      </c>
      <c r="B105" s="80" t="n"/>
      <c r="C105" s="80" t="n"/>
      <c r="D105" s="80" t="n"/>
      <c r="E105" s="80" t="n"/>
      <c r="F105" s="80" t="n"/>
      <c r="G105" s="80" t="n"/>
      <c r="H105" s="80" t="n"/>
      <c r="I105" s="80" t="n"/>
      <c r="J105" s="80" t="n"/>
      <c r="K105" s="80" t="n"/>
      <c r="L105" s="80" t="n"/>
    </row>
    <row r="106" ht="48" customHeight="1" s="71">
      <c r="A106" s="88" t="inlineStr">
        <is>
          <t>Semana</t>
        </is>
      </c>
      <c r="B106" s="88" t="inlineStr">
        <is>
          <t>Início da semana</t>
        </is>
      </c>
      <c r="C106" s="88" t="inlineStr">
        <is>
          <t>Pico (pessoas)</t>
        </is>
      </c>
      <c r="D106" s="88" t="inlineStr">
        <is>
          <t>Média (pessoas)</t>
        </is>
      </c>
      <c r="E106" s="88" t="inlineStr">
        <is>
          <t>Dias úteis</t>
        </is>
      </c>
      <c r="F106" s="88" t="inlineStr">
        <is>
          <t>Realizado: efetivo médio (digitar)</t>
        </is>
      </c>
      <c r="G106" s="88" t="inlineStr">
        <is>
          <t>Efetivo na 05. SEMANAS</t>
        </is>
      </c>
      <c r="H106" s="88" t="inlineStr">
        <is>
          <t>Realizado considerado</t>
        </is>
      </c>
      <c r="I106" s="88" t="inlineStr">
        <is>
          <t>Desvio (pessoas)</t>
        </is>
      </c>
    </row>
    <row r="107">
      <c r="A107" s="126" t="n">
        <v>1</v>
      </c>
      <c r="B107" s="128" t="n">
        <v>46266</v>
      </c>
      <c r="C107" s="112" t="n">
        <v>4</v>
      </c>
      <c r="D107" s="112" t="n">
        <v>4</v>
      </c>
      <c r="E107" s="111" t="n">
        <v>4</v>
      </c>
      <c r="F107" s="119" t="n"/>
      <c r="G107" s="115">
        <f>IFERROR(AVERAGEIFS('05. SEMANAS'!$F$5:$F$64,'05. SEMANAS'!$B$5:$B$64,"343",'05. SEMANAS'!$A$5:$A$64,"&gt;="&amp;B107,'05. SEMANAS'!$A$5:$A$64,"&lt;="&amp;B107+6),"")</f>
      </c>
      <c r="H107" s="114">
        <f>IF(F107&lt;&gt;"",F107,G107)</f>
      </c>
      <c r="I107" s="116">
        <f>IF(H107="","",H107-D107)</f>
      </c>
    </row>
    <row r="108">
      <c r="A108" s="126" t="n">
        <v>2</v>
      </c>
      <c r="B108" s="128" t="n">
        <v>46273</v>
      </c>
      <c r="C108" s="112" t="n">
        <v>4</v>
      </c>
      <c r="D108" s="112" t="n">
        <v>4</v>
      </c>
      <c r="E108" s="111" t="n">
        <v>5</v>
      </c>
      <c r="F108" s="119" t="n"/>
      <c r="G108" s="115">
        <f>IFERROR(AVERAGEIFS('05. SEMANAS'!$F$5:$F$64,'05. SEMANAS'!$B$5:$B$64,"343",'05. SEMANAS'!$A$5:$A$64,"&gt;="&amp;B108,'05. SEMANAS'!$A$5:$A$64,"&lt;="&amp;B108+6),"")</f>
      </c>
      <c r="H108" s="114">
        <f>IF(F108&lt;&gt;"",F108,G108)</f>
      </c>
      <c r="I108" s="116">
        <f>IF(H108="","",H108-D108)</f>
      </c>
    </row>
    <row r="109">
      <c r="A109" s="126" t="n">
        <v>3</v>
      </c>
      <c r="B109" s="128" t="n">
        <v>46280</v>
      </c>
      <c r="C109" s="112" t="n">
        <v>4</v>
      </c>
      <c r="D109" s="112" t="n">
        <v>4</v>
      </c>
      <c r="E109" s="111" t="n">
        <v>5</v>
      </c>
      <c r="F109" s="119" t="n"/>
      <c r="G109" s="115">
        <f>IFERROR(AVERAGEIFS('05. SEMANAS'!$F$5:$F$64,'05. SEMANAS'!$B$5:$B$64,"343",'05. SEMANAS'!$A$5:$A$64,"&gt;="&amp;B109,'05. SEMANAS'!$A$5:$A$64,"&lt;="&amp;B109+6),"")</f>
      </c>
      <c r="H109" s="114">
        <f>IF(F109&lt;&gt;"",F109,G109)</f>
      </c>
      <c r="I109" s="116">
        <f>IF(H109="","",H109-D109)</f>
      </c>
    </row>
    <row r="110">
      <c r="A110" s="126" t="n">
        <v>4</v>
      </c>
      <c r="B110" s="128" t="n">
        <v>46287</v>
      </c>
      <c r="C110" s="112" t="n">
        <v>4</v>
      </c>
      <c r="D110" s="112" t="n">
        <v>4</v>
      </c>
      <c r="E110" s="111" t="n">
        <v>5</v>
      </c>
      <c r="F110" s="119" t="n"/>
      <c r="G110" s="115">
        <f>IFERROR(AVERAGEIFS('05. SEMANAS'!$F$5:$F$64,'05. SEMANAS'!$B$5:$B$64,"343",'05. SEMANAS'!$A$5:$A$64,"&gt;="&amp;B110,'05. SEMANAS'!$A$5:$A$64,"&lt;="&amp;B110+6),"")</f>
      </c>
      <c r="H110" s="114">
        <f>IF(F110&lt;&gt;"",F110,G110)</f>
      </c>
      <c r="I110" s="116">
        <f>IF(H110="","",H110-D110)</f>
      </c>
    </row>
    <row r="111">
      <c r="A111" s="126" t="n">
        <v>5</v>
      </c>
      <c r="B111" s="128" t="n">
        <v>46294</v>
      </c>
      <c r="C111" s="112" t="n">
        <v>11.3108</v>
      </c>
      <c r="D111" s="112" t="n">
        <v>8.386480000000001</v>
      </c>
      <c r="E111" s="111" t="n">
        <v>5</v>
      </c>
      <c r="F111" s="119" t="n"/>
      <c r="G111" s="115">
        <f>IFERROR(AVERAGEIFS('05. SEMANAS'!$F$5:$F$64,'05. SEMANAS'!$B$5:$B$64,"343",'05. SEMANAS'!$A$5:$A$64,"&gt;="&amp;B111,'05. SEMANAS'!$A$5:$A$64,"&lt;="&amp;B111+6),"")</f>
      </c>
      <c r="H111" s="114">
        <f>IF(F111&lt;&gt;"",F111,G111)</f>
      </c>
      <c r="I111" s="116">
        <f>IF(H111="","",H111-D111)</f>
      </c>
    </row>
    <row r="112">
      <c r="A112" s="126" t="n">
        <v>6</v>
      </c>
      <c r="B112" s="128" t="n">
        <v>46301</v>
      </c>
      <c r="C112" s="112" t="n">
        <v>11.3108</v>
      </c>
      <c r="D112" s="112" t="n">
        <v>11.3108</v>
      </c>
      <c r="E112" s="111" t="n">
        <v>4</v>
      </c>
      <c r="F112" s="119" t="n"/>
      <c r="G112" s="115">
        <f>IFERROR(AVERAGEIFS('05. SEMANAS'!$F$5:$F$64,'05. SEMANAS'!$B$5:$B$64,"343",'05. SEMANAS'!$A$5:$A$64,"&gt;="&amp;B112,'05. SEMANAS'!$A$5:$A$64,"&lt;="&amp;B112+6),"")</f>
      </c>
      <c r="H112" s="114">
        <f>IF(F112&lt;&gt;"",F112,G112)</f>
      </c>
      <c r="I112" s="116">
        <f>IF(H112="","",H112-D112)</f>
      </c>
    </row>
    <row r="113">
      <c r="A113" s="126" t="n">
        <v>7</v>
      </c>
      <c r="B113" s="128" t="n">
        <v>46308</v>
      </c>
      <c r="C113" s="112" t="n">
        <v>11.3108</v>
      </c>
      <c r="D113" s="112" t="n">
        <v>11.3108</v>
      </c>
      <c r="E113" s="111" t="n">
        <v>5</v>
      </c>
      <c r="F113" s="119" t="n"/>
      <c r="G113" s="115">
        <f>IFERROR(AVERAGEIFS('05. SEMANAS'!$F$5:$F$64,'05. SEMANAS'!$B$5:$B$64,"343",'05. SEMANAS'!$A$5:$A$64,"&gt;="&amp;B113,'05. SEMANAS'!$A$5:$A$64,"&lt;="&amp;B113+6),"")</f>
      </c>
      <c r="H113" s="114">
        <f>IF(F113&lt;&gt;"",F113,G113)</f>
      </c>
      <c r="I113" s="116">
        <f>IF(H113="","",H113-D113)</f>
      </c>
    </row>
    <row r="114">
      <c r="A114" s="126" t="n">
        <v>8</v>
      </c>
      <c r="B114" s="128" t="n">
        <v>46315</v>
      </c>
      <c r="C114" s="112" t="n">
        <v>11.3108</v>
      </c>
      <c r="D114" s="112" t="n">
        <v>11.3108</v>
      </c>
      <c r="E114" s="111" t="n">
        <v>5</v>
      </c>
      <c r="F114" s="119" t="n"/>
      <c r="G114" s="115">
        <f>IFERROR(AVERAGEIFS('05. SEMANAS'!$F$5:$F$64,'05. SEMANAS'!$B$5:$B$64,"343",'05. SEMANAS'!$A$5:$A$64,"&gt;="&amp;B114,'05. SEMANAS'!$A$5:$A$64,"&lt;="&amp;B114+6),"")</f>
      </c>
      <c r="H114" s="114">
        <f>IF(F114&lt;&gt;"",F114,G114)</f>
      </c>
      <c r="I114" s="116">
        <f>IF(H114="","",H114-D114)</f>
      </c>
    </row>
    <row r="115">
      <c r="A115" s="126" t="n">
        <v>9</v>
      </c>
      <c r="B115" s="128" t="n">
        <v>46322</v>
      </c>
      <c r="C115" s="112" t="n">
        <v>11.3108</v>
      </c>
      <c r="D115" s="112" t="n">
        <v>11.3108</v>
      </c>
      <c r="E115" s="111" t="n">
        <v>4</v>
      </c>
      <c r="F115" s="119" t="n"/>
      <c r="G115" s="115">
        <f>IFERROR(AVERAGEIFS('05. SEMANAS'!$F$5:$F$64,'05. SEMANAS'!$B$5:$B$64,"343",'05. SEMANAS'!$A$5:$A$64,"&gt;="&amp;B115,'05. SEMANAS'!$A$5:$A$64,"&lt;="&amp;B115+6),"")</f>
      </c>
      <c r="H115" s="114">
        <f>IF(F115&lt;&gt;"",F115,G115)</f>
      </c>
      <c r="I115" s="116">
        <f>IF(H115="","",H115-D115)</f>
      </c>
    </row>
    <row r="116">
      <c r="A116" s="126" t="n">
        <v>10</v>
      </c>
      <c r="B116" s="128" t="n">
        <v>46329</v>
      </c>
      <c r="C116" s="112" t="n">
        <v>11.3108</v>
      </c>
      <c r="D116" s="112" t="n">
        <v>11.3108</v>
      </c>
      <c r="E116" s="111" t="n">
        <v>5</v>
      </c>
      <c r="F116" s="119" t="n"/>
      <c r="G116" s="115">
        <f>IFERROR(AVERAGEIFS('05. SEMANAS'!$F$5:$F$64,'05. SEMANAS'!$B$5:$B$64,"343",'05. SEMANAS'!$A$5:$A$64,"&gt;="&amp;B116,'05. SEMANAS'!$A$5:$A$64,"&lt;="&amp;B116+6),"")</f>
      </c>
      <c r="H116" s="114">
        <f>IF(F116&lt;&gt;"",F116,G116)</f>
      </c>
      <c r="I116" s="116">
        <f>IF(H116="","",H116-D116)</f>
      </c>
    </row>
    <row r="117">
      <c r="A117" s="126" t="n">
        <v>11</v>
      </c>
      <c r="B117" s="128" t="n">
        <v>46336</v>
      </c>
      <c r="C117" s="112" t="n">
        <v>11.3108</v>
      </c>
      <c r="D117" s="112" t="n">
        <v>11.3108</v>
      </c>
      <c r="E117" s="111" t="n">
        <v>5</v>
      </c>
      <c r="F117" s="119" t="n"/>
      <c r="G117" s="115">
        <f>IFERROR(AVERAGEIFS('05. SEMANAS'!$F$5:$F$64,'05. SEMANAS'!$B$5:$B$64,"343",'05. SEMANAS'!$A$5:$A$64,"&gt;="&amp;B117,'05. SEMANAS'!$A$5:$A$64,"&lt;="&amp;B117+6),"")</f>
      </c>
      <c r="H117" s="114">
        <f>IF(F117&lt;&gt;"",F117,G117)</f>
      </c>
      <c r="I117" s="116">
        <f>IF(H117="","",H117-D117)</f>
      </c>
    </row>
    <row r="118">
      <c r="A118" s="126" t="n">
        <v>12</v>
      </c>
      <c r="B118" s="128" t="n">
        <v>46343</v>
      </c>
      <c r="C118" s="112" t="n">
        <v>11.3108</v>
      </c>
      <c r="D118" s="112" t="n">
        <v>11.3108</v>
      </c>
      <c r="E118" s="111" t="n">
        <v>4</v>
      </c>
      <c r="F118" s="119" t="n"/>
      <c r="G118" s="115">
        <f>IFERROR(AVERAGEIFS('05. SEMANAS'!$F$5:$F$64,'05. SEMANAS'!$B$5:$B$64,"343",'05. SEMANAS'!$A$5:$A$64,"&gt;="&amp;B118,'05. SEMANAS'!$A$5:$A$64,"&lt;="&amp;B118+6),"")</f>
      </c>
      <c r="H118" s="114">
        <f>IF(F118&lt;&gt;"",F118,G118)</f>
      </c>
      <c r="I118" s="116">
        <f>IF(H118="","",H118-D118)</f>
      </c>
    </row>
    <row r="119">
      <c r="A119" s="126" t="n">
        <v>13</v>
      </c>
      <c r="B119" s="128" t="n">
        <v>46350</v>
      </c>
      <c r="C119" s="112" t="n">
        <v>11.3108</v>
      </c>
      <c r="D119" s="112" t="n">
        <v>11.3108</v>
      </c>
      <c r="E119" s="111" t="n">
        <v>4</v>
      </c>
      <c r="F119" s="119" t="n"/>
      <c r="G119" s="115">
        <f>IFERROR(AVERAGEIFS('05. SEMANAS'!$F$5:$F$64,'05. SEMANAS'!$B$5:$B$64,"343",'05. SEMANAS'!$A$5:$A$64,"&gt;="&amp;B119,'05. SEMANAS'!$A$5:$A$64,"&lt;="&amp;B119+6),"")</f>
      </c>
      <c r="H119" s="114">
        <f>IF(F119&lt;&gt;"",F119,G119)</f>
      </c>
      <c r="I119" s="116">
        <f>IF(H119="","",H119-D119)</f>
      </c>
    </row>
    <row r="120">
      <c r="A120" s="126" t="n">
        <v>14</v>
      </c>
      <c r="B120" s="128" t="n">
        <v>46357</v>
      </c>
      <c r="C120" s="112" t="n">
        <v>11.3108</v>
      </c>
      <c r="D120" s="112" t="n">
        <v>8.9108</v>
      </c>
      <c r="E120" s="111" t="n">
        <v>5</v>
      </c>
      <c r="F120" s="119" t="n"/>
      <c r="G120" s="115">
        <f>IFERROR(AVERAGEIFS('05. SEMANAS'!$F$5:$F$64,'05. SEMANAS'!$B$5:$B$64,"343",'05. SEMANAS'!$A$5:$A$64,"&gt;="&amp;B120,'05. SEMANAS'!$A$5:$A$64,"&lt;="&amp;B120+6),"")</f>
      </c>
      <c r="H120" s="114">
        <f>IF(F120&lt;&gt;"",F120,G120)</f>
      </c>
      <c r="I120" s="116">
        <f>IF(H120="","",H120-D120)</f>
      </c>
    </row>
    <row r="121">
      <c r="A121" s="126" t="n">
        <v>15</v>
      </c>
      <c r="B121" s="128" t="n">
        <v>46364</v>
      </c>
      <c r="C121" s="112" t="n">
        <v>7.3108</v>
      </c>
      <c r="D121" s="112" t="n">
        <v>7.3108</v>
      </c>
      <c r="E121" s="111" t="n">
        <v>5</v>
      </c>
      <c r="F121" s="119" t="n"/>
      <c r="G121" s="115">
        <f>IFERROR(AVERAGEIFS('05. SEMANAS'!$F$5:$F$64,'05. SEMANAS'!$B$5:$B$64,"343",'05. SEMANAS'!$A$5:$A$64,"&gt;="&amp;B121,'05. SEMANAS'!$A$5:$A$64,"&lt;="&amp;B121+6),"")</f>
      </c>
      <c r="H121" s="114">
        <f>IF(F121&lt;&gt;"",F121,G121)</f>
      </c>
      <c r="I121" s="116">
        <f>IF(H121="","",H121-D121)</f>
      </c>
    </row>
    <row r="122">
      <c r="A122" s="126" t="n">
        <v>16</v>
      </c>
      <c r="B122" s="128" t="n">
        <v>46371</v>
      </c>
      <c r="C122" s="112" t="n">
        <v>7.3108</v>
      </c>
      <c r="D122" s="112" t="n">
        <v>7.3108</v>
      </c>
      <c r="E122" s="111" t="n">
        <v>5</v>
      </c>
      <c r="F122" s="119" t="n"/>
      <c r="G122" s="115">
        <f>IFERROR(AVERAGEIFS('05. SEMANAS'!$F$5:$F$64,'05. SEMANAS'!$B$5:$B$64,"343",'05. SEMANAS'!$A$5:$A$64,"&gt;="&amp;B122,'05. SEMANAS'!$A$5:$A$64,"&lt;="&amp;B122+6),"")</f>
      </c>
      <c r="H122" s="114">
        <f>IF(F122&lt;&gt;"",F122,G122)</f>
      </c>
      <c r="I122" s="116">
        <f>IF(H122="","",H122-D122)</f>
      </c>
    </row>
    <row r="123">
      <c r="A123" s="126" t="n">
        <v>17</v>
      </c>
      <c r="B123" s="128" t="n">
        <v>46378</v>
      </c>
      <c r="C123" s="112" t="n">
        <v>7.3108</v>
      </c>
      <c r="D123" s="112" t="n">
        <v>7.3108</v>
      </c>
      <c r="E123" s="111" t="n">
        <v>4</v>
      </c>
      <c r="F123" s="119" t="n"/>
      <c r="G123" s="115">
        <f>IFERROR(AVERAGEIFS('05. SEMANAS'!$F$5:$F$64,'05. SEMANAS'!$B$5:$B$64,"343",'05. SEMANAS'!$A$5:$A$64,"&gt;="&amp;B123,'05. SEMANAS'!$A$5:$A$64,"&lt;="&amp;B123+6),"")</f>
      </c>
      <c r="H123" s="114">
        <f>IF(F123&lt;&gt;"",F123,G123)</f>
      </c>
      <c r="I123" s="116">
        <f>IF(H123="","",H123-D123)</f>
      </c>
    </row>
    <row r="124">
      <c r="A124" s="126" t="n">
        <v>18</v>
      </c>
      <c r="B124" s="128" t="n">
        <v>46385</v>
      </c>
      <c r="C124" s="112" t="n">
        <v>7.3108</v>
      </c>
      <c r="D124" s="112" t="n">
        <v>7.3108</v>
      </c>
      <c r="E124" s="111" t="n">
        <v>4</v>
      </c>
      <c r="F124" s="119" t="n"/>
      <c r="G124" s="115">
        <f>IFERROR(AVERAGEIFS('05. SEMANAS'!$F$5:$F$64,'05. SEMANAS'!$B$5:$B$64,"343",'05. SEMANAS'!$A$5:$A$64,"&gt;="&amp;B124,'05. SEMANAS'!$A$5:$A$64,"&lt;="&amp;B124+6),"")</f>
      </c>
      <c r="H124" s="114">
        <f>IF(F124&lt;&gt;"",F124,G124)</f>
      </c>
      <c r="I124" s="116">
        <f>IF(H124="","",H124-D124)</f>
      </c>
    </row>
    <row r="125">
      <c r="A125" s="126" t="n">
        <v>19</v>
      </c>
      <c r="B125" s="128" t="n">
        <v>46392</v>
      </c>
      <c r="C125" s="112" t="n">
        <v>7.3108</v>
      </c>
      <c r="D125" s="112" t="n">
        <v>7.3108</v>
      </c>
      <c r="E125" s="111" t="n">
        <v>5</v>
      </c>
      <c r="F125" s="119" t="n"/>
      <c r="G125" s="115">
        <f>IFERROR(AVERAGEIFS('05. SEMANAS'!$F$5:$F$64,'05. SEMANAS'!$B$5:$B$64,"343",'05. SEMANAS'!$A$5:$A$64,"&gt;="&amp;B125,'05. SEMANAS'!$A$5:$A$64,"&lt;="&amp;B125+6),"")</f>
      </c>
      <c r="H125" s="114">
        <f>IF(F125&lt;&gt;"",F125,G125)</f>
      </c>
      <c r="I125" s="116">
        <f>IF(H125="","",H125-D125)</f>
      </c>
    </row>
    <row r="126">
      <c r="A126" s="126" t="n">
        <v>20</v>
      </c>
      <c r="B126" s="128" t="n">
        <v>46399</v>
      </c>
      <c r="C126" s="112" t="n">
        <v>7.3108</v>
      </c>
      <c r="D126" s="112" t="n">
        <v>7.3108</v>
      </c>
      <c r="E126" s="111" t="n">
        <v>5</v>
      </c>
      <c r="F126" s="119" t="n"/>
      <c r="G126" s="115">
        <f>IFERROR(AVERAGEIFS('05. SEMANAS'!$F$5:$F$64,'05. SEMANAS'!$B$5:$B$64,"343",'05. SEMANAS'!$A$5:$A$64,"&gt;="&amp;B126,'05. SEMANAS'!$A$5:$A$64,"&lt;="&amp;B126+6),"")</f>
      </c>
      <c r="H126" s="114">
        <f>IF(F126&lt;&gt;"",F126,G126)</f>
      </c>
      <c r="I126" s="116">
        <f>IF(H126="","",H126-D126)</f>
      </c>
    </row>
    <row r="127">
      <c r="A127" s="126" t="n">
        <v>21</v>
      </c>
      <c r="B127" s="128" t="n">
        <v>46406</v>
      </c>
      <c r="C127" s="112" t="n">
        <v>7.3108</v>
      </c>
      <c r="D127" s="112" t="n">
        <v>7.3108</v>
      </c>
      <c r="E127" s="111" t="n">
        <v>5</v>
      </c>
      <c r="F127" s="119" t="n"/>
      <c r="G127" s="115">
        <f>IFERROR(AVERAGEIFS('05. SEMANAS'!$F$5:$F$64,'05. SEMANAS'!$B$5:$B$64,"343",'05. SEMANAS'!$A$5:$A$64,"&gt;="&amp;B127,'05. SEMANAS'!$A$5:$A$64,"&lt;="&amp;B127+6),"")</f>
      </c>
      <c r="H127" s="114">
        <f>IF(F127&lt;&gt;"",F127,G127)</f>
      </c>
      <c r="I127" s="116">
        <f>IF(H127="","",H127-D127)</f>
      </c>
    </row>
    <row r="128">
      <c r="A128" s="126" t="n">
        <v>22</v>
      </c>
      <c r="B128" s="128" t="n">
        <v>46413</v>
      </c>
      <c r="C128" s="112" t="n">
        <v>7.3108</v>
      </c>
      <c r="D128" s="112" t="n">
        <v>7.3108</v>
      </c>
      <c r="E128" s="111" t="n">
        <v>5</v>
      </c>
      <c r="F128" s="119" t="n"/>
      <c r="G128" s="115">
        <f>IFERROR(AVERAGEIFS('05. SEMANAS'!$F$5:$F$64,'05. SEMANAS'!$B$5:$B$64,"343",'05. SEMANAS'!$A$5:$A$64,"&gt;="&amp;B128,'05. SEMANAS'!$A$5:$A$64,"&lt;="&amp;B128+6),"")</f>
      </c>
      <c r="H128" s="114">
        <f>IF(F128&lt;&gt;"",F128,G128)</f>
      </c>
      <c r="I128" s="116">
        <f>IF(H128="","",H128-D128)</f>
      </c>
    </row>
    <row r="129">
      <c r="A129" s="126" t="n">
        <v>23</v>
      </c>
      <c r="B129" s="128" t="n">
        <v>46420</v>
      </c>
      <c r="C129" s="112" t="n">
        <v>7.3108</v>
      </c>
      <c r="D129" s="112" t="n">
        <v>7.3108</v>
      </c>
      <c r="E129" s="111" t="n">
        <v>4</v>
      </c>
      <c r="F129" s="119" t="n"/>
      <c r="G129" s="115">
        <f>IFERROR(AVERAGEIFS('05. SEMANAS'!$F$5:$F$64,'05. SEMANAS'!$B$5:$B$64,"343",'05. SEMANAS'!$A$5:$A$64,"&gt;="&amp;B129,'05. SEMANAS'!$A$5:$A$64,"&lt;="&amp;B129+6),"")</f>
      </c>
      <c r="H129" s="114">
        <f>IF(F129&lt;&gt;"",F129,G129)</f>
      </c>
      <c r="I129" s="116">
        <f>IF(H129="","",H129-D129)</f>
      </c>
    </row>
    <row r="130">
      <c r="A130" s="126" t="n">
        <v>24</v>
      </c>
      <c r="B130" s="128" t="n">
        <v>46427</v>
      </c>
      <c r="C130" s="112" t="n">
        <v>7.3108</v>
      </c>
      <c r="D130" s="112" t="n">
        <v>7.3108</v>
      </c>
      <c r="E130" s="111" t="n">
        <v>4</v>
      </c>
      <c r="F130" s="119" t="n"/>
      <c r="G130" s="115">
        <f>IFERROR(AVERAGEIFS('05. SEMANAS'!$F$5:$F$64,'05. SEMANAS'!$B$5:$B$64,"343",'05. SEMANAS'!$A$5:$A$64,"&gt;="&amp;B130,'05. SEMANAS'!$A$5:$A$64,"&lt;="&amp;B130+6),"")</f>
      </c>
      <c r="H130" s="114">
        <f>IF(F130&lt;&gt;"",F130,G130)</f>
      </c>
      <c r="I130" s="116">
        <f>IF(H130="","",H130-D130)</f>
      </c>
    </row>
    <row r="131">
      <c r="A131" s="126" t="n">
        <v>25</v>
      </c>
      <c r="B131" s="128" t="n">
        <v>46434</v>
      </c>
      <c r="C131" s="112" t="n">
        <v>7.3108</v>
      </c>
      <c r="D131" s="112" t="n">
        <v>7.3108</v>
      </c>
      <c r="E131" s="111" t="n">
        <v>5</v>
      </c>
      <c r="F131" s="119" t="n"/>
      <c r="G131" s="115">
        <f>IFERROR(AVERAGEIFS('05. SEMANAS'!$F$5:$F$64,'05. SEMANAS'!$B$5:$B$64,"343",'05. SEMANAS'!$A$5:$A$64,"&gt;="&amp;B131,'05. SEMANAS'!$A$5:$A$64,"&lt;="&amp;B131+6),"")</f>
      </c>
      <c r="H131" s="114">
        <f>IF(F131&lt;&gt;"",F131,G131)</f>
      </c>
      <c r="I131" s="116">
        <f>IF(H131="","",H131-D131)</f>
      </c>
    </row>
    <row r="132">
      <c r="A132" s="126" t="n">
        <v>26</v>
      </c>
      <c r="B132" s="128" t="n">
        <v>46441</v>
      </c>
      <c r="C132" s="112" t="n">
        <v>7.3108</v>
      </c>
      <c r="D132" s="112" t="n">
        <v>7.3108</v>
      </c>
      <c r="E132" s="111" t="n">
        <v>5</v>
      </c>
      <c r="F132" s="119" t="n"/>
      <c r="G132" s="115">
        <f>IFERROR(AVERAGEIFS('05. SEMANAS'!$F$5:$F$64,'05. SEMANAS'!$B$5:$B$64,"343",'05. SEMANAS'!$A$5:$A$64,"&gt;="&amp;B132,'05. SEMANAS'!$A$5:$A$64,"&lt;="&amp;B132+6),"")</f>
      </c>
      <c r="H132" s="114">
        <f>IF(F132&lt;&gt;"",F132,G132)</f>
      </c>
      <c r="I132" s="116">
        <f>IF(H132="","",H132-D132)</f>
      </c>
    </row>
    <row r="133">
      <c r="A133" s="126" t="n">
        <v>27</v>
      </c>
      <c r="B133" s="128" t="n">
        <v>46448</v>
      </c>
      <c r="C133" s="112" t="n">
        <v>7.3108</v>
      </c>
      <c r="D133" s="112" t="n">
        <v>7.3108</v>
      </c>
      <c r="E133" s="111" t="n">
        <v>5</v>
      </c>
      <c r="F133" s="119" t="n"/>
      <c r="G133" s="115">
        <f>IFERROR(AVERAGEIFS('05. SEMANAS'!$F$5:$F$64,'05. SEMANAS'!$B$5:$B$64,"343",'05. SEMANAS'!$A$5:$A$64,"&gt;="&amp;B133,'05. SEMANAS'!$A$5:$A$64,"&lt;="&amp;B133+6),"")</f>
      </c>
      <c r="H133" s="114">
        <f>IF(F133&lt;&gt;"",F133,G133)</f>
      </c>
      <c r="I133" s="116">
        <f>IF(H133="","",H133-D133)</f>
      </c>
    </row>
    <row r="134">
      <c r="A134" s="126" t="n">
        <v>28</v>
      </c>
      <c r="B134" s="128" t="n">
        <v>46455</v>
      </c>
      <c r="C134" s="112" t="n">
        <v>7.3108</v>
      </c>
      <c r="D134" s="112" t="n">
        <v>7.3108</v>
      </c>
      <c r="E134" s="111" t="n">
        <v>5</v>
      </c>
      <c r="F134" s="119" t="n"/>
      <c r="G134" s="115">
        <f>IFERROR(AVERAGEIFS('05. SEMANAS'!$F$5:$F$64,'05. SEMANAS'!$B$5:$B$64,"343",'05. SEMANAS'!$A$5:$A$64,"&gt;="&amp;B134,'05. SEMANAS'!$A$5:$A$64,"&lt;="&amp;B134+6),"")</f>
      </c>
      <c r="H134" s="114">
        <f>IF(F134&lt;&gt;"",F134,G134)</f>
      </c>
      <c r="I134" s="116">
        <f>IF(H134="","",H134-D134)</f>
      </c>
    </row>
    <row r="135">
      <c r="A135" s="126" t="n">
        <v>29</v>
      </c>
      <c r="B135" s="128" t="n">
        <v>46462</v>
      </c>
      <c r="C135" s="112" t="n">
        <v>7.3108</v>
      </c>
      <c r="D135" s="112" t="n">
        <v>7.3108</v>
      </c>
      <c r="E135" s="111" t="n">
        <v>5</v>
      </c>
      <c r="F135" s="119" t="n"/>
      <c r="G135" s="115">
        <f>IFERROR(AVERAGEIFS('05. SEMANAS'!$F$5:$F$64,'05. SEMANAS'!$B$5:$B$64,"343",'05. SEMANAS'!$A$5:$A$64,"&gt;="&amp;B135,'05. SEMANAS'!$A$5:$A$64,"&lt;="&amp;B135+6),"")</f>
      </c>
      <c r="H135" s="114">
        <f>IF(F135&lt;&gt;"",F135,G135)</f>
      </c>
      <c r="I135" s="116">
        <f>IF(H135="","",H135-D135)</f>
      </c>
    </row>
    <row r="136">
      <c r="A136" s="126" t="n">
        <v>30</v>
      </c>
      <c r="B136" s="128" t="n">
        <v>46469</v>
      </c>
      <c r="C136" s="112" t="n">
        <v>7.3108</v>
      </c>
      <c r="D136" s="112" t="n">
        <v>7.3108</v>
      </c>
      <c r="E136" s="111" t="n">
        <v>4</v>
      </c>
      <c r="F136" s="119" t="n"/>
      <c r="G136" s="115">
        <f>IFERROR(AVERAGEIFS('05. SEMANAS'!$F$5:$F$64,'05. SEMANAS'!$B$5:$B$64,"343",'05. SEMANAS'!$A$5:$A$64,"&gt;="&amp;B136,'05. SEMANAS'!$A$5:$A$64,"&lt;="&amp;B136+6),"")</f>
      </c>
      <c r="H136" s="114">
        <f>IF(F136&lt;&gt;"",F136,G136)</f>
      </c>
      <c r="I136" s="116">
        <f>IF(H136="","",H136-D136)</f>
      </c>
    </row>
    <row r="137">
      <c r="A137" s="126" t="n">
        <v>31</v>
      </c>
      <c r="B137" s="128" t="n">
        <v>46476</v>
      </c>
      <c r="C137" s="112" t="n">
        <v>7.3108</v>
      </c>
      <c r="D137" s="112" t="n">
        <v>7.3108</v>
      </c>
      <c r="E137" s="111" t="n">
        <v>5</v>
      </c>
      <c r="F137" s="119" t="n"/>
      <c r="G137" s="115">
        <f>IFERROR(AVERAGEIFS('05. SEMANAS'!$F$5:$F$64,'05. SEMANAS'!$B$5:$B$64,"343",'05. SEMANAS'!$A$5:$A$64,"&gt;="&amp;B137,'05. SEMANAS'!$A$5:$A$64,"&lt;="&amp;B137+6),"")</f>
      </c>
      <c r="H137" s="114">
        <f>IF(F137&lt;&gt;"",F137,G137)</f>
      </c>
      <c r="I137" s="116">
        <f>IF(H137="","",H137-D137)</f>
      </c>
    </row>
    <row r="138">
      <c r="A138" s="126" t="n">
        <v>32</v>
      </c>
      <c r="B138" s="128" t="n">
        <v>46483</v>
      </c>
      <c r="C138" s="112" t="n">
        <v>4</v>
      </c>
      <c r="D138" s="112" t="n">
        <v>4</v>
      </c>
      <c r="E138" s="111" t="n">
        <v>5</v>
      </c>
      <c r="F138" s="119" t="n"/>
      <c r="G138" s="115">
        <f>IFERROR(AVERAGEIFS('05. SEMANAS'!$F$5:$F$64,'05. SEMANAS'!$B$5:$B$64,"343",'05. SEMANAS'!$A$5:$A$64,"&gt;="&amp;B138,'05. SEMANAS'!$A$5:$A$64,"&lt;="&amp;B138+6),"")</f>
      </c>
      <c r="H138" s="114">
        <f>IF(F138&lt;&gt;"",F138,G138)</f>
      </c>
      <c r="I138" s="116">
        <f>IF(H138="","",H138-D138)</f>
      </c>
    </row>
    <row r="139">
      <c r="A139" s="126" t="n">
        <v>33</v>
      </c>
      <c r="B139" s="128" t="n">
        <v>46490</v>
      </c>
      <c r="C139" s="112" t="n">
        <v>4</v>
      </c>
      <c r="D139" s="112" t="n">
        <v>4</v>
      </c>
      <c r="E139" s="111" t="n">
        <v>5</v>
      </c>
      <c r="F139" s="119" t="n"/>
      <c r="G139" s="115">
        <f>IFERROR(AVERAGEIFS('05. SEMANAS'!$F$5:$F$64,'05. SEMANAS'!$B$5:$B$64,"343",'05. SEMANAS'!$A$5:$A$64,"&gt;="&amp;B139,'05. SEMANAS'!$A$5:$A$64,"&lt;="&amp;B139+6),"")</f>
      </c>
      <c r="H139" s="114">
        <f>IF(F139&lt;&gt;"",F139,G139)</f>
      </c>
      <c r="I139" s="116">
        <f>IF(H139="","",H139-D139)</f>
      </c>
    </row>
    <row r="140">
      <c r="A140" s="126" t="n">
        <v>34</v>
      </c>
      <c r="B140" s="128" t="n">
        <v>46497</v>
      </c>
      <c r="C140" s="112" t="n">
        <v>4</v>
      </c>
      <c r="D140" s="112" t="n">
        <v>4</v>
      </c>
      <c r="E140" s="111" t="n">
        <v>4</v>
      </c>
      <c r="F140" s="119" t="n"/>
      <c r="G140" s="115">
        <f>IFERROR(AVERAGEIFS('05. SEMANAS'!$F$5:$F$64,'05. SEMANAS'!$B$5:$B$64,"343",'05. SEMANAS'!$A$5:$A$64,"&gt;="&amp;B140,'05. SEMANAS'!$A$5:$A$64,"&lt;="&amp;B140+6),"")</f>
      </c>
      <c r="H140" s="114">
        <f>IF(F140&lt;&gt;"",F140,G140)</f>
      </c>
      <c r="I140" s="116">
        <f>IF(H140="","",H140-D140)</f>
      </c>
    </row>
    <row r="141">
      <c r="A141" s="126" t="n">
        <v>35</v>
      </c>
      <c r="B141" s="128" t="n">
        <v>46504</v>
      </c>
      <c r="C141" s="112" t="n">
        <v>4</v>
      </c>
      <c r="D141" s="112" t="n">
        <v>4</v>
      </c>
      <c r="E141" s="111" t="n">
        <v>5</v>
      </c>
      <c r="F141" s="119" t="n"/>
      <c r="G141" s="115">
        <f>IFERROR(AVERAGEIFS('05. SEMANAS'!$F$5:$F$64,'05. SEMANAS'!$B$5:$B$64,"343",'05. SEMANAS'!$A$5:$A$64,"&gt;="&amp;B141,'05. SEMANAS'!$A$5:$A$64,"&lt;="&amp;B141+6),"")</f>
      </c>
      <c r="H141" s="114">
        <f>IF(F141&lt;&gt;"",F141,G141)</f>
      </c>
      <c r="I141" s="116">
        <f>IF(H141="","",H141-D141)</f>
      </c>
    </row>
    <row r="142">
      <c r="A142" s="126" t="n">
        <v>36</v>
      </c>
      <c r="B142" s="128" t="n">
        <v>46511</v>
      </c>
      <c r="C142" s="112" t="n">
        <v>4</v>
      </c>
      <c r="D142" s="112" t="n">
        <v>4</v>
      </c>
      <c r="E142" s="111" t="n">
        <v>5</v>
      </c>
      <c r="F142" s="119" t="n"/>
      <c r="G142" s="115">
        <f>IFERROR(AVERAGEIFS('05. SEMANAS'!$F$5:$F$64,'05. SEMANAS'!$B$5:$B$64,"343",'05. SEMANAS'!$A$5:$A$64,"&gt;="&amp;B142,'05. SEMANAS'!$A$5:$A$64,"&lt;="&amp;B142+6),"")</f>
      </c>
      <c r="H142" s="114">
        <f>IF(F142&lt;&gt;"",F142,G142)</f>
      </c>
      <c r="I142" s="116">
        <f>IF(H142="","",H142-D142)</f>
      </c>
    </row>
    <row r="143">
      <c r="A143" s="126" t="n">
        <v>37</v>
      </c>
      <c r="B143" s="128" t="n">
        <v>46518</v>
      </c>
      <c r="C143" s="112" t="n">
        <v>4</v>
      </c>
      <c r="D143" s="112" t="n">
        <v>4</v>
      </c>
      <c r="E143" s="111" t="n">
        <v>5</v>
      </c>
      <c r="F143" s="119" t="n"/>
      <c r="G143" s="115">
        <f>IFERROR(AVERAGEIFS('05. SEMANAS'!$F$5:$F$64,'05. SEMANAS'!$B$5:$B$64,"343",'05. SEMANAS'!$A$5:$A$64,"&gt;="&amp;B143,'05. SEMANAS'!$A$5:$A$64,"&lt;="&amp;B143+6),"")</f>
      </c>
      <c r="H143" s="114">
        <f>IF(F143&lt;&gt;"",F143,G143)</f>
      </c>
      <c r="I143" s="116">
        <f>IF(H143="","",H143-D143)</f>
      </c>
    </row>
    <row r="144">
      <c r="A144" s="126" t="n">
        <v>38</v>
      </c>
      <c r="B144" s="128" t="n">
        <v>46525</v>
      </c>
      <c r="C144" s="112" t="n">
        <v>4</v>
      </c>
      <c r="D144" s="112" t="n">
        <v>0.8</v>
      </c>
      <c r="E144" s="111" t="n">
        <v>5</v>
      </c>
      <c r="F144" s="119" t="n"/>
      <c r="G144" s="115">
        <f>IFERROR(AVERAGEIFS('05. SEMANAS'!$F$5:$F$64,'05. SEMANAS'!$B$5:$B$64,"343",'05. SEMANAS'!$A$5:$A$64,"&gt;="&amp;B144,'05. SEMANAS'!$A$5:$A$64,"&lt;="&amp;B144+6),"")</f>
      </c>
      <c r="H144" s="114">
        <f>IF(F144&lt;&gt;"",F144,G144)</f>
      </c>
      <c r="I144" s="116">
        <f>IF(H144="","",H144-D144)</f>
      </c>
    </row>
    <row r="145"/>
    <row r="146"/>
    <row r="147">
      <c r="A147" s="80" t="inlineStr">
        <is>
          <t>EQUIPAMENTOS: composição das equipes. Quantidade por equipe, não por mês. 342: estudo REV13 (aba 36, equipes de terra; locação adotada por dia com operador ou motorista, aba 35, sem diesel). 343: MOTOR TAF (aba 03b)</t>
        </is>
      </c>
      <c r="B147" s="80" t="n"/>
      <c r="C147" s="80" t="n"/>
      <c r="D147" s="80" t="n"/>
      <c r="E147" s="80" t="n"/>
      <c r="F147" s="80" t="n"/>
      <c r="G147" s="80" t="n"/>
      <c r="H147" s="80" t="n"/>
      <c r="I147" s="80" t="n"/>
      <c r="J147" s="80" t="n"/>
      <c r="K147" s="80" t="n"/>
      <c r="L147" s="80" t="n"/>
    </row>
    <row r="148" ht="38.25" customHeight="1" s="71">
      <c r="A148" s="88" t="inlineStr">
        <is>
          <t>Obra</t>
        </is>
      </c>
      <c r="B148" s="88" t="inlineStr">
        <is>
          <t>Equipe</t>
        </is>
      </c>
      <c r="C148" s="88" t="inlineStr">
        <is>
          <t>Código</t>
        </is>
      </c>
      <c r="D148" s="88" t="inlineStr">
        <is>
          <t>Qtd por equipe</t>
        </is>
      </c>
      <c r="E148" s="88" t="inlineStr">
        <is>
          <t>Custo por dia (R$)</t>
        </is>
      </c>
      <c r="F148" s="88" t="inlineStr">
        <is>
          <t>Descrição</t>
        </is>
      </c>
    </row>
    <row r="149">
      <c r="A149" s="73" t="n">
        <v>342</v>
      </c>
      <c r="B149" s="73" t="inlineStr">
        <is>
          <t>EQ_TERRA</t>
        </is>
      </c>
      <c r="C149" s="73" t="inlineStr">
        <is>
          <t>CAMB</t>
        </is>
      </c>
      <c r="D149" s="129" t="n">
        <v>2</v>
      </c>
      <c r="E149" s="130" t="n">
        <v>1132.89</v>
      </c>
      <c r="F149" s="73" t="inlineStr">
        <is>
          <t>Caminhão basculante com motorista (estudo REV13, aba 35 linha 7; equipe na aba 36 linha 8)</t>
        </is>
      </c>
    </row>
    <row r="150">
      <c r="A150" s="73" t="n">
        <v>342</v>
      </c>
      <c r="B150" s="73" t="inlineStr">
        <is>
          <t>EQ_TERRA</t>
        </is>
      </c>
      <c r="C150" s="73" t="inlineStr">
        <is>
          <t>TRATOR</t>
        </is>
      </c>
      <c r="D150" s="129" t="n">
        <v>1</v>
      </c>
      <c r="E150" s="130" t="n">
        <v>1194.57</v>
      </c>
      <c r="F150" s="73" t="inlineStr">
        <is>
          <t>Trator de esteira / pá carregadeira com operador (aba 35 linha 11; aba 36 linha 8)</t>
        </is>
      </c>
    </row>
    <row r="151">
      <c r="A151" s="73" t="n">
        <v>342</v>
      </c>
      <c r="B151" s="73" t="inlineStr">
        <is>
          <t>EQ_PREP</t>
        </is>
      </c>
      <c r="C151" s="73" t="inlineStr">
        <is>
          <t>RETRO + CAMB + SAPO</t>
        </is>
      </c>
      <c r="D151" s="129" t="n">
        <v>1</v>
      </c>
      <c r="E151" s="130" t="n">
        <v>2212.46</v>
      </c>
      <c r="F151" s="73" t="inlineStr">
        <is>
          <t>Equipe de preparo e reaterro (aba 36 linha 9): retroescavadeira com operador 1.014,57 + caminhão basculante com motorista 1.132,89 + sapo 65 (aba 35 linhas 6, 7 e 12)</t>
        </is>
      </c>
    </row>
    <row r="152">
      <c r="A152" s="73" t="n">
        <v>343</v>
      </c>
      <c r="B152" s="73" t="inlineStr">
        <is>
          <t>EQ_ADUT</t>
        </is>
      </c>
      <c r="C152" s="73" t="inlineStr">
        <is>
          <t>CB_TOCO</t>
        </is>
      </c>
      <c r="D152" s="129" t="n">
        <v>1</v>
      </c>
      <c r="E152" s="130" t="n">
        <v>443.6363636363636</v>
      </c>
      <c r="F152" s="73" t="inlineStr">
        <is>
          <t>Caminhão basculante toco com cabine</t>
        </is>
      </c>
    </row>
    <row r="153">
      <c r="A153" s="73" t="n">
        <v>343</v>
      </c>
      <c r="B153" s="73" t="inlineStr">
        <is>
          <t>EQ_ADUT</t>
        </is>
      </c>
      <c r="C153" s="73" t="inlineStr">
        <is>
          <t>PIPA</t>
        </is>
      </c>
      <c r="D153" s="129" t="n">
        <v>1</v>
      </c>
      <c r="E153" s="130" t="n">
        <v>924.8472727272726</v>
      </c>
      <c r="F153" s="73" t="inlineStr">
        <is>
          <t>Caminhão pipa</t>
        </is>
      </c>
    </row>
    <row r="154">
      <c r="A154" s="73" t="n">
        <v>343</v>
      </c>
      <c r="B154" s="73" t="inlineStr">
        <is>
          <t>EQ_ADUT</t>
        </is>
      </c>
      <c r="C154" s="73" t="inlineStr">
        <is>
          <t>ESCAV</t>
        </is>
      </c>
      <c r="D154" s="129" t="n">
        <v>1</v>
      </c>
      <c r="E154" s="130" t="n">
        <v>2159.854545454546</v>
      </c>
      <c r="F154" s="73" t="inlineStr">
        <is>
          <t>Escavadeira hidráulica</t>
        </is>
      </c>
    </row>
    <row r="155">
      <c r="A155" s="73" t="n">
        <v>343</v>
      </c>
      <c r="B155" s="73" t="inlineStr">
        <is>
          <t>EQ_ADUT</t>
        </is>
      </c>
      <c r="C155" s="73" t="inlineStr">
        <is>
          <t>RETRO</t>
        </is>
      </c>
      <c r="D155" s="129" t="n">
        <v>0.93</v>
      </c>
      <c r="E155" s="130" t="n">
        <v>1266.809090909091</v>
      </c>
      <c r="F155" s="73" t="inlineStr">
        <is>
          <t>Retroescavadeira (R$ 105,56/h × 8,8 h × 22 dias)</t>
        </is>
      </c>
    </row>
    <row r="156">
      <c r="A156" s="73" t="n">
        <v>343</v>
      </c>
      <c r="B156" s="73" t="inlineStr">
        <is>
          <t>EQ_ADUT</t>
        </is>
      </c>
      <c r="C156" s="73" t="inlineStr">
        <is>
          <t>COMPACT</t>
        </is>
      </c>
      <c r="D156" s="129" t="n">
        <v>2</v>
      </c>
      <c r="E156" s="130" t="n">
        <v>126.4727272727273</v>
      </c>
      <c r="F156" s="73" t="inlineStr">
        <is>
          <t>Compactador de solo (sapo)</t>
        </is>
      </c>
    </row>
    <row r="157">
      <c r="A157" s="73" t="n">
        <v>343</v>
      </c>
      <c r="B157" s="73" t="inlineStr">
        <is>
          <t>EQ_ADUT</t>
        </is>
      </c>
      <c r="C157" s="73" t="inlineStr">
        <is>
          <t>GERADOR</t>
        </is>
      </c>
      <c r="D157" s="129" t="n">
        <v>1</v>
      </c>
      <c r="E157" s="130" t="n">
        <v>141.8181818181818</v>
      </c>
      <c r="F157" s="73" t="inlineStr">
        <is>
          <t>Gerador</t>
        </is>
      </c>
    </row>
    <row r="158">
      <c r="A158" s="73" t="n">
        <v>343</v>
      </c>
      <c r="B158" s="73" t="inlineStr">
        <is>
          <t>EQ_ADUT</t>
        </is>
      </c>
      <c r="C158" s="73" t="inlineStr">
        <is>
          <t>BOMBA</t>
        </is>
      </c>
      <c r="D158" s="129" t="n">
        <v>1</v>
      </c>
      <c r="E158" s="130" t="n">
        <v>36.36363636363637</v>
      </c>
      <c r="F158" s="73" t="inlineStr">
        <is>
          <t>Bomba elétrica (esgotamento)</t>
        </is>
      </c>
    </row>
    <row r="159">
      <c r="A159" s="73" t="n">
        <v>343</v>
      </c>
      <c r="B159" s="73" t="inlineStr">
        <is>
          <t>EQ_ADUT</t>
        </is>
      </c>
      <c r="C159" s="73" t="inlineStr">
        <is>
          <t>SERRA</t>
        </is>
      </c>
      <c r="D159" s="129" t="n">
        <v>1</v>
      </c>
      <c r="E159" s="130" t="n">
        <v>99.07272727272726</v>
      </c>
      <c r="F159" s="73" t="inlineStr">
        <is>
          <t>Serra clipper (4 discos/mês)</t>
        </is>
      </c>
    </row>
    <row r="160">
      <c r="A160" s="73" t="n">
        <v>343</v>
      </c>
      <c r="B160" s="73" t="inlineStr">
        <is>
          <t>EQ_CIVIL</t>
        </is>
      </c>
      <c r="C160" s="73" t="inlineStr">
        <is>
          <t>COMPACT</t>
        </is>
      </c>
      <c r="D160" s="129" t="n">
        <v>1</v>
      </c>
      <c r="E160" s="130" t="n">
        <v>126.4727272727273</v>
      </c>
      <c r="F160" s="73" t="inlineStr">
        <is>
          <t>Compactador de solo (sapo)</t>
        </is>
      </c>
    </row>
    <row r="161">
      <c r="A161" s="73" t="n">
        <v>343</v>
      </c>
      <c r="B161" s="73" t="inlineStr">
        <is>
          <t>EQ_CIVIL</t>
        </is>
      </c>
      <c r="C161" s="73" t="inlineStr">
        <is>
          <t>GERADOR</t>
        </is>
      </c>
      <c r="D161" s="129" t="n">
        <v>1</v>
      </c>
      <c r="E161" s="130" t="n">
        <v>141.8181818181818</v>
      </c>
      <c r="F161" s="73" t="inlineStr">
        <is>
          <t>Gerador</t>
        </is>
      </c>
    </row>
    <row r="162">
      <c r="A162" s="73" t="n">
        <v>343</v>
      </c>
      <c r="B162" s="73" t="inlineStr">
        <is>
          <t>EQ_CIVIL</t>
        </is>
      </c>
      <c r="C162" s="73" t="inlineStr">
        <is>
          <t>BETON</t>
        </is>
      </c>
      <c r="D162" s="129" t="n">
        <v>1</v>
      </c>
      <c r="E162" s="130" t="n">
        <v>15.90909090909091</v>
      </c>
      <c r="F162" s="73" t="inlineStr">
        <is>
          <t>Betoneira 400 L</t>
        </is>
      </c>
    </row>
  </sheetData>
  <mergeCells count="2">
    <mergeCell ref="A3:L3"/>
    <mergeCell ref="A4:L4"/>
  </mergeCells>
  <conditionalFormatting sqref="U8:U23">
    <cfRule type="expression" priority="1" dxfId="25">
      <formula>AND(ISNUMBER(U8),U8&gt;0)</formula>
    </cfRule>
  </conditionalFormatting>
  <conditionalFormatting sqref="P8:S24">
    <cfRule type="expression" priority="2" dxfId="26">
      <formula>P8="SEM BASE"</formula>
    </cfRule>
  </conditionalFormatting>
  <conditionalFormatting sqref="T8:U24">
    <cfRule type="expression" priority="3" dxfId="26">
      <formula>T8="PENDENTE"</formula>
    </cfRule>
  </conditionalFormatting>
  <pageMargins left="0.3888888888888889" right="0.3888888888888889" top="0.3888888888888889" bottom="0.3888888888888889" header="0.31496062" footer="0.31496062"/>
  <pageSetup orientation="landscape" paperSize="8" scale="67" fitToHeight="0"/>
  <drawing xmlns:r="http://schemas.openxmlformats.org/officeDocument/2006/relationships" r:id="rIdDrw1"/>
</worksheet>
</file>

<file path=xl/worksheets/sheet6.xml><?xml version="1.0" encoding="utf-8"?>
<worksheet xmlns="http://schemas.openxmlformats.org/spreadsheetml/2006/main">
  <sheetPr>
    <tabColor rgb="FF2E8B99"/>
    <outlinePr summaryBelow="1" summaryRight="1"/>
    <pageSetUpPr fitToPage="1"/>
  </sheetPr>
  <dimension ref="A1:S152"/>
  <sheetViews>
    <sheetView showGridLines="0" workbookViewId="0">
      <pane xSplit="2" topLeftCell="C1" activePane="topRight" state="frozen"/>
      <selection pane="topRight" activeCell="A1" sqref="A1"/>
    </sheetView>
  </sheetViews>
  <sheetFormatPr baseColWidth="8" defaultRowHeight="12.75"/>
  <cols>
    <col width="54.7109375" customWidth="1" style="73" min="1" max="1"/>
    <col width="22.7109375" customWidth="1" style="73" min="2" max="2"/>
    <col width="13.28515625" customWidth="1" style="73" min="3" max="18"/>
    <col width="14.7109375" customWidth="1" style="73" min="19" max="19"/>
    <col width="9.140625" customWidth="1" style="73" min="20" max="16384"/>
  </cols>
  <sheetData>
    <row r="1" ht="24" customHeight="1" s="71"/>
    <row r="2" ht="20.25" customHeight="1" s="71">
      <c r="A2" s="74" t="inlineStr">
        <is>
          <t>FLUXO PROJETADO TAF: medição, recebimento, custo e caixa, mês a mês</t>
        </is>
      </c>
    </row>
    <row r="3" ht="26.1" customHeight="1" s="71">
      <c r="A3" s="78" t="inlineStr">
        <is>
          <t>Previsto vem do estudo (valores copiados, com fonte). Recebimento é calculado por data: nota de cada obra + prazo do contrato (03, linha 14) + atraso, depois da glosa. Real (06, 07, 08) está vazio: onde não há lançamento aparece 'sem lançamento', nunca zero.</t>
        </is>
      </c>
    </row>
    <row r="4" ht="36" customHeight="1" s="71">
      <c r="A4" s="79" t="inlineStr">
        <is>
          <t>Fonte do previsto: 342 = 04. PLANO DAS OBRAS (estudo REV13, cenário 1 Anexo VII, abas 07 e 09); 343 = MOTOR TAF\ESTUDOS\TAF 343 CAESB SOBRADINHO - PLANEJAMENTO.xlsx (estudo de 27/09/2026 17:51), abas 18 e 19. Prazo: 30 dias dos contratos (03. CONTRATOS, linha 14); o caderno OBRA usava 29. Tributos: 02. PARÂMETROS (ISS de cada obra, F6:G6, + presumido B7).</t>
        </is>
      </c>
    </row>
    <row r="5"/>
    <row r="6">
      <c r="A6" s="80" t="inlineStr">
        <is>
          <t>PREMISSAS DO CENÁRIO ATIVO (amarelo = digitar)</t>
        </is>
      </c>
      <c r="B6" s="80" t="n"/>
      <c r="C6" s="80" t="n"/>
      <c r="D6" s="80" t="n"/>
      <c r="E6" s="80" t="n"/>
      <c r="F6" s="80" t="n"/>
      <c r="G6" s="80" t="n"/>
      <c r="H6" s="80" t="n"/>
    </row>
    <row r="7">
      <c r="A7" s="81" t="inlineStr">
        <is>
          <t>Prazo de pagamento (dias depois da nota; regra de cada contrato na 03. CONTRATOS, linha 14)</t>
        </is>
      </c>
      <c r="C7" s="248" t="str">
        <f>"342: "&amp;'03. CONTRATOS'!$B$14&amp;" d · 343: "&amp;'03. CONTRATOS'!$D$14&amp;" d"</f>
        <v>342: 30 d · 343: 30 d</v>
      </c>
      <c r="D7" s="77" t="inlineStr">
        <is>
          <t>Sem antecipação. 342: nota no último dia útil do mês e pagamento no 30º dia; o BM de jan/27 (nota em 29/01) vence em 28/02, domingo, e é pago em 01/03 (Código Civil, art. 132), por isso o pior saldo da 342 fica em fev/27. 343: nota no 1º dia útil do mês seguinte e pagamento em 30 dias; o BM de out/26 (nota em 03/11) entra em 03/12. O estudo REV13 (cenário 1) supõe antecipar cada nota em 15 dias a 1,96% a.m. (aba 03 linhas 12 e 13) e o pior ponto fica em R$ 1,21 mi em 15/02/2027 (04, B36).</t>
        </is>
      </c>
    </row>
    <row r="8">
      <c r="A8" s="81" t="inlineStr">
        <is>
          <t>Atraso extra de recebimento (dias)</t>
        </is>
      </c>
      <c r="C8" s="85" t="n">
        <v>0</v>
      </c>
    </row>
    <row r="9">
      <c r="A9" s="81" t="inlineStr">
        <is>
          <t>Glosa sobre a medição a receber (%)</t>
        </is>
      </c>
      <c r="C9" s="86" t="n">
        <v>0</v>
      </c>
    </row>
    <row r="10">
      <c r="A10" s="81" t="inlineStr">
        <is>
          <t>Tributos sobre o recebimento (ISS da obra + presumido, 02. PARÂMETROS; C = 342, D = 343)</t>
        </is>
      </c>
      <c r="C10" s="249">
        <f>'02. PARÂMETROS'!$F$6+'02. PARÂMETROS'!$B$7</f>
        <v>0.085</v>
      </c>
      <c r="D10" s="249">
        <f>'02. PARÂMETROS'!$G$6+'02. PARÂMETROS'!$B$7</f>
        <v>0.085</v>
      </c>
    </row>
    <row r="11">
      <c r="A11" s="81" t="inlineStr">
        <is>
          <t>Reajuste da 342 entra no caixa? (cenário fora do caso base: SIM ou NÃO)</t>
        </is>
      </c>
      <c r="C11" s="85" t="inlineStr">
        <is>
          <t>NÃO</t>
        </is>
      </c>
      <c r="D11" s="250" t="n">
        <v>0.127521358243222</v>
      </c>
      <c r="E11" s="77" t="inlineStr">
        <is>
          <t>D11 = fator do estudo REV13 (aba 23, K20), SEM BASE até sair o índice. O estudo interno estima R$ 415.461 de reajuste se pedido (aba 00, C38). Pedido protocolado: 05C R31.</t>
        </is>
      </c>
    </row>
    <row r="12">
      <c r="A12" s="80" t="inlineStr">
        <is>
          <t>RESULTADO DO CENÁRIO ATIVO</t>
        </is>
      </c>
      <c r="B12" s="80" t="n"/>
      <c r="C12" s="80" t="n"/>
      <c r="D12" s="80" t="n"/>
      <c r="E12" s="80" t="n"/>
      <c r="F12" s="80" t="n"/>
      <c r="G12" s="80" t="n"/>
      <c r="H12" s="80" t="n"/>
    </row>
    <row r="13" ht="38.25" customHeight="1" s="71">
      <c r="C13" s="88" t="n">
        <v>342</v>
      </c>
      <c r="D13" s="88" t="n">
        <v>343</v>
      </c>
      <c r="E13" s="88" t="inlineStr">
        <is>
          <t>TAF (empresa)</t>
        </is>
      </c>
      <c r="F13" s="88" t="inlineStr">
        <is>
          <t>TAF com reajuste (C11)</t>
        </is>
      </c>
    </row>
    <row r="14">
      <c r="A14" s="81" t="inlineStr">
        <is>
          <t>Pior saldo acumulado (R$)</t>
        </is>
      </c>
      <c r="C14" s="100">
        <f>MIN($C$34:$R$34)</f>
        <v>-1151141.8869</v>
      </c>
      <c r="D14" s="100">
        <f>MIN($C$56:$R$56)</f>
        <v>-1401325.62</v>
      </c>
      <c r="E14" s="100">
        <f>MIN($C$73:$R$73)</f>
        <v>-1709964.04</v>
      </c>
      <c r="F14" s="100" t="str">
        <f>IF($C$11="SIM",MIN($C$80:$R$80),"C11 = NÃO")</f>
        <v>C11 = NÃO</v>
      </c>
    </row>
    <row r="15">
      <c r="A15" s="81" t="inlineStr">
        <is>
          <t>Mês do pior saldo</t>
        </is>
      </c>
      <c r="C15" s="103">
        <f>INDEX($C$21:$R$21,MATCH(MIN($C$34:$R$34),$C$34:$R$34,0))</f>
        <v>46419.0</v>
      </c>
      <c r="D15" s="103">
        <f>INDEX($C$21:$R$21,MATCH(MIN($C$56:$R$56),$C$56:$R$56,0))</f>
        <v>46327.0</v>
      </c>
      <c r="E15" s="103">
        <f>INDEX($C$21:$R$21,MATCH(MIN($C$73:$R$73),$C$73:$R$73,0))</f>
        <v>46327.0</v>
      </c>
      <c r="F15" s="103" t="str">
        <f>IF($C$11="SIM",INDEX($C$21:$R$21,MATCH(MIN($C$80:$R$80),$C$80:$R$80,0)),"C11 = NÃO")</f>
        <v>C11 = NÃO</v>
      </c>
    </row>
    <row r="16">
      <c r="A16" s="81" t="inlineStr">
        <is>
          <t>Capital de giro necessário (pior saldo × fator da 02. PARÂMETROS B13)</t>
        </is>
      </c>
      <c r="C16" s="100">
        <f>-MIN(0,MIN($C$34:$R$34))*'02. PARÂMETROS'!$B$13</f>
        <v>1323813.169935</v>
      </c>
      <c r="D16" s="100">
        <f>-MIN(0,MIN($C$56:$R$56))*'02. PARÂMETROS'!$B$13</f>
        <v>1611524.463</v>
      </c>
      <c r="E16" s="100">
        <f>-MIN(0,MIN($C$73:$R$73))*'02. PARÂMETROS'!$B$13</f>
        <v>1966458.646</v>
      </c>
      <c r="F16" s="100" t="n"/>
    </row>
    <row r="17">
      <c r="A17" s="81" t="inlineStr">
        <is>
          <t>Medição prevista total (R$)</t>
        </is>
      </c>
      <c r="C17" s="100">
        <f>S23</f>
        <v>3257970.74</v>
      </c>
      <c r="D17" s="100">
        <f>S45</f>
        <v>5234011.09</v>
      </c>
      <c r="E17" s="100">
        <f>S67</f>
        <v>8491981.83</v>
      </c>
      <c r="F17" s="100" t="n"/>
    </row>
    <row r="18">
      <c r="A18" s="81" t="inlineStr">
        <is>
          <t>Saídas previstas totais (R$)</t>
        </is>
      </c>
      <c r="C18" s="100">
        <f>S32</f>
        <v>3212459.22</v>
      </c>
      <c r="D18" s="100">
        <f>S54</f>
        <v>3605617.7</v>
      </c>
      <c r="E18" s="100">
        <f>S71</f>
        <v>6818076.92</v>
      </c>
      <c r="F18" s="100" t="n"/>
    </row>
    <row r="19">
      <c r="A19" s="81" t="inlineStr">
        <is>
          <t>Saldo no fim do horizonte (R$)</t>
        </is>
      </c>
      <c r="C19" s="100">
        <f>$R$34</f>
        <v>-231415.9929</v>
      </c>
      <c r="D19" s="100">
        <f>$R$56</f>
        <v>1183502.44735</v>
      </c>
      <c r="E19" s="100">
        <f>$R$73</f>
        <v>952086.45445</v>
      </c>
      <c r="F19" s="100" t="str">
        <f>IF($C$11="SIM",$R$80,"C11 = NÃO")</f>
        <v>C11 = NÃO</v>
      </c>
    </row>
    <row r="20"/>
    <row r="21">
      <c r="A21" s="88" t="inlineStr">
        <is>
          <t>Mês</t>
        </is>
      </c>
      <c r="B21" s="88" t="inlineStr">
        <is>
          <t>Fonte</t>
        </is>
      </c>
      <c r="C21" s="89" t="n">
        <v>46266</v>
      </c>
      <c r="D21" s="89" t="n">
        <v>46296</v>
      </c>
      <c r="E21" s="89" t="n">
        <v>46327</v>
      </c>
      <c r="F21" s="89" t="n">
        <v>46357</v>
      </c>
      <c r="G21" s="89" t="n">
        <v>46388</v>
      </c>
      <c r="H21" s="89" t="n">
        <v>46419</v>
      </c>
      <c r="I21" s="89" t="n">
        <v>46447</v>
      </c>
      <c r="J21" s="89" t="n">
        <v>46478</v>
      </c>
      <c r="K21" s="89" t="n">
        <v>46508</v>
      </c>
      <c r="L21" s="89" t="n">
        <v>46539</v>
      </c>
      <c r="M21" s="89" t="n">
        <v>46569</v>
      </c>
      <c r="N21" s="89" t="n">
        <v>46600</v>
      </c>
      <c r="O21" s="89" t="n">
        <v>46631</v>
      </c>
      <c r="P21" s="89" t="n">
        <v>46661</v>
      </c>
      <c r="Q21" s="89" t="n">
        <v>46692</v>
      </c>
      <c r="R21" s="89" t="n">
        <v>46722</v>
      </c>
      <c r="S21" s="88" t="inlineStr">
        <is>
          <t>Total</t>
        </is>
      </c>
    </row>
    <row r="22">
      <c r="A22" s="80" t="inlineStr">
        <is>
          <t>OBRA 342 SANEAGO UTR Santo Antônio do Descoberto</t>
        </is>
      </c>
      <c r="B22" s="80" t="n"/>
      <c r="C22" s="109">
        <f>C$21</f>
        <v>46266.0</v>
      </c>
      <c r="D22" s="109">
        <f>D$21</f>
        <v>46296.0</v>
      </c>
      <c r="E22" s="109">
        <f>E$21</f>
        <v>46327.0</v>
      </c>
      <c r="F22" s="109">
        <f>F$21</f>
        <v>46357.0</v>
      </c>
      <c r="G22" s="109">
        <f>G$21</f>
        <v>46388.0</v>
      </c>
      <c r="H22" s="109">
        <f>H$21</f>
        <v>46419.0</v>
      </c>
      <c r="I22" s="109">
        <f>I$21</f>
        <v>46447.0</v>
      </c>
      <c r="J22" s="109">
        <f>J$21</f>
        <v>46478.0</v>
      </c>
      <c r="K22" s="109">
        <f>K$21</f>
        <v>46508.0</v>
      </c>
      <c r="L22" s="109">
        <f>L$21</f>
        <v>46539.0</v>
      </c>
      <c r="M22" s="109">
        <f>M$21</f>
        <v>46569.0</v>
      </c>
      <c r="N22" s="109">
        <f>N$21</f>
        <v>46600.0</v>
      </c>
      <c r="O22" s="109">
        <f>O$21</f>
        <v>46631.0</v>
      </c>
      <c r="P22" s="109">
        <f>P$21</f>
        <v>46661.0</v>
      </c>
      <c r="Q22" s="109">
        <f>Q$21</f>
        <v>46692.0</v>
      </c>
      <c r="R22" s="109">
        <f>R$21</f>
        <v>46722.0</v>
      </c>
      <c r="S22" s="91" t="n"/>
    </row>
    <row r="23">
      <c r="A23" s="81" t="inlineStr">
        <is>
          <t>Medição prevista (R$, 04 linha 6)</t>
        </is>
      </c>
      <c r="B23" s="94" t="inlineStr">
        <is>
          <t>04. PLANO (REV13, aba 07)</t>
        </is>
      </c>
      <c r="C23" s="251">
        <f>'04. PLANO DAS OBRAS'!C6</f>
        <v>0</v>
      </c>
      <c r="D23" s="251">
        <f>'04. PLANO DAS OBRAS'!D6</f>
        <v>0</v>
      </c>
      <c r="E23" s="251">
        <f>'04. PLANO DAS OBRAS'!E6</f>
        <v>188227.58</v>
      </c>
      <c r="F23" s="251">
        <f>'04. PLANO DAS OBRAS'!F6</f>
        <v>89197.56</v>
      </c>
      <c r="G23" s="251">
        <f>'04. PLANO DAS OBRAS'!G6</f>
        <v>956026.86</v>
      </c>
      <c r="H23" s="251">
        <f>'04. PLANO DAS OBRAS'!H6</f>
        <v>17842.53</v>
      </c>
      <c r="I23" s="251">
        <f>'04. PLANO DAS OBRAS'!I6</f>
        <v>313203.86</v>
      </c>
      <c r="J23" s="251">
        <f>'04. PLANO DAS OBRAS'!J6</f>
        <v>904012.82</v>
      </c>
      <c r="K23" s="251">
        <f>'04. PLANO DAS OBRAS'!K6</f>
        <v>253640.04</v>
      </c>
      <c r="L23" s="251">
        <f>'04. PLANO DAS OBRAS'!L6</f>
        <v>415335.92</v>
      </c>
      <c r="M23" s="251">
        <f>'04. PLANO DAS OBRAS'!M6</f>
        <v>50760.4</v>
      </c>
      <c r="N23" s="251">
        <f>'04. PLANO DAS OBRAS'!N6</f>
        <v>66927.5</v>
      </c>
      <c r="O23" s="251">
        <f>'04. PLANO DAS OBRAS'!O6</f>
        <v>2795.67</v>
      </c>
      <c r="P23" s="251">
        <f>'04. PLANO DAS OBRAS'!P6</f>
        <v>0</v>
      </c>
      <c r="Q23" s="251">
        <f>'04. PLANO DAS OBRAS'!Q6</f>
        <v>0</v>
      </c>
      <c r="R23" s="251">
        <f>'04. PLANO DAS OBRAS'!R6</f>
        <v>0</v>
      </c>
      <c r="S23" s="96">
        <f>IF(COUNT(C23:R23)=0,"sem lançamento",SUM(C23:R23))</f>
        <v>3257970.74</v>
      </c>
    </row>
    <row r="24">
      <c r="A24" s="73" t="inlineStr">
        <is>
          <t>Data prevista do recebimento (nota no último dia útil do mês + prazo da 03 B14; vencimento em dia não útil passa para o dia útil seguinte)</t>
        </is>
      </c>
      <c r="B24" s="77" t="inlineStr">
        <is>
          <t>03 B14; 02 (feriados)</t>
        </is>
      </c>
      <c r="C24" s="97">
        <f>WORKDAY(WORKDAY(EOMONTH(C$21,0)+1,-1,FERIADOS_342)+'03. CONTRATOS'!$B$14-1,1,FERIADOS_342)</f>
        <v>46325.0</v>
      </c>
      <c r="D24" s="97">
        <f>WORKDAY(WORKDAY(EOMONTH(D$21,0)+1,-1,FERIADOS_342)+'03. CONTRATOS'!$B$14-1,1,FERIADOS_342)</f>
        <v>46357.0</v>
      </c>
      <c r="E24" s="97">
        <f>WORKDAY(WORKDAY(EOMONTH(E$21,0)+1,-1,FERIADOS_342)+'03. CONTRATOS'!$B$14-1,1,FERIADOS_342)</f>
        <v>46384.0</v>
      </c>
      <c r="F24" s="97">
        <f>WORKDAY(WORKDAY(EOMONTH(F$21,0)+1,-1,FERIADOS_342)+'03. CONTRATOS'!$B$14-1,1,FERIADOS_342)</f>
        <v>46419.0</v>
      </c>
      <c r="G24" s="97">
        <f>WORKDAY(WORKDAY(EOMONTH(G$21,0)+1,-1,FERIADOS_342)+'03. CONTRATOS'!$B$14-1,1,FERIADOS_342)</f>
        <v>46447.0</v>
      </c>
      <c r="H24" s="97">
        <f>WORKDAY(WORKDAY(EOMONTH(H$21,0)+1,-1,FERIADOS_342)+'03. CONTRATOS'!$B$14-1,1,FERIADOS_342)</f>
        <v>46475.0</v>
      </c>
      <c r="I24" s="97">
        <f>WORKDAY(WORKDAY(EOMONTH(I$21,0)+1,-1,FERIADOS_342)+'03. CONTRATOS'!$B$14-1,1,FERIADOS_342)</f>
        <v>46507.0</v>
      </c>
      <c r="J24" s="97">
        <f>WORKDAY(WORKDAY(EOMONTH(J$21,0)+1,-1,FERIADOS_342)+'03. CONTRATOS'!$B$14-1,1,FERIADOS_342)</f>
        <v>46538.0</v>
      </c>
      <c r="K24" s="97">
        <f>WORKDAY(WORKDAY(EOMONTH(K$21,0)+1,-1,FERIADOS_342)+'03. CONTRATOS'!$B$14-1,1,FERIADOS_342)</f>
        <v>46568.0</v>
      </c>
      <c r="L24" s="97">
        <f>WORKDAY(WORKDAY(EOMONTH(L$21,0)+1,-1,FERIADOS_342)+'03. CONTRATOS'!$B$14-1,1,FERIADOS_342)</f>
        <v>46598.0</v>
      </c>
      <c r="M24" s="97">
        <f>WORKDAY(WORKDAY(EOMONTH(M$21,0)+1,-1,FERIADOS_342)+'03. CONTRATOS'!$B$14-1,1,FERIADOS_342)</f>
        <v>46629.0</v>
      </c>
      <c r="N24" s="97">
        <f>WORKDAY(WORKDAY(EOMONTH(N$21,0)+1,-1,FERIADOS_342)+'03. CONTRATOS'!$B$14-1,1,FERIADOS_342)</f>
        <v>46660.0</v>
      </c>
      <c r="O24" s="97">
        <f>WORKDAY(WORKDAY(EOMONTH(O$21,0)+1,-1,FERIADOS_342)+'03. CONTRATOS'!$B$14-1,1,FERIADOS_342)</f>
        <v>46692.0</v>
      </c>
      <c r="P24" s="97">
        <f>WORKDAY(WORKDAY(EOMONTH(P$21,0)+1,-1,FERIADOS_342)+'03. CONTRATOS'!$B$14-1,1,FERIADOS_342)</f>
        <v>46720.0</v>
      </c>
      <c r="Q24" s="97">
        <f>WORKDAY(WORKDAY(EOMONTH(Q$21,0)+1,-1,FERIADOS_342)+'03. CONTRATOS'!$B$14-1,1,FERIADOS_342)</f>
        <v>46750.0</v>
      </c>
      <c r="R24" s="97">
        <f>WORKDAY(WORKDAY(EOMONTH(R$21,0)+1,-1,FERIADOS_342)+'03. CONTRATOS'!$B$14-1,1,FERIADOS_342)</f>
        <v>46783.0</v>
      </c>
      <c r="S24" s="97" t="n"/>
    </row>
    <row r="25">
      <c r="A25" s="73" t="inlineStr">
        <is>
          <t>Recebimento bruto previsto (data da linha 24 + atraso C8, após glosa C9)</t>
        </is>
      </c>
      <c r="B25" s="77" t="inlineStr">
        <is>
          <t>calculado</t>
        </is>
      </c>
      <c r="C25" s="93">
        <f>SUMIFS($C23:$R23,$C24:$R24,"&gt;="&amp;(C$21-$C$8),$C24:$R24,"&lt;="&amp;(EOMONTH(C$21,0)-$C$8))*(1-$C$9)</f>
        <v>0</v>
      </c>
      <c r="D25" s="93">
        <f>SUMIFS($C23:$R23,$C24:$R24,"&gt;="&amp;(D$21-$C$8),$C24:$R24,"&lt;="&amp;(EOMONTH(D$21,0)-$C$8))*(1-$C$9)</f>
        <v>0</v>
      </c>
      <c r="E25" s="93">
        <f>SUMIFS($C23:$R23,$C24:$R24,"&gt;="&amp;(E$21-$C$8),$C24:$R24,"&lt;="&amp;(EOMONTH(E$21,0)-$C$8))*(1-$C$9)</f>
        <v>0</v>
      </c>
      <c r="F25" s="93">
        <f>SUMIFS($C23:$R23,$C24:$R24,"&gt;="&amp;(F$21-$C$8),$C24:$R24,"&lt;="&amp;(EOMONTH(F$21,0)-$C$8))*(1-$C$9)</f>
        <v>188227.58</v>
      </c>
      <c r="G25" s="93">
        <f>SUMIFS($C23:$R23,$C24:$R24,"&gt;="&amp;(G$21-$C$8),$C24:$R24,"&lt;="&amp;(EOMONTH(G$21,0)-$C$8))*(1-$C$9)</f>
        <v>0</v>
      </c>
      <c r="H25" s="93">
        <f>SUMIFS($C23:$R23,$C24:$R24,"&gt;="&amp;(H$21-$C$8),$C24:$R24,"&lt;="&amp;(EOMONTH(H$21,0)-$C$8))*(1-$C$9)</f>
        <v>89197.56</v>
      </c>
      <c r="I25" s="93">
        <f>SUMIFS($C23:$R23,$C24:$R24,"&gt;="&amp;(I$21-$C$8),$C24:$R24,"&lt;="&amp;(EOMONTH(I$21,0)-$C$8))*(1-$C$9)</f>
        <v>973869.39</v>
      </c>
      <c r="J25" s="93">
        <f>SUMIFS($C23:$R23,$C24:$R24,"&gt;="&amp;(J$21-$C$8),$C24:$R24,"&lt;="&amp;(EOMONTH(J$21,0)-$C$8))*(1-$C$9)</f>
        <v>313203.86</v>
      </c>
      <c r="K25" s="93">
        <f>SUMIFS($C23:$R23,$C24:$R24,"&gt;="&amp;(K$21-$C$8),$C24:$R24,"&lt;="&amp;(EOMONTH(K$21,0)-$C$8))*(1-$C$9)</f>
        <v>904012.82</v>
      </c>
      <c r="L25" s="93">
        <f>SUMIFS($C23:$R23,$C24:$R24,"&gt;="&amp;(L$21-$C$8),$C24:$R24,"&lt;="&amp;(EOMONTH(L$21,0)-$C$8))*(1-$C$9)</f>
        <v>253640.04</v>
      </c>
      <c r="M25" s="93">
        <f>SUMIFS($C23:$R23,$C24:$R24,"&gt;="&amp;(M$21-$C$8),$C24:$R24,"&lt;="&amp;(EOMONTH(M$21,0)-$C$8))*(1-$C$9)</f>
        <v>415335.92</v>
      </c>
      <c r="N25" s="93">
        <f>SUMIFS($C23:$R23,$C24:$R24,"&gt;="&amp;(N$21-$C$8),$C24:$R24,"&lt;="&amp;(EOMONTH(N$21,0)-$C$8))*(1-$C$9)</f>
        <v>50760.4</v>
      </c>
      <c r="O25" s="93">
        <f>SUMIFS($C23:$R23,$C24:$R24,"&gt;="&amp;(O$21-$C$8),$C24:$R24,"&lt;="&amp;(EOMONTH(O$21,0)-$C$8))*(1-$C$9)</f>
        <v>66927.5</v>
      </c>
      <c r="P25" s="93">
        <f>SUMIFS($C23:$R23,$C24:$R24,"&gt;="&amp;(P$21-$C$8),$C24:$R24,"&lt;="&amp;(EOMONTH(P$21,0)-$C$8))*(1-$C$9)</f>
        <v>0</v>
      </c>
      <c r="Q25" s="93">
        <f>SUMIFS($C23:$R23,$C24:$R24,"&gt;="&amp;(Q$21-$C$8),$C24:$R24,"&lt;="&amp;(EOMONTH(Q$21,0)-$C$8))*(1-$C$9)</f>
        <v>2795.67</v>
      </c>
      <c r="R25" s="93">
        <f>SUMIFS($C23:$R23,$C24:$R24,"&gt;="&amp;(R$21-$C$8),$C24:$R24,"&lt;="&amp;(EOMONTH(R$21,0)-$C$8))*(1-$C$9)</f>
        <v>0</v>
      </c>
      <c r="S25" s="93">
        <f>IF(COUNT(C25:R25)=0,"sem lançamento",SUM(C25:R25))</f>
        <v>3257970.74</v>
      </c>
    </row>
    <row r="26">
      <c r="A26" s="73" t="inlineStr">
        <is>
          <t>(-) Tributos sobre o recebimento</t>
        </is>
      </c>
      <c r="B26" s="77" t="inlineStr">
        <is>
          <t>calculado</t>
        </is>
      </c>
      <c r="C26" s="93">
        <f>C25*$C$10</f>
        <v>0</v>
      </c>
      <c r="D26" s="93">
        <f>D25*$C$10</f>
        <v>0</v>
      </c>
      <c r="E26" s="93">
        <f>E25*$C$10</f>
        <v>0</v>
      </c>
      <c r="F26" s="93">
        <f>F25*$C$10</f>
        <v>15999.3443</v>
      </c>
      <c r="G26" s="93">
        <f>G25*$C$10</f>
        <v>0</v>
      </c>
      <c r="H26" s="93">
        <f>H25*$C$10</f>
        <v>7581.7926</v>
      </c>
      <c r="I26" s="93">
        <f>I25*$C$10</f>
        <v>82778.89815</v>
      </c>
      <c r="J26" s="93">
        <f>J25*$C$10</f>
        <v>26622.3281</v>
      </c>
      <c r="K26" s="93">
        <f>K25*$C$10</f>
        <v>76841.0897</v>
      </c>
      <c r="L26" s="93">
        <f>L25*$C$10</f>
        <v>21559.4034</v>
      </c>
      <c r="M26" s="93">
        <f>M25*$C$10</f>
        <v>35303.5532</v>
      </c>
      <c r="N26" s="93">
        <f>N25*$C$10</f>
        <v>4314.634</v>
      </c>
      <c r="O26" s="93">
        <f>O25*$C$10</f>
        <v>5688.8375</v>
      </c>
      <c r="P26" s="93">
        <f>P25*$C$10</f>
        <v>0</v>
      </c>
      <c r="Q26" s="93">
        <f>Q25*$C$10</f>
        <v>237.63195</v>
      </c>
      <c r="R26" s="93">
        <f>R25*$C$10</f>
        <v>0</v>
      </c>
      <c r="S26" s="93">
        <f>IF(COUNT(C26:R26)=0,"sem lançamento",SUM(C26:R26))</f>
        <v>276927.5129</v>
      </c>
    </row>
    <row r="27">
      <c r="A27" s="81" t="inlineStr">
        <is>
          <t>Entrada líquida de tributos</t>
        </is>
      </c>
      <c r="B27" s="94" t="inlineStr">
        <is>
          <t>calculado</t>
        </is>
      </c>
      <c r="C27" s="96">
        <f>C25-C26</f>
        <v>0</v>
      </c>
      <c r="D27" s="96">
        <f>D25-D26</f>
        <v>0</v>
      </c>
      <c r="E27" s="96">
        <f>E25-E26</f>
        <v>0</v>
      </c>
      <c r="F27" s="96">
        <f>F25-F26</f>
        <v>172228.2357</v>
      </c>
      <c r="G27" s="96">
        <f>G25-G26</f>
        <v>0</v>
      </c>
      <c r="H27" s="96">
        <f>H25-H26</f>
        <v>81615.7674</v>
      </c>
      <c r="I27" s="96">
        <f>I25-I26</f>
        <v>891090.49185</v>
      </c>
      <c r="J27" s="96">
        <f>J25-J26</f>
        <v>286581.5319</v>
      </c>
      <c r="K27" s="96">
        <f>K25-K26</f>
        <v>827171.7303</v>
      </c>
      <c r="L27" s="96">
        <f>L25-L26</f>
        <v>232080.6366</v>
      </c>
      <c r="M27" s="96">
        <f>M25-M26</f>
        <v>380032.3668</v>
      </c>
      <c r="N27" s="96">
        <f>N25-N26</f>
        <v>46445.766</v>
      </c>
      <c r="O27" s="96">
        <f>O25-O26</f>
        <v>61238.6625</v>
      </c>
      <c r="P27" s="96">
        <f>P25-P26</f>
        <v>0</v>
      </c>
      <c r="Q27" s="96">
        <f>Q25-Q26</f>
        <v>2558.03805</v>
      </c>
      <c r="R27" s="96">
        <f>R25-R26</f>
        <v>0</v>
      </c>
      <c r="S27" s="96">
        <f>IF(COUNT(C27:R27)=0,"sem lançamento",SUM(C27:R27))</f>
        <v>2981043.2271</v>
      </c>
    </row>
    <row r="28">
      <c r="A28" s="73" t="inlineStr">
        <is>
          <t>Saída: mão de obra própria + serviços de campo</t>
        </is>
      </c>
      <c r="B28" s="77" t="inlineStr">
        <is>
          <t>04. PLANO (REV13, aba 09)</t>
        </is>
      </c>
      <c r="C28" s="252">
        <f>'04. PLANO DAS OBRAS'!C8+'04. PLANO DAS OBRAS'!C10</f>
        <v>0</v>
      </c>
      <c r="D28" s="252">
        <f>'04. PLANO DAS OBRAS'!D8+'04. PLANO DAS OBRAS'!D10</f>
        <v>0</v>
      </c>
      <c r="E28" s="252">
        <f>'04. PLANO DAS OBRAS'!E8+'04. PLANO DAS OBRAS'!E10</f>
        <v>112252.18</v>
      </c>
      <c r="F28" s="252">
        <f>'04. PLANO DAS OBRAS'!F8+'04. PLANO DAS OBRAS'!F10</f>
        <v>83607.92</v>
      </c>
      <c r="G28" s="252">
        <f>'04. PLANO DAS OBRAS'!G8+'04. PLANO DAS OBRAS'!G10</f>
        <v>395729.49</v>
      </c>
      <c r="H28" s="252">
        <f>'04. PLANO DAS OBRAS'!H8+'04. PLANO DAS OBRAS'!H10</f>
        <v>176763.18</v>
      </c>
      <c r="I28" s="252">
        <f>'04. PLANO DAS OBRAS'!I8+'04. PLANO DAS OBRAS'!I10</f>
        <v>147157.32</v>
      </c>
      <c r="J28" s="252">
        <f>'04. PLANO DAS OBRAS'!J8+'04. PLANO DAS OBRAS'!J10</f>
        <v>100127.67</v>
      </c>
      <c r="K28" s="252">
        <f>'04. PLANO DAS OBRAS'!K8+'04. PLANO DAS OBRAS'!K10</f>
        <v>141771.61</v>
      </c>
      <c r="L28" s="252">
        <f>'04. PLANO DAS OBRAS'!L8+'04. PLANO DAS OBRAS'!L10</f>
        <v>97210.15</v>
      </c>
      <c r="M28" s="252">
        <f>'04. PLANO DAS OBRAS'!M8+'04. PLANO DAS OBRAS'!M10</f>
        <v>163276.85</v>
      </c>
      <c r="N28" s="252">
        <f>'04. PLANO DAS OBRAS'!N8+'04. PLANO DAS OBRAS'!N10</f>
        <v>89535.44</v>
      </c>
      <c r="O28" s="252">
        <f>'04. PLANO DAS OBRAS'!O8+'04. PLANO DAS OBRAS'!O10</f>
        <v>10894.39</v>
      </c>
      <c r="P28" s="252">
        <f>'04. PLANO DAS OBRAS'!P8+'04. PLANO DAS OBRAS'!P10</f>
        <v>0</v>
      </c>
      <c r="Q28" s="252">
        <f>'04. PLANO DAS OBRAS'!Q8+'04. PLANO DAS OBRAS'!Q10</f>
        <v>0</v>
      </c>
      <c r="R28" s="252">
        <f>'04. PLANO DAS OBRAS'!R8+'04. PLANO DAS OBRAS'!R10</f>
        <v>0</v>
      </c>
      <c r="S28" s="93">
        <f>IF(COUNT(C28:R28)=0,"sem lançamento",SUM(C28:R28))</f>
        <v>1518326.2</v>
      </c>
    </row>
    <row r="29">
      <c r="A29" s="73" t="inlineStr">
        <is>
          <t>Saída: administração local, canteiro e projetos</t>
        </is>
      </c>
      <c r="B29" s="77" t="inlineStr">
        <is>
          <t>04. PLANO (REV13, aba 09)</t>
        </is>
      </c>
      <c r="C29" s="252">
        <f>'04. PLANO DAS OBRAS'!C11</f>
        <v>0</v>
      </c>
      <c r="D29" s="252">
        <f>'04. PLANO DAS OBRAS'!D11</f>
        <v>29525.98</v>
      </c>
      <c r="E29" s="252">
        <f>'04. PLANO DAS OBRAS'!E11</f>
        <v>120278.74</v>
      </c>
      <c r="F29" s="252">
        <f>'04. PLANO DAS OBRAS'!F11</f>
        <v>61523.59</v>
      </c>
      <c r="G29" s="252">
        <f>'04. PLANO DAS OBRAS'!G11</f>
        <v>72290.69</v>
      </c>
      <c r="H29" s="252">
        <f>'04. PLANO DAS OBRAS'!H11</f>
        <v>66933.84</v>
      </c>
      <c r="I29" s="252">
        <f>'04. PLANO DAS OBRAS'!I11</f>
        <v>61547.62</v>
      </c>
      <c r="J29" s="252">
        <f>'04. PLANO DAS OBRAS'!J11</f>
        <v>72320.05</v>
      </c>
      <c r="K29" s="252">
        <f>'04. PLANO DAS OBRAS'!K11</f>
        <v>69626.95</v>
      </c>
      <c r="L29" s="252">
        <f>'04. PLANO DAS OBRAS'!L11</f>
        <v>65995.98</v>
      </c>
      <c r="M29" s="252">
        <f>'04. PLANO DAS OBRAS'!M11</f>
        <v>74352.45</v>
      </c>
      <c r="N29" s="252">
        <f>'04. PLANO DAS OBRAS'!N11</f>
        <v>74352.45</v>
      </c>
      <c r="O29" s="252">
        <f>'04. PLANO DAS OBRAS'!O11</f>
        <v>31836.77</v>
      </c>
      <c r="P29" s="252">
        <f>'04. PLANO DAS OBRAS'!P11</f>
        <v>0</v>
      </c>
      <c r="Q29" s="252">
        <f>'04. PLANO DAS OBRAS'!Q11</f>
        <v>0</v>
      </c>
      <c r="R29" s="252">
        <f>'04. PLANO DAS OBRAS'!R11</f>
        <v>0</v>
      </c>
      <c r="S29" s="93">
        <f>IF(COUNT(C29:R29)=0,"sem lançamento",SUM(C29:R29))</f>
        <v>800585.11</v>
      </c>
    </row>
    <row r="30">
      <c r="A30" s="73" t="inlineStr">
        <is>
          <t>Saída: materiais dos pacotes de compra</t>
        </is>
      </c>
      <c r="B30" s="77" t="inlineStr">
        <is>
          <t>04. PLANO (REV13, aba 09)</t>
        </is>
      </c>
      <c r="C30" s="252">
        <f>'04. PLANO DAS OBRAS'!C9</f>
        <v>0</v>
      </c>
      <c r="D30" s="252">
        <f>'04. PLANO DAS OBRAS'!D9</f>
        <v>0</v>
      </c>
      <c r="E30" s="252">
        <f>'04. PLANO DAS OBRAS'!E9</f>
        <v>46581.52</v>
      </c>
      <c r="F30" s="252">
        <f>'04. PLANO DAS OBRAS'!F9</f>
        <v>226655.22</v>
      </c>
      <c r="G30" s="252">
        <f>'04. PLANO DAS OBRAS'!G9</f>
        <v>12843.54</v>
      </c>
      <c r="H30" s="252">
        <f>'04. PLANO DAS OBRAS'!H9</f>
        <v>0</v>
      </c>
      <c r="I30" s="252">
        <f>'04. PLANO DAS OBRAS'!I9</f>
        <v>50506.83</v>
      </c>
      <c r="J30" s="252">
        <f>'04. PLANO DAS OBRAS'!J9</f>
        <v>0</v>
      </c>
      <c r="K30" s="252">
        <f>'04. PLANO DAS OBRAS'!K9</f>
        <v>427397.7</v>
      </c>
      <c r="L30" s="252">
        <f>'04. PLANO DAS OBRAS'!L9</f>
        <v>129563.1</v>
      </c>
      <c r="M30" s="252">
        <f>'04. PLANO DAS OBRAS'!M9</f>
        <v>0</v>
      </c>
      <c r="N30" s="252">
        <f>'04. PLANO DAS OBRAS'!N9</f>
        <v>0</v>
      </c>
      <c r="O30" s="252">
        <f>'04. PLANO DAS OBRAS'!O9</f>
        <v>0</v>
      </c>
      <c r="P30" s="252">
        <f>'04. PLANO DAS OBRAS'!P9</f>
        <v>0</v>
      </c>
      <c r="Q30" s="252">
        <f>'04. PLANO DAS OBRAS'!Q9</f>
        <v>0</v>
      </c>
      <c r="R30" s="252">
        <f>'04. PLANO DAS OBRAS'!R9</f>
        <v>0</v>
      </c>
      <c r="S30" s="93">
        <f>IF(COUNT(C30:R30)=0,"sem lançamento",SUM(C30:R30))</f>
        <v>893547.91</v>
      </c>
    </row>
    <row r="31">
      <c r="A31" s="73" t="inlineStr">
        <is>
          <t>Saída: terceiros (já dentro dos serviços de campo)</t>
        </is>
      </c>
      <c r="B31" s="77" t="inlineStr">
        <is>
          <t>estudo REV13</t>
        </is>
      </c>
      <c r="C31" s="252">
        <f>0</f>
        <v>0</v>
      </c>
      <c r="D31" s="252">
        <f>0</f>
        <v>0</v>
      </c>
      <c r="E31" s="252">
        <f>0</f>
        <v>0</v>
      </c>
      <c r="F31" s="252">
        <f>0</f>
        <v>0</v>
      </c>
      <c r="G31" s="252">
        <f>0</f>
        <v>0</v>
      </c>
      <c r="H31" s="252">
        <f>0</f>
        <v>0</v>
      </c>
      <c r="I31" s="252">
        <f>0</f>
        <v>0</v>
      </c>
      <c r="J31" s="252">
        <f>0</f>
        <v>0</v>
      </c>
      <c r="K31" s="252">
        <f>0</f>
        <v>0</v>
      </c>
      <c r="L31" s="252">
        <f>0</f>
        <v>0</v>
      </c>
      <c r="M31" s="252">
        <f>0</f>
        <v>0</v>
      </c>
      <c r="N31" s="252">
        <f>0</f>
        <v>0</v>
      </c>
      <c r="O31" s="252">
        <f>0</f>
        <v>0</v>
      </c>
      <c r="P31" s="252">
        <f>0</f>
        <v>0</v>
      </c>
      <c r="Q31" s="252">
        <f>0</f>
        <v>0</v>
      </c>
      <c r="R31" s="252">
        <f>0</f>
        <v>0</v>
      </c>
      <c r="S31" s="93">
        <f>IF(COUNT(C31:R31)=0,"sem lançamento",SUM(C31:R31))</f>
        <v>0</v>
      </c>
    </row>
    <row r="32">
      <c r="A32" s="81" t="inlineStr">
        <is>
          <t>Saídas previstas (total)</t>
        </is>
      </c>
      <c r="B32" s="94" t="inlineStr">
        <is>
          <t>soma das quatro linhas</t>
        </is>
      </c>
      <c r="C32" s="96">
        <f>SUM(C28:C31)</f>
        <v>0</v>
      </c>
      <c r="D32" s="96">
        <f>SUM(D28:D31)</f>
        <v>29525.98</v>
      </c>
      <c r="E32" s="96">
        <f>SUM(E28:E31)</f>
        <v>279112.44</v>
      </c>
      <c r="F32" s="96">
        <f>SUM(F28:F31)</f>
        <v>371786.73</v>
      </c>
      <c r="G32" s="96">
        <f>SUM(G28:G31)</f>
        <v>480863.72</v>
      </c>
      <c r="H32" s="96">
        <f>SUM(H28:H31)</f>
        <v>243697.02</v>
      </c>
      <c r="I32" s="96">
        <f>SUM(I28:I31)</f>
        <v>259211.77</v>
      </c>
      <c r="J32" s="96">
        <f>SUM(J28:J31)</f>
        <v>172447.72</v>
      </c>
      <c r="K32" s="96">
        <f>SUM(K28:K31)</f>
        <v>638796.26</v>
      </c>
      <c r="L32" s="96">
        <f>SUM(L28:L31)</f>
        <v>292769.23</v>
      </c>
      <c r="M32" s="96">
        <f>SUM(M28:M31)</f>
        <v>237629.3</v>
      </c>
      <c r="N32" s="96">
        <f>SUM(N28:N31)</f>
        <v>163887.89</v>
      </c>
      <c r="O32" s="96">
        <f>SUM(O28:O31)</f>
        <v>42731.16</v>
      </c>
      <c r="P32" s="96">
        <f>SUM(P28:P31)</f>
        <v>0</v>
      </c>
      <c r="Q32" s="96">
        <f>SUM(Q28:Q31)</f>
        <v>0</v>
      </c>
      <c r="R32" s="96">
        <f>SUM(R28:R31)</f>
        <v>0</v>
      </c>
      <c r="S32" s="96">
        <f>IF(COUNT(C32:R32)=0,"sem lançamento",SUM(C32:R32))</f>
        <v>3212459.22</v>
      </c>
    </row>
    <row r="33">
      <c r="A33" s="73" t="inlineStr">
        <is>
          <t>Saldo do mês</t>
        </is>
      </c>
      <c r="B33" s="77" t="inlineStr">
        <is>
          <t>calculado</t>
        </is>
      </c>
      <c r="C33" s="93">
        <f>C27-C32</f>
        <v>0</v>
      </c>
      <c r="D33" s="93">
        <f>D27-D32</f>
        <v>-29525.98</v>
      </c>
      <c r="E33" s="93">
        <f>E27-E32</f>
        <v>-279112.44</v>
      </c>
      <c r="F33" s="93">
        <f>F27-F32</f>
        <v>-199558.4943</v>
      </c>
      <c r="G33" s="93">
        <f>G27-G32</f>
        <v>-480863.72</v>
      </c>
      <c r="H33" s="93">
        <f>H27-H32</f>
        <v>-162081.2526</v>
      </c>
      <c r="I33" s="93">
        <f>I27-I32</f>
        <v>631878.72185</v>
      </c>
      <c r="J33" s="93">
        <f>J27-J32</f>
        <v>114133.8119</v>
      </c>
      <c r="K33" s="93">
        <f>K27-K32</f>
        <v>188375.4703</v>
      </c>
      <c r="L33" s="93">
        <f>L27-L32</f>
        <v>-60688.5934</v>
      </c>
      <c r="M33" s="93">
        <f>M27-M32</f>
        <v>142403.0668</v>
      </c>
      <c r="N33" s="93">
        <f>N27-N32</f>
        <v>-117442.124</v>
      </c>
      <c r="O33" s="93">
        <f>O27-O32</f>
        <v>18507.5025</v>
      </c>
      <c r="P33" s="93">
        <f>P27-P32</f>
        <v>0</v>
      </c>
      <c r="Q33" s="93">
        <f>Q27-Q32</f>
        <v>2558.03805</v>
      </c>
      <c r="R33" s="93">
        <f>R27-R32</f>
        <v>0</v>
      </c>
      <c r="S33" s="93">
        <f>IF(COUNT(C33:R33)=0,"sem lançamento",SUM(C33:R33))</f>
        <v>-231415.9929</v>
      </c>
    </row>
    <row r="34">
      <c r="A34" s="98" t="inlineStr">
        <is>
          <t>Saldo acumulado</t>
        </is>
      </c>
      <c r="B34" s="99" t="inlineStr">
        <is>
          <t>calculado</t>
        </is>
      </c>
      <c r="C34" s="100">
        <f>SUM($C33:C33)</f>
        <v>0</v>
      </c>
      <c r="D34" s="100">
        <f>SUM($C33:D33)</f>
        <v>-29525.98</v>
      </c>
      <c r="E34" s="100">
        <f>SUM($C33:E33)</f>
        <v>-308638.42</v>
      </c>
      <c r="F34" s="100">
        <f>SUM($C33:F33)</f>
        <v>-508196.9143</v>
      </c>
      <c r="G34" s="100">
        <f>SUM($C33:G33)</f>
        <v>-989060.6343</v>
      </c>
      <c r="H34" s="100">
        <f>SUM($C33:H33)</f>
        <v>-1151141.8869</v>
      </c>
      <c r="I34" s="100">
        <f>SUM($C33:I33)</f>
        <v>-519263.16505</v>
      </c>
      <c r="J34" s="100">
        <f>SUM($C33:J33)</f>
        <v>-405129.35315</v>
      </c>
      <c r="K34" s="100">
        <f>SUM($C33:K33)</f>
        <v>-216753.88285</v>
      </c>
      <c r="L34" s="100">
        <f>SUM($C33:L33)</f>
        <v>-277442.47625</v>
      </c>
      <c r="M34" s="100">
        <f>SUM($C33:M33)</f>
        <v>-135039.40945</v>
      </c>
      <c r="N34" s="100">
        <f>SUM($C33:N33)</f>
        <v>-252481.53345</v>
      </c>
      <c r="O34" s="100">
        <f>SUM($C33:O33)</f>
        <v>-233974.03095</v>
      </c>
      <c r="P34" s="100">
        <f>SUM($C33:P33)</f>
        <v>-233974.03095</v>
      </c>
      <c r="Q34" s="100">
        <f>SUM($C33:Q33)</f>
        <v>-231415.9929</v>
      </c>
      <c r="R34" s="100">
        <f>SUM($C33:R33)</f>
        <v>-231415.9929</v>
      </c>
      <c r="S34" s="100" t="n"/>
    </row>
    <row r="35">
      <c r="A35" s="73" t="inlineStr">
        <is>
          <t>Referência: saldo do mês no estudo REV13 (cenário 1, com antecipação; aba 09 linha 18)</t>
        </is>
      </c>
      <c r="B35" s="77" t="inlineStr">
        <is>
          <t>estudo REV13, aba 09</t>
        </is>
      </c>
      <c r="C35" s="253" t="n">
        <v>0</v>
      </c>
      <c r="D35" s="253" t="n">
        <v>-29525.98</v>
      </c>
      <c r="E35" s="253" t="n">
        <v>-279112.44</v>
      </c>
      <c r="F35" s="253" t="n">
        <v>-201403.13</v>
      </c>
      <c r="G35" s="253" t="n">
        <v>-400122.09</v>
      </c>
      <c r="H35" s="253" t="n">
        <v>621698.5</v>
      </c>
      <c r="I35" s="253" t="n">
        <v>-243060.72</v>
      </c>
      <c r="J35" s="253" t="n">
        <v>111064.4</v>
      </c>
      <c r="K35" s="253" t="n">
        <v>179516.15</v>
      </c>
      <c r="L35" s="253" t="n">
        <v>-63174.26</v>
      </c>
      <c r="M35" s="253" t="n">
        <v>138332.79</v>
      </c>
      <c r="N35" s="253" t="n">
        <v>-117939.58</v>
      </c>
      <c r="O35" s="253" t="n">
        <v>17851.62</v>
      </c>
      <c r="P35" s="253" t="n">
        <v>2530.64</v>
      </c>
      <c r="Q35" s="253" t="n">
        <v>0</v>
      </c>
      <c r="R35" s="253" t="n">
        <v>0</v>
      </c>
      <c r="S35" s="93">
        <f>IF(COUNT(C35:R35)=0,"sem lançamento",SUM(C35:R35))</f>
        <v>-263344.1</v>
      </c>
    </row>
    <row r="36">
      <c r="A36" s="73" t="inlineStr">
        <is>
          <t>Medição real lançada (06, valor bruto)</t>
        </is>
      </c>
      <c r="B36" s="77" t="inlineStr">
        <is>
          <t>06. MEDIÇÃO (BM)</t>
        </is>
      </c>
      <c r="C36" s="108" t="str">
        <f>IF(COUNTIFS('06. MEDIÇÃO (BM)'!$B$5:$B$44,"342",'06. MEDIÇÃO (BM)'!$D$5:$D$44,"&gt;="&amp;C$21,'06. MEDIÇÃO (BM)'!$D$5:$D$44,"&lt;"&amp;EDATE(C$21,1),'06. MEDIÇÃO (BM)'!$G$5:$G$44,"&lt;&gt;")=0,"sem lançamento",SUMIFS('06. MEDIÇÃO (BM)'!$G$5:$G$44,'06. MEDIÇÃO (BM)'!$B$5:$B$44,"342",'06. MEDIÇÃO (BM)'!$D$5:$D$44,"&gt;="&amp;C$21,'06. MEDIÇÃO (BM)'!$D$5:$D$44,"&lt;"&amp;EDATE(C$21,1)))</f>
        <v>sem lançamento</v>
      </c>
      <c r="D36" s="108" t="str">
        <f>IF(COUNTIFS('06. MEDIÇÃO (BM)'!$B$5:$B$44,"342",'06. MEDIÇÃO (BM)'!$D$5:$D$44,"&gt;="&amp;D$21,'06. MEDIÇÃO (BM)'!$D$5:$D$44,"&lt;"&amp;EDATE(D$21,1),'06. MEDIÇÃO (BM)'!$G$5:$G$44,"&lt;&gt;")=0,"sem lançamento",SUMIFS('06. MEDIÇÃO (BM)'!$G$5:$G$44,'06. MEDIÇÃO (BM)'!$B$5:$B$44,"342",'06. MEDIÇÃO (BM)'!$D$5:$D$44,"&gt;="&amp;D$21,'06. MEDIÇÃO (BM)'!$D$5:$D$44,"&lt;"&amp;EDATE(D$21,1)))</f>
        <v>sem lançamento</v>
      </c>
      <c r="E36" s="108" t="str">
        <f>IF(COUNTIFS('06. MEDIÇÃO (BM)'!$B$5:$B$44,"342",'06. MEDIÇÃO (BM)'!$D$5:$D$44,"&gt;="&amp;E$21,'06. MEDIÇÃO (BM)'!$D$5:$D$44,"&lt;"&amp;EDATE(E$21,1),'06. MEDIÇÃO (BM)'!$G$5:$G$44,"&lt;&gt;")=0,"sem lançamento",SUMIFS('06. MEDIÇÃO (BM)'!$G$5:$G$44,'06. MEDIÇÃO (BM)'!$B$5:$B$44,"342",'06. MEDIÇÃO (BM)'!$D$5:$D$44,"&gt;="&amp;E$21,'06. MEDIÇÃO (BM)'!$D$5:$D$44,"&lt;"&amp;EDATE(E$21,1)))</f>
        <v>sem lançamento</v>
      </c>
      <c r="F36" s="108" t="str">
        <f>IF(COUNTIFS('06. MEDIÇÃO (BM)'!$B$5:$B$44,"342",'06. MEDIÇÃO (BM)'!$D$5:$D$44,"&gt;="&amp;F$21,'06. MEDIÇÃO (BM)'!$D$5:$D$44,"&lt;"&amp;EDATE(F$21,1),'06. MEDIÇÃO (BM)'!$G$5:$G$44,"&lt;&gt;")=0,"sem lançamento",SUMIFS('06. MEDIÇÃO (BM)'!$G$5:$G$44,'06. MEDIÇÃO (BM)'!$B$5:$B$44,"342",'06. MEDIÇÃO (BM)'!$D$5:$D$44,"&gt;="&amp;F$21,'06. MEDIÇÃO (BM)'!$D$5:$D$44,"&lt;"&amp;EDATE(F$21,1)))</f>
        <v>sem lançamento</v>
      </c>
      <c r="G36" s="108" t="str">
        <f>IF(COUNTIFS('06. MEDIÇÃO (BM)'!$B$5:$B$44,"342",'06. MEDIÇÃO (BM)'!$D$5:$D$44,"&gt;="&amp;G$21,'06. MEDIÇÃO (BM)'!$D$5:$D$44,"&lt;"&amp;EDATE(G$21,1),'06. MEDIÇÃO (BM)'!$G$5:$G$44,"&lt;&gt;")=0,"sem lançamento",SUMIFS('06. MEDIÇÃO (BM)'!$G$5:$G$44,'06. MEDIÇÃO (BM)'!$B$5:$B$44,"342",'06. MEDIÇÃO (BM)'!$D$5:$D$44,"&gt;="&amp;G$21,'06. MEDIÇÃO (BM)'!$D$5:$D$44,"&lt;"&amp;EDATE(G$21,1)))</f>
        <v>sem lançamento</v>
      </c>
      <c r="H36" s="108" t="str">
        <f>IF(COUNTIFS('06. MEDIÇÃO (BM)'!$B$5:$B$44,"342",'06. MEDIÇÃO (BM)'!$D$5:$D$44,"&gt;="&amp;H$21,'06. MEDIÇÃO (BM)'!$D$5:$D$44,"&lt;"&amp;EDATE(H$21,1),'06. MEDIÇÃO (BM)'!$G$5:$G$44,"&lt;&gt;")=0,"sem lançamento",SUMIFS('06. MEDIÇÃO (BM)'!$G$5:$G$44,'06. MEDIÇÃO (BM)'!$B$5:$B$44,"342",'06. MEDIÇÃO (BM)'!$D$5:$D$44,"&gt;="&amp;H$21,'06. MEDIÇÃO (BM)'!$D$5:$D$44,"&lt;"&amp;EDATE(H$21,1)))</f>
        <v>sem lançamento</v>
      </c>
      <c r="I36" s="108" t="str">
        <f>IF(COUNTIFS('06. MEDIÇÃO (BM)'!$B$5:$B$44,"342",'06. MEDIÇÃO (BM)'!$D$5:$D$44,"&gt;="&amp;I$21,'06. MEDIÇÃO (BM)'!$D$5:$D$44,"&lt;"&amp;EDATE(I$21,1),'06. MEDIÇÃO (BM)'!$G$5:$G$44,"&lt;&gt;")=0,"sem lançamento",SUMIFS('06. MEDIÇÃO (BM)'!$G$5:$G$44,'06. MEDIÇÃO (BM)'!$B$5:$B$44,"342",'06. MEDIÇÃO (BM)'!$D$5:$D$44,"&gt;="&amp;I$21,'06. MEDIÇÃO (BM)'!$D$5:$D$44,"&lt;"&amp;EDATE(I$21,1)))</f>
        <v>sem lançamento</v>
      </c>
      <c r="J36" s="108" t="str">
        <f>IF(COUNTIFS('06. MEDIÇÃO (BM)'!$B$5:$B$44,"342",'06. MEDIÇÃO (BM)'!$D$5:$D$44,"&gt;="&amp;J$21,'06. MEDIÇÃO (BM)'!$D$5:$D$44,"&lt;"&amp;EDATE(J$21,1),'06. MEDIÇÃO (BM)'!$G$5:$G$44,"&lt;&gt;")=0,"sem lançamento",SUMIFS('06. MEDIÇÃO (BM)'!$G$5:$G$44,'06. MEDIÇÃO (BM)'!$B$5:$B$44,"342",'06. MEDIÇÃO (BM)'!$D$5:$D$44,"&gt;="&amp;J$21,'06. MEDIÇÃO (BM)'!$D$5:$D$44,"&lt;"&amp;EDATE(J$21,1)))</f>
        <v>sem lançamento</v>
      </c>
      <c r="K36" s="108" t="str">
        <f>IF(COUNTIFS('06. MEDIÇÃO (BM)'!$B$5:$B$44,"342",'06. MEDIÇÃO (BM)'!$D$5:$D$44,"&gt;="&amp;K$21,'06. MEDIÇÃO (BM)'!$D$5:$D$44,"&lt;"&amp;EDATE(K$21,1),'06. MEDIÇÃO (BM)'!$G$5:$G$44,"&lt;&gt;")=0,"sem lançamento",SUMIFS('06. MEDIÇÃO (BM)'!$G$5:$G$44,'06. MEDIÇÃO (BM)'!$B$5:$B$44,"342",'06. MEDIÇÃO (BM)'!$D$5:$D$44,"&gt;="&amp;K$21,'06. MEDIÇÃO (BM)'!$D$5:$D$44,"&lt;"&amp;EDATE(K$21,1)))</f>
        <v>sem lançamento</v>
      </c>
      <c r="L36" s="108" t="str">
        <f>IF(COUNTIFS('06. MEDIÇÃO (BM)'!$B$5:$B$44,"342",'06. MEDIÇÃO (BM)'!$D$5:$D$44,"&gt;="&amp;L$21,'06. MEDIÇÃO (BM)'!$D$5:$D$44,"&lt;"&amp;EDATE(L$21,1),'06. MEDIÇÃO (BM)'!$G$5:$G$44,"&lt;&gt;")=0,"sem lançamento",SUMIFS('06. MEDIÇÃO (BM)'!$G$5:$G$44,'06. MEDIÇÃO (BM)'!$B$5:$B$44,"342",'06. MEDIÇÃO (BM)'!$D$5:$D$44,"&gt;="&amp;L$21,'06. MEDIÇÃO (BM)'!$D$5:$D$44,"&lt;"&amp;EDATE(L$21,1)))</f>
        <v>sem lançamento</v>
      </c>
      <c r="M36" s="108" t="str">
        <f>IF(COUNTIFS('06. MEDIÇÃO (BM)'!$B$5:$B$44,"342",'06. MEDIÇÃO (BM)'!$D$5:$D$44,"&gt;="&amp;M$21,'06. MEDIÇÃO (BM)'!$D$5:$D$44,"&lt;"&amp;EDATE(M$21,1),'06. MEDIÇÃO (BM)'!$G$5:$G$44,"&lt;&gt;")=0,"sem lançamento",SUMIFS('06. MEDIÇÃO (BM)'!$G$5:$G$44,'06. MEDIÇÃO (BM)'!$B$5:$B$44,"342",'06. MEDIÇÃO (BM)'!$D$5:$D$44,"&gt;="&amp;M$21,'06. MEDIÇÃO (BM)'!$D$5:$D$44,"&lt;"&amp;EDATE(M$21,1)))</f>
        <v>sem lançamento</v>
      </c>
      <c r="N36" s="108" t="str">
        <f>IF(COUNTIFS('06. MEDIÇÃO (BM)'!$B$5:$B$44,"342",'06. MEDIÇÃO (BM)'!$D$5:$D$44,"&gt;="&amp;N$21,'06. MEDIÇÃO (BM)'!$D$5:$D$44,"&lt;"&amp;EDATE(N$21,1),'06. MEDIÇÃO (BM)'!$G$5:$G$44,"&lt;&gt;")=0,"sem lançamento",SUMIFS('06. MEDIÇÃO (BM)'!$G$5:$G$44,'06. MEDIÇÃO (BM)'!$B$5:$B$44,"342",'06. MEDIÇÃO (BM)'!$D$5:$D$44,"&gt;="&amp;N$21,'06. MEDIÇÃO (BM)'!$D$5:$D$44,"&lt;"&amp;EDATE(N$21,1)))</f>
        <v>sem lançamento</v>
      </c>
      <c r="O36" s="108" t="str">
        <f>IF(COUNTIFS('06. MEDIÇÃO (BM)'!$B$5:$B$44,"342",'06. MEDIÇÃO (BM)'!$D$5:$D$44,"&gt;="&amp;O$21,'06. MEDIÇÃO (BM)'!$D$5:$D$44,"&lt;"&amp;EDATE(O$21,1),'06. MEDIÇÃO (BM)'!$G$5:$G$44,"&lt;&gt;")=0,"sem lançamento",SUMIFS('06. MEDIÇÃO (BM)'!$G$5:$G$44,'06. MEDIÇÃO (BM)'!$B$5:$B$44,"342",'06. MEDIÇÃO (BM)'!$D$5:$D$44,"&gt;="&amp;O$21,'06. MEDIÇÃO (BM)'!$D$5:$D$44,"&lt;"&amp;EDATE(O$21,1)))</f>
        <v>sem lançamento</v>
      </c>
      <c r="P36" s="108" t="str">
        <f>IF(COUNTIFS('06. MEDIÇÃO (BM)'!$B$5:$B$44,"342",'06. MEDIÇÃO (BM)'!$D$5:$D$44,"&gt;="&amp;P$21,'06. MEDIÇÃO (BM)'!$D$5:$D$44,"&lt;"&amp;EDATE(P$21,1),'06. MEDIÇÃO (BM)'!$G$5:$G$44,"&lt;&gt;")=0,"sem lançamento",SUMIFS('06. MEDIÇÃO (BM)'!$G$5:$G$44,'06. MEDIÇÃO (BM)'!$B$5:$B$44,"342",'06. MEDIÇÃO (BM)'!$D$5:$D$44,"&gt;="&amp;P$21,'06. MEDIÇÃO (BM)'!$D$5:$D$44,"&lt;"&amp;EDATE(P$21,1)))</f>
        <v>sem lançamento</v>
      </c>
      <c r="Q36" s="108" t="str">
        <f>IF(COUNTIFS('06. MEDIÇÃO (BM)'!$B$5:$B$44,"342",'06. MEDIÇÃO (BM)'!$D$5:$D$44,"&gt;="&amp;Q$21,'06. MEDIÇÃO (BM)'!$D$5:$D$44,"&lt;"&amp;EDATE(Q$21,1),'06. MEDIÇÃO (BM)'!$G$5:$G$44,"&lt;&gt;")=0,"sem lançamento",SUMIFS('06. MEDIÇÃO (BM)'!$G$5:$G$44,'06. MEDIÇÃO (BM)'!$B$5:$B$44,"342",'06. MEDIÇÃO (BM)'!$D$5:$D$44,"&gt;="&amp;Q$21,'06. MEDIÇÃO (BM)'!$D$5:$D$44,"&lt;"&amp;EDATE(Q$21,1)))</f>
        <v>sem lançamento</v>
      </c>
      <c r="R36" s="108" t="str">
        <f>IF(COUNTIFS('06. MEDIÇÃO (BM)'!$B$5:$B$44,"342",'06. MEDIÇÃO (BM)'!$D$5:$D$44,"&gt;="&amp;R$21,'06. MEDIÇÃO (BM)'!$D$5:$D$44,"&lt;"&amp;EDATE(R$21,1),'06. MEDIÇÃO (BM)'!$G$5:$G$44,"&lt;&gt;")=0,"sem lançamento",SUMIFS('06. MEDIÇÃO (BM)'!$G$5:$G$44,'06. MEDIÇÃO (BM)'!$B$5:$B$44,"342",'06. MEDIÇÃO (BM)'!$D$5:$D$44,"&gt;="&amp;R$21,'06. MEDIÇÃO (BM)'!$D$5:$D$44,"&lt;"&amp;EDATE(R$21,1)))</f>
        <v>sem lançamento</v>
      </c>
      <c r="S36" s="108" t="str">
        <f>IF(COUNT(C36:R36)=0,"sem lançamento",SUM(C36:R36))</f>
        <v>sem lançamento</v>
      </c>
    </row>
    <row r="37">
      <c r="A37" s="73" t="inlineStr">
        <is>
          <t>Diferença da medição (real menos prevista)</t>
        </is>
      </c>
      <c r="B37" s="77" t="inlineStr">
        <is>
          <t>calculado</t>
        </is>
      </c>
      <c r="C37" s="108">
        <f>IF(ISTEXT(C36),"",C36-C23)</f>
      </c>
      <c r="D37" s="108">
        <f>IF(ISTEXT(D36),"",D36-D23)</f>
      </c>
      <c r="E37" s="108">
        <f>IF(ISTEXT(E36),"",E36-E23)</f>
      </c>
      <c r="F37" s="108">
        <f>IF(ISTEXT(F36),"",F36-F23)</f>
      </c>
      <c r="G37" s="108">
        <f>IF(ISTEXT(G36),"",G36-G23)</f>
      </c>
      <c r="H37" s="108">
        <f>IF(ISTEXT(H36),"",H36-H23)</f>
      </c>
      <c r="I37" s="108">
        <f>IF(ISTEXT(I36),"",I36-I23)</f>
      </c>
      <c r="J37" s="108">
        <f>IF(ISTEXT(J36),"",J36-J23)</f>
      </c>
      <c r="K37" s="108">
        <f>IF(ISTEXT(K36),"",K36-K23)</f>
      </c>
      <c r="L37" s="108">
        <f>IF(ISTEXT(L36),"",L36-L23)</f>
      </c>
      <c r="M37" s="108">
        <f>IF(ISTEXT(M36),"",M36-M23)</f>
      </c>
      <c r="N37" s="108">
        <f>IF(ISTEXT(N36),"",N36-N23)</f>
      </c>
      <c r="O37" s="108">
        <f>IF(ISTEXT(O36),"",O36-O23)</f>
      </c>
      <c r="P37" s="108">
        <f>IF(ISTEXT(P36),"",P36-P23)</f>
      </c>
      <c r="Q37" s="108">
        <f>IF(ISTEXT(Q36),"",Q36-Q23)</f>
      </c>
      <c r="R37" s="108">
        <f>IF(ISTEXT(R36),"",R36-R23)</f>
      </c>
      <c r="S37" s="108" t="str">
        <f>IF(COUNT(C37:R37)=0,"sem lançamento",SUM(C37:R37))</f>
        <v>sem lançamento</v>
      </c>
    </row>
    <row r="38">
      <c r="A38" s="73" t="inlineStr">
        <is>
          <t>Faturado (07, valor da NF por data de emissão)</t>
        </is>
      </c>
      <c r="B38" s="77" t="inlineStr">
        <is>
          <t>07. FATURAMENTO</t>
        </is>
      </c>
      <c r="C38" s="108" t="str">
        <f>IF(COUNTIFS('07. FATURAMENTO E RECEBIMENTO'!$B$5:$B$44,"342",'07. FATURAMENTO E RECEBIMENTO'!$E$5:$E$44,"&gt;="&amp;C$21,'07. FATURAMENTO E RECEBIMENTO'!$E$5:$E$44,"&lt;"&amp;EDATE(C$21,1),'07. FATURAMENTO E RECEBIMENTO'!$F$5:$F$44,"&lt;&gt;")=0,"sem lançamento",SUMIFS('07. FATURAMENTO E RECEBIMENTO'!$F$5:$F$44,'07. FATURAMENTO E RECEBIMENTO'!$B$5:$B$44,"342",'07. FATURAMENTO E RECEBIMENTO'!$E$5:$E$44,"&gt;="&amp;C$21,'07. FATURAMENTO E RECEBIMENTO'!$E$5:$E$44,"&lt;"&amp;EDATE(C$21,1)))</f>
        <v>sem lançamento</v>
      </c>
      <c r="D38" s="108" t="str">
        <f>IF(COUNTIFS('07. FATURAMENTO E RECEBIMENTO'!$B$5:$B$44,"342",'07. FATURAMENTO E RECEBIMENTO'!$E$5:$E$44,"&gt;="&amp;D$21,'07. FATURAMENTO E RECEBIMENTO'!$E$5:$E$44,"&lt;"&amp;EDATE(D$21,1),'07. FATURAMENTO E RECEBIMENTO'!$F$5:$F$44,"&lt;&gt;")=0,"sem lançamento",SUMIFS('07. FATURAMENTO E RECEBIMENTO'!$F$5:$F$44,'07. FATURAMENTO E RECEBIMENTO'!$B$5:$B$44,"342",'07. FATURAMENTO E RECEBIMENTO'!$E$5:$E$44,"&gt;="&amp;D$21,'07. FATURAMENTO E RECEBIMENTO'!$E$5:$E$44,"&lt;"&amp;EDATE(D$21,1)))</f>
        <v>sem lançamento</v>
      </c>
      <c r="E38" s="108" t="str">
        <f>IF(COUNTIFS('07. FATURAMENTO E RECEBIMENTO'!$B$5:$B$44,"342",'07. FATURAMENTO E RECEBIMENTO'!$E$5:$E$44,"&gt;="&amp;E$21,'07. FATURAMENTO E RECEBIMENTO'!$E$5:$E$44,"&lt;"&amp;EDATE(E$21,1),'07. FATURAMENTO E RECEBIMENTO'!$F$5:$F$44,"&lt;&gt;")=0,"sem lançamento",SUMIFS('07. FATURAMENTO E RECEBIMENTO'!$F$5:$F$44,'07. FATURAMENTO E RECEBIMENTO'!$B$5:$B$44,"342",'07. FATURAMENTO E RECEBIMENTO'!$E$5:$E$44,"&gt;="&amp;E$21,'07. FATURAMENTO E RECEBIMENTO'!$E$5:$E$44,"&lt;"&amp;EDATE(E$21,1)))</f>
        <v>sem lançamento</v>
      </c>
      <c r="F38" s="108" t="str">
        <f>IF(COUNTIFS('07. FATURAMENTO E RECEBIMENTO'!$B$5:$B$44,"342",'07. FATURAMENTO E RECEBIMENTO'!$E$5:$E$44,"&gt;="&amp;F$21,'07. FATURAMENTO E RECEBIMENTO'!$E$5:$E$44,"&lt;"&amp;EDATE(F$21,1),'07. FATURAMENTO E RECEBIMENTO'!$F$5:$F$44,"&lt;&gt;")=0,"sem lançamento",SUMIFS('07. FATURAMENTO E RECEBIMENTO'!$F$5:$F$44,'07. FATURAMENTO E RECEBIMENTO'!$B$5:$B$44,"342",'07. FATURAMENTO E RECEBIMENTO'!$E$5:$E$44,"&gt;="&amp;F$21,'07. FATURAMENTO E RECEBIMENTO'!$E$5:$E$44,"&lt;"&amp;EDATE(F$21,1)))</f>
        <v>sem lançamento</v>
      </c>
      <c r="G38" s="108" t="str">
        <f>IF(COUNTIFS('07. FATURAMENTO E RECEBIMENTO'!$B$5:$B$44,"342",'07. FATURAMENTO E RECEBIMENTO'!$E$5:$E$44,"&gt;="&amp;G$21,'07. FATURAMENTO E RECEBIMENTO'!$E$5:$E$44,"&lt;"&amp;EDATE(G$21,1),'07. FATURAMENTO E RECEBIMENTO'!$F$5:$F$44,"&lt;&gt;")=0,"sem lançamento",SUMIFS('07. FATURAMENTO E RECEBIMENTO'!$F$5:$F$44,'07. FATURAMENTO E RECEBIMENTO'!$B$5:$B$44,"342",'07. FATURAMENTO E RECEBIMENTO'!$E$5:$E$44,"&gt;="&amp;G$21,'07. FATURAMENTO E RECEBIMENTO'!$E$5:$E$44,"&lt;"&amp;EDATE(G$21,1)))</f>
        <v>sem lançamento</v>
      </c>
      <c r="H38" s="108" t="str">
        <f>IF(COUNTIFS('07. FATURAMENTO E RECEBIMENTO'!$B$5:$B$44,"342",'07. FATURAMENTO E RECEBIMENTO'!$E$5:$E$44,"&gt;="&amp;H$21,'07. FATURAMENTO E RECEBIMENTO'!$E$5:$E$44,"&lt;"&amp;EDATE(H$21,1),'07. FATURAMENTO E RECEBIMENTO'!$F$5:$F$44,"&lt;&gt;")=0,"sem lançamento",SUMIFS('07. FATURAMENTO E RECEBIMENTO'!$F$5:$F$44,'07. FATURAMENTO E RECEBIMENTO'!$B$5:$B$44,"342",'07. FATURAMENTO E RECEBIMENTO'!$E$5:$E$44,"&gt;="&amp;H$21,'07. FATURAMENTO E RECEBIMENTO'!$E$5:$E$44,"&lt;"&amp;EDATE(H$21,1)))</f>
        <v>sem lançamento</v>
      </c>
      <c r="I38" s="108" t="str">
        <f>IF(COUNTIFS('07. FATURAMENTO E RECEBIMENTO'!$B$5:$B$44,"342",'07. FATURAMENTO E RECEBIMENTO'!$E$5:$E$44,"&gt;="&amp;I$21,'07. FATURAMENTO E RECEBIMENTO'!$E$5:$E$44,"&lt;"&amp;EDATE(I$21,1),'07. FATURAMENTO E RECEBIMENTO'!$F$5:$F$44,"&lt;&gt;")=0,"sem lançamento",SUMIFS('07. FATURAMENTO E RECEBIMENTO'!$F$5:$F$44,'07. FATURAMENTO E RECEBIMENTO'!$B$5:$B$44,"342",'07. FATURAMENTO E RECEBIMENTO'!$E$5:$E$44,"&gt;="&amp;I$21,'07. FATURAMENTO E RECEBIMENTO'!$E$5:$E$44,"&lt;"&amp;EDATE(I$21,1)))</f>
        <v>sem lançamento</v>
      </c>
      <c r="J38" s="108" t="str">
        <f>IF(COUNTIFS('07. FATURAMENTO E RECEBIMENTO'!$B$5:$B$44,"342",'07. FATURAMENTO E RECEBIMENTO'!$E$5:$E$44,"&gt;="&amp;J$21,'07. FATURAMENTO E RECEBIMENTO'!$E$5:$E$44,"&lt;"&amp;EDATE(J$21,1),'07. FATURAMENTO E RECEBIMENTO'!$F$5:$F$44,"&lt;&gt;")=0,"sem lançamento",SUMIFS('07. FATURAMENTO E RECEBIMENTO'!$F$5:$F$44,'07. FATURAMENTO E RECEBIMENTO'!$B$5:$B$44,"342",'07. FATURAMENTO E RECEBIMENTO'!$E$5:$E$44,"&gt;="&amp;J$21,'07. FATURAMENTO E RECEBIMENTO'!$E$5:$E$44,"&lt;"&amp;EDATE(J$21,1)))</f>
        <v>sem lançamento</v>
      </c>
      <c r="K38" s="108" t="str">
        <f>IF(COUNTIFS('07. FATURAMENTO E RECEBIMENTO'!$B$5:$B$44,"342",'07. FATURAMENTO E RECEBIMENTO'!$E$5:$E$44,"&gt;="&amp;K$21,'07. FATURAMENTO E RECEBIMENTO'!$E$5:$E$44,"&lt;"&amp;EDATE(K$21,1),'07. FATURAMENTO E RECEBIMENTO'!$F$5:$F$44,"&lt;&gt;")=0,"sem lançamento",SUMIFS('07. FATURAMENTO E RECEBIMENTO'!$F$5:$F$44,'07. FATURAMENTO E RECEBIMENTO'!$B$5:$B$44,"342",'07. FATURAMENTO E RECEBIMENTO'!$E$5:$E$44,"&gt;="&amp;K$21,'07. FATURAMENTO E RECEBIMENTO'!$E$5:$E$44,"&lt;"&amp;EDATE(K$21,1)))</f>
        <v>sem lançamento</v>
      </c>
      <c r="L38" s="108" t="str">
        <f>IF(COUNTIFS('07. FATURAMENTO E RECEBIMENTO'!$B$5:$B$44,"342",'07. FATURAMENTO E RECEBIMENTO'!$E$5:$E$44,"&gt;="&amp;L$21,'07. FATURAMENTO E RECEBIMENTO'!$E$5:$E$44,"&lt;"&amp;EDATE(L$21,1),'07. FATURAMENTO E RECEBIMENTO'!$F$5:$F$44,"&lt;&gt;")=0,"sem lançamento",SUMIFS('07. FATURAMENTO E RECEBIMENTO'!$F$5:$F$44,'07. FATURAMENTO E RECEBIMENTO'!$B$5:$B$44,"342",'07. FATURAMENTO E RECEBIMENTO'!$E$5:$E$44,"&gt;="&amp;L$21,'07. FATURAMENTO E RECEBIMENTO'!$E$5:$E$44,"&lt;"&amp;EDATE(L$21,1)))</f>
        <v>sem lançamento</v>
      </c>
      <c r="M38" s="108" t="str">
        <f>IF(COUNTIFS('07. FATURAMENTO E RECEBIMENTO'!$B$5:$B$44,"342",'07. FATURAMENTO E RECEBIMENTO'!$E$5:$E$44,"&gt;="&amp;M$21,'07. FATURAMENTO E RECEBIMENTO'!$E$5:$E$44,"&lt;"&amp;EDATE(M$21,1),'07. FATURAMENTO E RECEBIMENTO'!$F$5:$F$44,"&lt;&gt;")=0,"sem lançamento",SUMIFS('07. FATURAMENTO E RECEBIMENTO'!$F$5:$F$44,'07. FATURAMENTO E RECEBIMENTO'!$B$5:$B$44,"342",'07. FATURAMENTO E RECEBIMENTO'!$E$5:$E$44,"&gt;="&amp;M$21,'07. FATURAMENTO E RECEBIMENTO'!$E$5:$E$44,"&lt;"&amp;EDATE(M$21,1)))</f>
        <v>sem lançamento</v>
      </c>
      <c r="N38" s="108" t="str">
        <f>IF(COUNTIFS('07. FATURAMENTO E RECEBIMENTO'!$B$5:$B$44,"342",'07. FATURAMENTO E RECEBIMENTO'!$E$5:$E$44,"&gt;="&amp;N$21,'07. FATURAMENTO E RECEBIMENTO'!$E$5:$E$44,"&lt;"&amp;EDATE(N$21,1),'07. FATURAMENTO E RECEBIMENTO'!$F$5:$F$44,"&lt;&gt;")=0,"sem lançamento",SUMIFS('07. FATURAMENTO E RECEBIMENTO'!$F$5:$F$44,'07. FATURAMENTO E RECEBIMENTO'!$B$5:$B$44,"342",'07. FATURAMENTO E RECEBIMENTO'!$E$5:$E$44,"&gt;="&amp;N$21,'07. FATURAMENTO E RECEBIMENTO'!$E$5:$E$44,"&lt;"&amp;EDATE(N$21,1)))</f>
        <v>sem lançamento</v>
      </c>
      <c r="O38" s="108" t="str">
        <f>IF(COUNTIFS('07. FATURAMENTO E RECEBIMENTO'!$B$5:$B$44,"342",'07. FATURAMENTO E RECEBIMENTO'!$E$5:$E$44,"&gt;="&amp;O$21,'07. FATURAMENTO E RECEBIMENTO'!$E$5:$E$44,"&lt;"&amp;EDATE(O$21,1),'07. FATURAMENTO E RECEBIMENTO'!$F$5:$F$44,"&lt;&gt;")=0,"sem lançamento",SUMIFS('07. FATURAMENTO E RECEBIMENTO'!$F$5:$F$44,'07. FATURAMENTO E RECEBIMENTO'!$B$5:$B$44,"342",'07. FATURAMENTO E RECEBIMENTO'!$E$5:$E$44,"&gt;="&amp;O$21,'07. FATURAMENTO E RECEBIMENTO'!$E$5:$E$44,"&lt;"&amp;EDATE(O$21,1)))</f>
        <v>sem lançamento</v>
      </c>
      <c r="P38" s="108" t="str">
        <f>IF(COUNTIFS('07. FATURAMENTO E RECEBIMENTO'!$B$5:$B$44,"342",'07. FATURAMENTO E RECEBIMENTO'!$E$5:$E$44,"&gt;="&amp;P$21,'07. FATURAMENTO E RECEBIMENTO'!$E$5:$E$44,"&lt;"&amp;EDATE(P$21,1),'07. FATURAMENTO E RECEBIMENTO'!$F$5:$F$44,"&lt;&gt;")=0,"sem lançamento",SUMIFS('07. FATURAMENTO E RECEBIMENTO'!$F$5:$F$44,'07. FATURAMENTO E RECEBIMENTO'!$B$5:$B$44,"342",'07. FATURAMENTO E RECEBIMENTO'!$E$5:$E$44,"&gt;="&amp;P$21,'07. FATURAMENTO E RECEBIMENTO'!$E$5:$E$44,"&lt;"&amp;EDATE(P$21,1)))</f>
        <v>sem lançamento</v>
      </c>
      <c r="Q38" s="108" t="str">
        <f>IF(COUNTIFS('07. FATURAMENTO E RECEBIMENTO'!$B$5:$B$44,"342",'07. FATURAMENTO E RECEBIMENTO'!$E$5:$E$44,"&gt;="&amp;Q$21,'07. FATURAMENTO E RECEBIMENTO'!$E$5:$E$44,"&lt;"&amp;EDATE(Q$21,1),'07. FATURAMENTO E RECEBIMENTO'!$F$5:$F$44,"&lt;&gt;")=0,"sem lançamento",SUMIFS('07. FATURAMENTO E RECEBIMENTO'!$F$5:$F$44,'07. FATURAMENTO E RECEBIMENTO'!$B$5:$B$44,"342",'07. FATURAMENTO E RECEBIMENTO'!$E$5:$E$44,"&gt;="&amp;Q$21,'07. FATURAMENTO E RECEBIMENTO'!$E$5:$E$44,"&lt;"&amp;EDATE(Q$21,1)))</f>
        <v>sem lançamento</v>
      </c>
      <c r="R38" s="108" t="str">
        <f>IF(COUNTIFS('07. FATURAMENTO E RECEBIMENTO'!$B$5:$B$44,"342",'07. FATURAMENTO E RECEBIMENTO'!$E$5:$E$44,"&gt;="&amp;R$21,'07. FATURAMENTO E RECEBIMENTO'!$E$5:$E$44,"&lt;"&amp;EDATE(R$21,1),'07. FATURAMENTO E RECEBIMENTO'!$F$5:$F$44,"&lt;&gt;")=0,"sem lançamento",SUMIFS('07. FATURAMENTO E RECEBIMENTO'!$F$5:$F$44,'07. FATURAMENTO E RECEBIMENTO'!$B$5:$B$44,"342",'07. FATURAMENTO E RECEBIMENTO'!$E$5:$E$44,"&gt;="&amp;R$21,'07. FATURAMENTO E RECEBIMENTO'!$E$5:$E$44,"&lt;"&amp;EDATE(R$21,1)))</f>
        <v>sem lançamento</v>
      </c>
      <c r="S38" s="108" t="str">
        <f>IF(COUNT(C38:R38)=0,"sem lançamento",SUM(C38:R38))</f>
        <v>sem lançamento</v>
      </c>
    </row>
    <row r="39">
      <c r="A39" s="73" t="inlineStr">
        <is>
          <t>Recebido (07, valor recebido por data)</t>
        </is>
      </c>
      <c r="B39" s="77" t="inlineStr">
        <is>
          <t>07. FATURAMENTO</t>
        </is>
      </c>
      <c r="C39" s="108" t="str">
        <f>IF(COUNTIFS('07. FATURAMENTO E RECEBIMENTO'!$B$5:$B$44,"342",'07. FATURAMENTO E RECEBIMENTO'!$K$5:$K$44,"&gt;="&amp;C$21,'07. FATURAMENTO E RECEBIMENTO'!$K$5:$K$44,"&lt;"&amp;EDATE(C$21,1),'07. FATURAMENTO E RECEBIMENTO'!$L$5:$L$44,"&lt;&gt;")=0,"sem lançamento",SUMIFS('07. FATURAMENTO E RECEBIMENTO'!$L$5:$L$44,'07. FATURAMENTO E RECEBIMENTO'!$B$5:$B$44,"342",'07. FATURAMENTO E RECEBIMENTO'!$K$5:$K$44,"&gt;="&amp;C$21,'07. FATURAMENTO E RECEBIMENTO'!$K$5:$K$44,"&lt;"&amp;EDATE(C$21,1)))</f>
        <v>sem lançamento</v>
      </c>
      <c r="D39" s="108" t="str">
        <f>IF(COUNTIFS('07. FATURAMENTO E RECEBIMENTO'!$B$5:$B$44,"342",'07. FATURAMENTO E RECEBIMENTO'!$K$5:$K$44,"&gt;="&amp;D$21,'07. FATURAMENTO E RECEBIMENTO'!$K$5:$K$44,"&lt;"&amp;EDATE(D$21,1),'07. FATURAMENTO E RECEBIMENTO'!$L$5:$L$44,"&lt;&gt;")=0,"sem lançamento",SUMIFS('07. FATURAMENTO E RECEBIMENTO'!$L$5:$L$44,'07. FATURAMENTO E RECEBIMENTO'!$B$5:$B$44,"342",'07. FATURAMENTO E RECEBIMENTO'!$K$5:$K$44,"&gt;="&amp;D$21,'07. FATURAMENTO E RECEBIMENTO'!$K$5:$K$44,"&lt;"&amp;EDATE(D$21,1)))</f>
        <v>sem lançamento</v>
      </c>
      <c r="E39" s="108" t="str">
        <f>IF(COUNTIFS('07. FATURAMENTO E RECEBIMENTO'!$B$5:$B$44,"342",'07. FATURAMENTO E RECEBIMENTO'!$K$5:$K$44,"&gt;="&amp;E$21,'07. FATURAMENTO E RECEBIMENTO'!$K$5:$K$44,"&lt;"&amp;EDATE(E$21,1),'07. FATURAMENTO E RECEBIMENTO'!$L$5:$L$44,"&lt;&gt;")=0,"sem lançamento",SUMIFS('07. FATURAMENTO E RECEBIMENTO'!$L$5:$L$44,'07. FATURAMENTO E RECEBIMENTO'!$B$5:$B$44,"342",'07. FATURAMENTO E RECEBIMENTO'!$K$5:$K$44,"&gt;="&amp;E$21,'07. FATURAMENTO E RECEBIMENTO'!$K$5:$K$44,"&lt;"&amp;EDATE(E$21,1)))</f>
        <v>sem lançamento</v>
      </c>
      <c r="F39" s="108" t="str">
        <f>IF(COUNTIFS('07. FATURAMENTO E RECEBIMENTO'!$B$5:$B$44,"342",'07. FATURAMENTO E RECEBIMENTO'!$K$5:$K$44,"&gt;="&amp;F$21,'07. FATURAMENTO E RECEBIMENTO'!$K$5:$K$44,"&lt;"&amp;EDATE(F$21,1),'07. FATURAMENTO E RECEBIMENTO'!$L$5:$L$44,"&lt;&gt;")=0,"sem lançamento",SUMIFS('07. FATURAMENTO E RECEBIMENTO'!$L$5:$L$44,'07. FATURAMENTO E RECEBIMENTO'!$B$5:$B$44,"342",'07. FATURAMENTO E RECEBIMENTO'!$K$5:$K$44,"&gt;="&amp;F$21,'07. FATURAMENTO E RECEBIMENTO'!$K$5:$K$44,"&lt;"&amp;EDATE(F$21,1)))</f>
        <v>sem lançamento</v>
      </c>
      <c r="G39" s="108" t="str">
        <f>IF(COUNTIFS('07. FATURAMENTO E RECEBIMENTO'!$B$5:$B$44,"342",'07. FATURAMENTO E RECEBIMENTO'!$K$5:$K$44,"&gt;="&amp;G$21,'07. FATURAMENTO E RECEBIMENTO'!$K$5:$K$44,"&lt;"&amp;EDATE(G$21,1),'07. FATURAMENTO E RECEBIMENTO'!$L$5:$L$44,"&lt;&gt;")=0,"sem lançamento",SUMIFS('07. FATURAMENTO E RECEBIMENTO'!$L$5:$L$44,'07. FATURAMENTO E RECEBIMENTO'!$B$5:$B$44,"342",'07. FATURAMENTO E RECEBIMENTO'!$K$5:$K$44,"&gt;="&amp;G$21,'07. FATURAMENTO E RECEBIMENTO'!$K$5:$K$44,"&lt;"&amp;EDATE(G$21,1)))</f>
        <v>sem lançamento</v>
      </c>
      <c r="H39" s="108" t="str">
        <f>IF(COUNTIFS('07. FATURAMENTO E RECEBIMENTO'!$B$5:$B$44,"342",'07. FATURAMENTO E RECEBIMENTO'!$K$5:$K$44,"&gt;="&amp;H$21,'07. FATURAMENTO E RECEBIMENTO'!$K$5:$K$44,"&lt;"&amp;EDATE(H$21,1),'07. FATURAMENTO E RECEBIMENTO'!$L$5:$L$44,"&lt;&gt;")=0,"sem lançamento",SUMIFS('07. FATURAMENTO E RECEBIMENTO'!$L$5:$L$44,'07. FATURAMENTO E RECEBIMENTO'!$B$5:$B$44,"342",'07. FATURAMENTO E RECEBIMENTO'!$K$5:$K$44,"&gt;="&amp;H$21,'07. FATURAMENTO E RECEBIMENTO'!$K$5:$K$44,"&lt;"&amp;EDATE(H$21,1)))</f>
        <v>sem lançamento</v>
      </c>
      <c r="I39" s="108" t="str">
        <f>IF(COUNTIFS('07. FATURAMENTO E RECEBIMENTO'!$B$5:$B$44,"342",'07. FATURAMENTO E RECEBIMENTO'!$K$5:$K$44,"&gt;="&amp;I$21,'07. FATURAMENTO E RECEBIMENTO'!$K$5:$K$44,"&lt;"&amp;EDATE(I$21,1),'07. FATURAMENTO E RECEBIMENTO'!$L$5:$L$44,"&lt;&gt;")=0,"sem lançamento",SUMIFS('07. FATURAMENTO E RECEBIMENTO'!$L$5:$L$44,'07. FATURAMENTO E RECEBIMENTO'!$B$5:$B$44,"342",'07. FATURAMENTO E RECEBIMENTO'!$K$5:$K$44,"&gt;="&amp;I$21,'07. FATURAMENTO E RECEBIMENTO'!$K$5:$K$44,"&lt;"&amp;EDATE(I$21,1)))</f>
        <v>sem lançamento</v>
      </c>
      <c r="J39" s="108" t="str">
        <f>IF(COUNTIFS('07. FATURAMENTO E RECEBIMENTO'!$B$5:$B$44,"342",'07. FATURAMENTO E RECEBIMENTO'!$K$5:$K$44,"&gt;="&amp;J$21,'07. FATURAMENTO E RECEBIMENTO'!$K$5:$K$44,"&lt;"&amp;EDATE(J$21,1),'07. FATURAMENTO E RECEBIMENTO'!$L$5:$L$44,"&lt;&gt;")=0,"sem lançamento",SUMIFS('07. FATURAMENTO E RECEBIMENTO'!$L$5:$L$44,'07. FATURAMENTO E RECEBIMENTO'!$B$5:$B$44,"342",'07. FATURAMENTO E RECEBIMENTO'!$K$5:$K$44,"&gt;="&amp;J$21,'07. FATURAMENTO E RECEBIMENTO'!$K$5:$K$44,"&lt;"&amp;EDATE(J$21,1)))</f>
        <v>sem lançamento</v>
      </c>
      <c r="K39" s="108" t="str">
        <f>IF(COUNTIFS('07. FATURAMENTO E RECEBIMENTO'!$B$5:$B$44,"342",'07. FATURAMENTO E RECEBIMENTO'!$K$5:$K$44,"&gt;="&amp;K$21,'07. FATURAMENTO E RECEBIMENTO'!$K$5:$K$44,"&lt;"&amp;EDATE(K$21,1),'07. FATURAMENTO E RECEBIMENTO'!$L$5:$L$44,"&lt;&gt;")=0,"sem lançamento",SUMIFS('07. FATURAMENTO E RECEBIMENTO'!$L$5:$L$44,'07. FATURAMENTO E RECEBIMENTO'!$B$5:$B$44,"342",'07. FATURAMENTO E RECEBIMENTO'!$K$5:$K$44,"&gt;="&amp;K$21,'07. FATURAMENTO E RECEBIMENTO'!$K$5:$K$44,"&lt;"&amp;EDATE(K$21,1)))</f>
        <v>sem lançamento</v>
      </c>
      <c r="L39" s="108" t="str">
        <f>IF(COUNTIFS('07. FATURAMENTO E RECEBIMENTO'!$B$5:$B$44,"342",'07. FATURAMENTO E RECEBIMENTO'!$K$5:$K$44,"&gt;="&amp;L$21,'07. FATURAMENTO E RECEBIMENTO'!$K$5:$K$44,"&lt;"&amp;EDATE(L$21,1),'07. FATURAMENTO E RECEBIMENTO'!$L$5:$L$44,"&lt;&gt;")=0,"sem lançamento",SUMIFS('07. FATURAMENTO E RECEBIMENTO'!$L$5:$L$44,'07. FATURAMENTO E RECEBIMENTO'!$B$5:$B$44,"342",'07. FATURAMENTO E RECEBIMENTO'!$K$5:$K$44,"&gt;="&amp;L$21,'07. FATURAMENTO E RECEBIMENTO'!$K$5:$K$44,"&lt;"&amp;EDATE(L$21,1)))</f>
        <v>sem lançamento</v>
      </c>
      <c r="M39" s="108" t="str">
        <f>IF(COUNTIFS('07. FATURAMENTO E RECEBIMENTO'!$B$5:$B$44,"342",'07. FATURAMENTO E RECEBIMENTO'!$K$5:$K$44,"&gt;="&amp;M$21,'07. FATURAMENTO E RECEBIMENTO'!$K$5:$K$44,"&lt;"&amp;EDATE(M$21,1),'07. FATURAMENTO E RECEBIMENTO'!$L$5:$L$44,"&lt;&gt;")=0,"sem lançamento",SUMIFS('07. FATURAMENTO E RECEBIMENTO'!$L$5:$L$44,'07. FATURAMENTO E RECEBIMENTO'!$B$5:$B$44,"342",'07. FATURAMENTO E RECEBIMENTO'!$K$5:$K$44,"&gt;="&amp;M$21,'07. FATURAMENTO E RECEBIMENTO'!$K$5:$K$44,"&lt;"&amp;EDATE(M$21,1)))</f>
        <v>sem lançamento</v>
      </c>
      <c r="N39" s="108" t="str">
        <f>IF(COUNTIFS('07. FATURAMENTO E RECEBIMENTO'!$B$5:$B$44,"342",'07. FATURAMENTO E RECEBIMENTO'!$K$5:$K$44,"&gt;="&amp;N$21,'07. FATURAMENTO E RECEBIMENTO'!$K$5:$K$44,"&lt;"&amp;EDATE(N$21,1),'07. FATURAMENTO E RECEBIMENTO'!$L$5:$L$44,"&lt;&gt;")=0,"sem lançamento",SUMIFS('07. FATURAMENTO E RECEBIMENTO'!$L$5:$L$44,'07. FATURAMENTO E RECEBIMENTO'!$B$5:$B$44,"342",'07. FATURAMENTO E RECEBIMENTO'!$K$5:$K$44,"&gt;="&amp;N$21,'07. FATURAMENTO E RECEBIMENTO'!$K$5:$K$44,"&lt;"&amp;EDATE(N$21,1)))</f>
        <v>sem lançamento</v>
      </c>
      <c r="O39" s="108" t="str">
        <f>IF(COUNTIFS('07. FATURAMENTO E RECEBIMENTO'!$B$5:$B$44,"342",'07. FATURAMENTO E RECEBIMENTO'!$K$5:$K$44,"&gt;="&amp;O$21,'07. FATURAMENTO E RECEBIMENTO'!$K$5:$K$44,"&lt;"&amp;EDATE(O$21,1),'07. FATURAMENTO E RECEBIMENTO'!$L$5:$L$44,"&lt;&gt;")=0,"sem lançamento",SUMIFS('07. FATURAMENTO E RECEBIMENTO'!$L$5:$L$44,'07. FATURAMENTO E RECEBIMENTO'!$B$5:$B$44,"342",'07. FATURAMENTO E RECEBIMENTO'!$K$5:$K$44,"&gt;="&amp;O$21,'07. FATURAMENTO E RECEBIMENTO'!$K$5:$K$44,"&lt;"&amp;EDATE(O$21,1)))</f>
        <v>sem lançamento</v>
      </c>
      <c r="P39" s="108" t="str">
        <f>IF(COUNTIFS('07. FATURAMENTO E RECEBIMENTO'!$B$5:$B$44,"342",'07. FATURAMENTO E RECEBIMENTO'!$K$5:$K$44,"&gt;="&amp;P$21,'07. FATURAMENTO E RECEBIMENTO'!$K$5:$K$44,"&lt;"&amp;EDATE(P$21,1),'07. FATURAMENTO E RECEBIMENTO'!$L$5:$L$44,"&lt;&gt;")=0,"sem lançamento",SUMIFS('07. FATURAMENTO E RECEBIMENTO'!$L$5:$L$44,'07. FATURAMENTO E RECEBIMENTO'!$B$5:$B$44,"342",'07. FATURAMENTO E RECEBIMENTO'!$K$5:$K$44,"&gt;="&amp;P$21,'07. FATURAMENTO E RECEBIMENTO'!$K$5:$K$44,"&lt;"&amp;EDATE(P$21,1)))</f>
        <v>sem lançamento</v>
      </c>
      <c r="Q39" s="108" t="str">
        <f>IF(COUNTIFS('07. FATURAMENTO E RECEBIMENTO'!$B$5:$B$44,"342",'07. FATURAMENTO E RECEBIMENTO'!$K$5:$K$44,"&gt;="&amp;Q$21,'07. FATURAMENTO E RECEBIMENTO'!$K$5:$K$44,"&lt;"&amp;EDATE(Q$21,1),'07. FATURAMENTO E RECEBIMENTO'!$L$5:$L$44,"&lt;&gt;")=0,"sem lançamento",SUMIFS('07. FATURAMENTO E RECEBIMENTO'!$L$5:$L$44,'07. FATURAMENTO E RECEBIMENTO'!$B$5:$B$44,"342",'07. FATURAMENTO E RECEBIMENTO'!$K$5:$K$44,"&gt;="&amp;Q$21,'07. FATURAMENTO E RECEBIMENTO'!$K$5:$K$44,"&lt;"&amp;EDATE(Q$21,1)))</f>
        <v>sem lançamento</v>
      </c>
      <c r="R39" s="108" t="str">
        <f>IF(COUNTIFS('07. FATURAMENTO E RECEBIMENTO'!$B$5:$B$44,"342",'07. FATURAMENTO E RECEBIMENTO'!$K$5:$K$44,"&gt;="&amp;R$21,'07. FATURAMENTO E RECEBIMENTO'!$K$5:$K$44,"&lt;"&amp;EDATE(R$21,1),'07. FATURAMENTO E RECEBIMENTO'!$L$5:$L$44,"&lt;&gt;")=0,"sem lançamento",SUMIFS('07. FATURAMENTO E RECEBIMENTO'!$L$5:$L$44,'07. FATURAMENTO E RECEBIMENTO'!$B$5:$B$44,"342",'07. FATURAMENTO E RECEBIMENTO'!$K$5:$K$44,"&gt;="&amp;R$21,'07. FATURAMENTO E RECEBIMENTO'!$K$5:$K$44,"&lt;"&amp;EDATE(R$21,1)))</f>
        <v>sem lançamento</v>
      </c>
      <c r="S39" s="108" t="str">
        <f>IF(COUNT(C39:R39)=0,"sem lançamento",SUM(C39:R39))</f>
        <v>sem lançamento</v>
      </c>
    </row>
    <row r="40">
      <c r="A40" s="73" t="inlineStr">
        <is>
          <t>Custos pagos (08, por data de pagamento)</t>
        </is>
      </c>
      <c r="B40" s="77" t="inlineStr">
        <is>
          <t>08. CUSTOS</t>
        </is>
      </c>
      <c r="C40" s="108" t="str">
        <f>IF(COUNTIFS('08. CUSTOS'!$C$5:$C$404,"342",'08. CUSTOS'!$G$5:$G$404,"&gt;="&amp;C$21,'08. CUSTOS'!$G$5:$G$404,"&lt;"&amp;EDATE(C$21,1),'08. CUSTOS'!$F$5:$F$404,"&lt;&gt;")=0,"sem lançamento",SUMIFS('08. CUSTOS'!$F$5:$F$404,'08. CUSTOS'!$C$5:$C$404,"342",'08. CUSTOS'!$G$5:$G$404,"&gt;="&amp;C$21,'08. CUSTOS'!$G$5:$G$404,"&lt;"&amp;EDATE(C$21,1)))</f>
        <v>sem lançamento</v>
      </c>
      <c r="D40" s="108" t="str">
        <f>IF(COUNTIFS('08. CUSTOS'!$C$5:$C$404,"342",'08. CUSTOS'!$G$5:$G$404,"&gt;="&amp;D$21,'08. CUSTOS'!$G$5:$G$404,"&lt;"&amp;EDATE(D$21,1),'08. CUSTOS'!$F$5:$F$404,"&lt;&gt;")=0,"sem lançamento",SUMIFS('08. CUSTOS'!$F$5:$F$404,'08. CUSTOS'!$C$5:$C$404,"342",'08. CUSTOS'!$G$5:$G$404,"&gt;="&amp;D$21,'08. CUSTOS'!$G$5:$G$404,"&lt;"&amp;EDATE(D$21,1)))</f>
        <v>sem lançamento</v>
      </c>
      <c r="E40" s="108" t="str">
        <f>IF(COUNTIFS('08. CUSTOS'!$C$5:$C$404,"342",'08. CUSTOS'!$G$5:$G$404,"&gt;="&amp;E$21,'08. CUSTOS'!$G$5:$G$404,"&lt;"&amp;EDATE(E$21,1),'08. CUSTOS'!$F$5:$F$404,"&lt;&gt;")=0,"sem lançamento",SUMIFS('08. CUSTOS'!$F$5:$F$404,'08. CUSTOS'!$C$5:$C$404,"342",'08. CUSTOS'!$G$5:$G$404,"&gt;="&amp;E$21,'08. CUSTOS'!$G$5:$G$404,"&lt;"&amp;EDATE(E$21,1)))</f>
        <v>sem lançamento</v>
      </c>
      <c r="F40" s="108" t="str">
        <f>IF(COUNTIFS('08. CUSTOS'!$C$5:$C$404,"342",'08. CUSTOS'!$G$5:$G$404,"&gt;="&amp;F$21,'08. CUSTOS'!$G$5:$G$404,"&lt;"&amp;EDATE(F$21,1),'08. CUSTOS'!$F$5:$F$404,"&lt;&gt;")=0,"sem lançamento",SUMIFS('08. CUSTOS'!$F$5:$F$404,'08. CUSTOS'!$C$5:$C$404,"342",'08. CUSTOS'!$G$5:$G$404,"&gt;="&amp;F$21,'08. CUSTOS'!$G$5:$G$404,"&lt;"&amp;EDATE(F$21,1)))</f>
        <v>sem lançamento</v>
      </c>
      <c r="G40" s="108" t="str">
        <f>IF(COUNTIFS('08. CUSTOS'!$C$5:$C$404,"342",'08. CUSTOS'!$G$5:$G$404,"&gt;="&amp;G$21,'08. CUSTOS'!$G$5:$G$404,"&lt;"&amp;EDATE(G$21,1),'08. CUSTOS'!$F$5:$F$404,"&lt;&gt;")=0,"sem lançamento",SUMIFS('08. CUSTOS'!$F$5:$F$404,'08. CUSTOS'!$C$5:$C$404,"342",'08. CUSTOS'!$G$5:$G$404,"&gt;="&amp;G$21,'08. CUSTOS'!$G$5:$G$404,"&lt;"&amp;EDATE(G$21,1)))</f>
        <v>sem lançamento</v>
      </c>
      <c r="H40" s="108" t="str">
        <f>IF(COUNTIFS('08. CUSTOS'!$C$5:$C$404,"342",'08. CUSTOS'!$G$5:$G$404,"&gt;="&amp;H$21,'08. CUSTOS'!$G$5:$G$404,"&lt;"&amp;EDATE(H$21,1),'08. CUSTOS'!$F$5:$F$404,"&lt;&gt;")=0,"sem lançamento",SUMIFS('08. CUSTOS'!$F$5:$F$404,'08. CUSTOS'!$C$5:$C$404,"342",'08. CUSTOS'!$G$5:$G$404,"&gt;="&amp;H$21,'08. CUSTOS'!$G$5:$G$404,"&lt;"&amp;EDATE(H$21,1)))</f>
        <v>sem lançamento</v>
      </c>
      <c r="I40" s="108" t="str">
        <f>IF(COUNTIFS('08. CUSTOS'!$C$5:$C$404,"342",'08. CUSTOS'!$G$5:$G$404,"&gt;="&amp;I$21,'08. CUSTOS'!$G$5:$G$404,"&lt;"&amp;EDATE(I$21,1),'08. CUSTOS'!$F$5:$F$404,"&lt;&gt;")=0,"sem lançamento",SUMIFS('08. CUSTOS'!$F$5:$F$404,'08. CUSTOS'!$C$5:$C$404,"342",'08. CUSTOS'!$G$5:$G$404,"&gt;="&amp;I$21,'08. CUSTOS'!$G$5:$G$404,"&lt;"&amp;EDATE(I$21,1)))</f>
        <v>sem lançamento</v>
      </c>
      <c r="J40" s="108" t="str">
        <f>IF(COUNTIFS('08. CUSTOS'!$C$5:$C$404,"342",'08. CUSTOS'!$G$5:$G$404,"&gt;="&amp;J$21,'08. CUSTOS'!$G$5:$G$404,"&lt;"&amp;EDATE(J$21,1),'08. CUSTOS'!$F$5:$F$404,"&lt;&gt;")=0,"sem lançamento",SUMIFS('08. CUSTOS'!$F$5:$F$404,'08. CUSTOS'!$C$5:$C$404,"342",'08. CUSTOS'!$G$5:$G$404,"&gt;="&amp;J$21,'08. CUSTOS'!$G$5:$G$404,"&lt;"&amp;EDATE(J$21,1)))</f>
        <v>sem lançamento</v>
      </c>
      <c r="K40" s="108" t="str">
        <f>IF(COUNTIFS('08. CUSTOS'!$C$5:$C$404,"342",'08. CUSTOS'!$G$5:$G$404,"&gt;="&amp;K$21,'08. CUSTOS'!$G$5:$G$404,"&lt;"&amp;EDATE(K$21,1),'08. CUSTOS'!$F$5:$F$404,"&lt;&gt;")=0,"sem lançamento",SUMIFS('08. CUSTOS'!$F$5:$F$404,'08. CUSTOS'!$C$5:$C$404,"342",'08. CUSTOS'!$G$5:$G$404,"&gt;="&amp;K$21,'08. CUSTOS'!$G$5:$G$404,"&lt;"&amp;EDATE(K$21,1)))</f>
        <v>sem lançamento</v>
      </c>
      <c r="L40" s="108" t="str">
        <f>IF(COUNTIFS('08. CUSTOS'!$C$5:$C$404,"342",'08. CUSTOS'!$G$5:$G$404,"&gt;="&amp;L$21,'08. CUSTOS'!$G$5:$G$404,"&lt;"&amp;EDATE(L$21,1),'08. CUSTOS'!$F$5:$F$404,"&lt;&gt;")=0,"sem lançamento",SUMIFS('08. CUSTOS'!$F$5:$F$404,'08. CUSTOS'!$C$5:$C$404,"342",'08. CUSTOS'!$G$5:$G$404,"&gt;="&amp;L$21,'08. CUSTOS'!$G$5:$G$404,"&lt;"&amp;EDATE(L$21,1)))</f>
        <v>sem lançamento</v>
      </c>
      <c r="M40" s="108" t="str">
        <f>IF(COUNTIFS('08. CUSTOS'!$C$5:$C$404,"342",'08. CUSTOS'!$G$5:$G$404,"&gt;="&amp;M$21,'08. CUSTOS'!$G$5:$G$404,"&lt;"&amp;EDATE(M$21,1),'08. CUSTOS'!$F$5:$F$404,"&lt;&gt;")=0,"sem lançamento",SUMIFS('08. CUSTOS'!$F$5:$F$404,'08. CUSTOS'!$C$5:$C$404,"342",'08. CUSTOS'!$G$5:$G$404,"&gt;="&amp;M$21,'08. CUSTOS'!$G$5:$G$404,"&lt;"&amp;EDATE(M$21,1)))</f>
        <v>sem lançamento</v>
      </c>
      <c r="N40" s="108" t="str">
        <f>IF(COUNTIFS('08. CUSTOS'!$C$5:$C$404,"342",'08. CUSTOS'!$G$5:$G$404,"&gt;="&amp;N$21,'08. CUSTOS'!$G$5:$G$404,"&lt;"&amp;EDATE(N$21,1),'08. CUSTOS'!$F$5:$F$404,"&lt;&gt;")=0,"sem lançamento",SUMIFS('08. CUSTOS'!$F$5:$F$404,'08. CUSTOS'!$C$5:$C$404,"342",'08. CUSTOS'!$G$5:$G$404,"&gt;="&amp;N$21,'08. CUSTOS'!$G$5:$G$404,"&lt;"&amp;EDATE(N$21,1)))</f>
        <v>sem lançamento</v>
      </c>
      <c r="O40" s="108" t="str">
        <f>IF(COUNTIFS('08. CUSTOS'!$C$5:$C$404,"342",'08. CUSTOS'!$G$5:$G$404,"&gt;="&amp;O$21,'08. CUSTOS'!$G$5:$G$404,"&lt;"&amp;EDATE(O$21,1),'08. CUSTOS'!$F$5:$F$404,"&lt;&gt;")=0,"sem lançamento",SUMIFS('08. CUSTOS'!$F$5:$F$404,'08. CUSTOS'!$C$5:$C$404,"342",'08. CUSTOS'!$G$5:$G$404,"&gt;="&amp;O$21,'08. CUSTOS'!$G$5:$G$404,"&lt;"&amp;EDATE(O$21,1)))</f>
        <v>sem lançamento</v>
      </c>
      <c r="P40" s="108" t="str">
        <f>IF(COUNTIFS('08. CUSTOS'!$C$5:$C$404,"342",'08. CUSTOS'!$G$5:$G$404,"&gt;="&amp;P$21,'08. CUSTOS'!$G$5:$G$404,"&lt;"&amp;EDATE(P$21,1),'08. CUSTOS'!$F$5:$F$404,"&lt;&gt;")=0,"sem lançamento",SUMIFS('08. CUSTOS'!$F$5:$F$404,'08. CUSTOS'!$C$5:$C$404,"342",'08. CUSTOS'!$G$5:$G$404,"&gt;="&amp;P$21,'08. CUSTOS'!$G$5:$G$404,"&lt;"&amp;EDATE(P$21,1)))</f>
        <v>sem lançamento</v>
      </c>
      <c r="Q40" s="108" t="str">
        <f>IF(COUNTIFS('08. CUSTOS'!$C$5:$C$404,"342",'08. CUSTOS'!$G$5:$G$404,"&gt;="&amp;Q$21,'08. CUSTOS'!$G$5:$G$404,"&lt;"&amp;EDATE(Q$21,1),'08. CUSTOS'!$F$5:$F$404,"&lt;&gt;")=0,"sem lançamento",SUMIFS('08. CUSTOS'!$F$5:$F$404,'08. CUSTOS'!$C$5:$C$404,"342",'08. CUSTOS'!$G$5:$G$404,"&gt;="&amp;Q$21,'08. CUSTOS'!$G$5:$G$404,"&lt;"&amp;EDATE(Q$21,1)))</f>
        <v>sem lançamento</v>
      </c>
      <c r="R40" s="108" t="str">
        <f>IF(COUNTIFS('08. CUSTOS'!$C$5:$C$404,"342",'08. CUSTOS'!$G$5:$G$404,"&gt;="&amp;R$21,'08. CUSTOS'!$G$5:$G$404,"&lt;"&amp;EDATE(R$21,1),'08. CUSTOS'!$F$5:$F$404,"&lt;&gt;")=0,"sem lançamento",SUMIFS('08. CUSTOS'!$F$5:$F$404,'08. CUSTOS'!$C$5:$C$404,"342",'08. CUSTOS'!$G$5:$G$404,"&gt;="&amp;R$21,'08. CUSTOS'!$G$5:$G$404,"&lt;"&amp;EDATE(R$21,1)))</f>
        <v>sem lançamento</v>
      </c>
      <c r="S40" s="108" t="str">
        <f>IF(COUNT(C40:R40)=0,"sem lançamento",SUM(C40:R40))</f>
        <v>sem lançamento</v>
      </c>
    </row>
    <row r="41">
      <c r="A41" s="73" t="inlineStr">
        <is>
          <t>Custo lançado (08, por mês de competência)</t>
        </is>
      </c>
      <c r="B41" s="77" t="inlineStr">
        <is>
          <t>08. CUSTOS</t>
        </is>
      </c>
      <c r="C41" s="108" t="str">
        <f>IF(COUNTIFS('08. CUSTOS'!$C$5:$C$404,"342",'08. CUSTOS'!$B$5:$B$404,"&gt;="&amp;C$21,'08. CUSTOS'!$B$5:$B$404,"&lt;"&amp;EDATE(C$21,1),'08. CUSTOS'!$F$5:$F$404,"&lt;&gt;")=0,"sem lançamento",SUMIFS('08. CUSTOS'!$F$5:$F$404,'08. CUSTOS'!$C$5:$C$404,"342",'08. CUSTOS'!$B$5:$B$404,"&gt;="&amp;C$21,'08. CUSTOS'!$B$5:$B$404,"&lt;"&amp;EDATE(C$21,1)))</f>
        <v>sem lançamento</v>
      </c>
      <c r="D41" s="108" t="str">
        <f>IF(COUNTIFS('08. CUSTOS'!$C$5:$C$404,"342",'08. CUSTOS'!$B$5:$B$404,"&gt;="&amp;D$21,'08. CUSTOS'!$B$5:$B$404,"&lt;"&amp;EDATE(D$21,1),'08. CUSTOS'!$F$5:$F$404,"&lt;&gt;")=0,"sem lançamento",SUMIFS('08. CUSTOS'!$F$5:$F$404,'08. CUSTOS'!$C$5:$C$404,"342",'08. CUSTOS'!$B$5:$B$404,"&gt;="&amp;D$21,'08. CUSTOS'!$B$5:$B$404,"&lt;"&amp;EDATE(D$21,1)))</f>
        <v>sem lançamento</v>
      </c>
      <c r="E41" s="108" t="str">
        <f>IF(COUNTIFS('08. CUSTOS'!$C$5:$C$404,"342",'08. CUSTOS'!$B$5:$B$404,"&gt;="&amp;E$21,'08. CUSTOS'!$B$5:$B$404,"&lt;"&amp;EDATE(E$21,1),'08. CUSTOS'!$F$5:$F$404,"&lt;&gt;")=0,"sem lançamento",SUMIFS('08. CUSTOS'!$F$5:$F$404,'08. CUSTOS'!$C$5:$C$404,"342",'08. CUSTOS'!$B$5:$B$404,"&gt;="&amp;E$21,'08. CUSTOS'!$B$5:$B$404,"&lt;"&amp;EDATE(E$21,1)))</f>
        <v>sem lançamento</v>
      </c>
      <c r="F41" s="108" t="str">
        <f>IF(COUNTIFS('08. CUSTOS'!$C$5:$C$404,"342",'08. CUSTOS'!$B$5:$B$404,"&gt;="&amp;F$21,'08. CUSTOS'!$B$5:$B$404,"&lt;"&amp;EDATE(F$21,1),'08. CUSTOS'!$F$5:$F$404,"&lt;&gt;")=0,"sem lançamento",SUMIFS('08. CUSTOS'!$F$5:$F$404,'08. CUSTOS'!$C$5:$C$404,"342",'08. CUSTOS'!$B$5:$B$404,"&gt;="&amp;F$21,'08. CUSTOS'!$B$5:$B$404,"&lt;"&amp;EDATE(F$21,1)))</f>
        <v>sem lançamento</v>
      </c>
      <c r="G41" s="108" t="str">
        <f>IF(COUNTIFS('08. CUSTOS'!$C$5:$C$404,"342",'08. CUSTOS'!$B$5:$B$404,"&gt;="&amp;G$21,'08. CUSTOS'!$B$5:$B$404,"&lt;"&amp;EDATE(G$21,1),'08. CUSTOS'!$F$5:$F$404,"&lt;&gt;")=0,"sem lançamento",SUMIFS('08. CUSTOS'!$F$5:$F$404,'08. CUSTOS'!$C$5:$C$404,"342",'08. CUSTOS'!$B$5:$B$404,"&gt;="&amp;G$21,'08. CUSTOS'!$B$5:$B$404,"&lt;"&amp;EDATE(G$21,1)))</f>
        <v>sem lançamento</v>
      </c>
      <c r="H41" s="108" t="str">
        <f>IF(COUNTIFS('08. CUSTOS'!$C$5:$C$404,"342",'08. CUSTOS'!$B$5:$B$404,"&gt;="&amp;H$21,'08. CUSTOS'!$B$5:$B$404,"&lt;"&amp;EDATE(H$21,1),'08. CUSTOS'!$F$5:$F$404,"&lt;&gt;")=0,"sem lançamento",SUMIFS('08. CUSTOS'!$F$5:$F$404,'08. CUSTOS'!$C$5:$C$404,"342",'08. CUSTOS'!$B$5:$B$404,"&gt;="&amp;H$21,'08. CUSTOS'!$B$5:$B$404,"&lt;"&amp;EDATE(H$21,1)))</f>
        <v>sem lançamento</v>
      </c>
      <c r="I41" s="108" t="str">
        <f>IF(COUNTIFS('08. CUSTOS'!$C$5:$C$404,"342",'08. CUSTOS'!$B$5:$B$404,"&gt;="&amp;I$21,'08. CUSTOS'!$B$5:$B$404,"&lt;"&amp;EDATE(I$21,1),'08. CUSTOS'!$F$5:$F$404,"&lt;&gt;")=0,"sem lançamento",SUMIFS('08. CUSTOS'!$F$5:$F$404,'08. CUSTOS'!$C$5:$C$404,"342",'08. CUSTOS'!$B$5:$B$404,"&gt;="&amp;I$21,'08. CUSTOS'!$B$5:$B$404,"&lt;"&amp;EDATE(I$21,1)))</f>
        <v>sem lançamento</v>
      </c>
      <c r="J41" s="108" t="str">
        <f>IF(COUNTIFS('08. CUSTOS'!$C$5:$C$404,"342",'08. CUSTOS'!$B$5:$B$404,"&gt;="&amp;J$21,'08. CUSTOS'!$B$5:$B$404,"&lt;"&amp;EDATE(J$21,1),'08. CUSTOS'!$F$5:$F$404,"&lt;&gt;")=0,"sem lançamento",SUMIFS('08. CUSTOS'!$F$5:$F$404,'08. CUSTOS'!$C$5:$C$404,"342",'08. CUSTOS'!$B$5:$B$404,"&gt;="&amp;J$21,'08. CUSTOS'!$B$5:$B$404,"&lt;"&amp;EDATE(J$21,1)))</f>
        <v>sem lançamento</v>
      </c>
      <c r="K41" s="108" t="str">
        <f>IF(COUNTIFS('08. CUSTOS'!$C$5:$C$404,"342",'08. CUSTOS'!$B$5:$B$404,"&gt;="&amp;K$21,'08. CUSTOS'!$B$5:$B$404,"&lt;"&amp;EDATE(K$21,1),'08. CUSTOS'!$F$5:$F$404,"&lt;&gt;")=0,"sem lançamento",SUMIFS('08. CUSTOS'!$F$5:$F$404,'08. CUSTOS'!$C$5:$C$404,"342",'08. CUSTOS'!$B$5:$B$404,"&gt;="&amp;K$21,'08. CUSTOS'!$B$5:$B$404,"&lt;"&amp;EDATE(K$21,1)))</f>
        <v>sem lançamento</v>
      </c>
      <c r="L41" s="108" t="str">
        <f>IF(COUNTIFS('08. CUSTOS'!$C$5:$C$404,"342",'08. CUSTOS'!$B$5:$B$404,"&gt;="&amp;L$21,'08. CUSTOS'!$B$5:$B$404,"&lt;"&amp;EDATE(L$21,1),'08. CUSTOS'!$F$5:$F$404,"&lt;&gt;")=0,"sem lançamento",SUMIFS('08. CUSTOS'!$F$5:$F$404,'08. CUSTOS'!$C$5:$C$404,"342",'08. CUSTOS'!$B$5:$B$404,"&gt;="&amp;L$21,'08. CUSTOS'!$B$5:$B$404,"&lt;"&amp;EDATE(L$21,1)))</f>
        <v>sem lançamento</v>
      </c>
      <c r="M41" s="108" t="str">
        <f>IF(COUNTIFS('08. CUSTOS'!$C$5:$C$404,"342",'08. CUSTOS'!$B$5:$B$404,"&gt;="&amp;M$21,'08. CUSTOS'!$B$5:$B$404,"&lt;"&amp;EDATE(M$21,1),'08. CUSTOS'!$F$5:$F$404,"&lt;&gt;")=0,"sem lançamento",SUMIFS('08. CUSTOS'!$F$5:$F$404,'08. CUSTOS'!$C$5:$C$404,"342",'08. CUSTOS'!$B$5:$B$404,"&gt;="&amp;M$21,'08. CUSTOS'!$B$5:$B$404,"&lt;"&amp;EDATE(M$21,1)))</f>
        <v>sem lançamento</v>
      </c>
      <c r="N41" s="108" t="str">
        <f>IF(COUNTIFS('08. CUSTOS'!$C$5:$C$404,"342",'08. CUSTOS'!$B$5:$B$404,"&gt;="&amp;N$21,'08. CUSTOS'!$B$5:$B$404,"&lt;"&amp;EDATE(N$21,1),'08. CUSTOS'!$F$5:$F$404,"&lt;&gt;")=0,"sem lançamento",SUMIFS('08. CUSTOS'!$F$5:$F$404,'08. CUSTOS'!$C$5:$C$404,"342",'08. CUSTOS'!$B$5:$B$404,"&gt;="&amp;N$21,'08. CUSTOS'!$B$5:$B$404,"&lt;"&amp;EDATE(N$21,1)))</f>
        <v>sem lançamento</v>
      </c>
      <c r="O41" s="108" t="str">
        <f>IF(COUNTIFS('08. CUSTOS'!$C$5:$C$404,"342",'08. CUSTOS'!$B$5:$B$404,"&gt;="&amp;O$21,'08. CUSTOS'!$B$5:$B$404,"&lt;"&amp;EDATE(O$21,1),'08. CUSTOS'!$F$5:$F$404,"&lt;&gt;")=0,"sem lançamento",SUMIFS('08. CUSTOS'!$F$5:$F$404,'08. CUSTOS'!$C$5:$C$404,"342",'08. CUSTOS'!$B$5:$B$404,"&gt;="&amp;O$21,'08. CUSTOS'!$B$5:$B$404,"&lt;"&amp;EDATE(O$21,1)))</f>
        <v>sem lançamento</v>
      </c>
      <c r="P41" s="108" t="str">
        <f>IF(COUNTIFS('08. CUSTOS'!$C$5:$C$404,"342",'08. CUSTOS'!$B$5:$B$404,"&gt;="&amp;P$21,'08. CUSTOS'!$B$5:$B$404,"&lt;"&amp;EDATE(P$21,1),'08. CUSTOS'!$F$5:$F$404,"&lt;&gt;")=0,"sem lançamento",SUMIFS('08. CUSTOS'!$F$5:$F$404,'08. CUSTOS'!$C$5:$C$404,"342",'08. CUSTOS'!$B$5:$B$404,"&gt;="&amp;P$21,'08. CUSTOS'!$B$5:$B$404,"&lt;"&amp;EDATE(P$21,1)))</f>
        <v>sem lançamento</v>
      </c>
      <c r="Q41" s="108" t="str">
        <f>IF(COUNTIFS('08. CUSTOS'!$C$5:$C$404,"342",'08. CUSTOS'!$B$5:$B$404,"&gt;="&amp;Q$21,'08. CUSTOS'!$B$5:$B$404,"&lt;"&amp;EDATE(Q$21,1),'08. CUSTOS'!$F$5:$F$404,"&lt;&gt;")=0,"sem lançamento",SUMIFS('08. CUSTOS'!$F$5:$F$404,'08. CUSTOS'!$C$5:$C$404,"342",'08. CUSTOS'!$B$5:$B$404,"&gt;="&amp;Q$21,'08. CUSTOS'!$B$5:$B$404,"&lt;"&amp;EDATE(Q$21,1)))</f>
        <v>sem lançamento</v>
      </c>
      <c r="R41" s="108" t="str">
        <f>IF(COUNTIFS('08. CUSTOS'!$C$5:$C$404,"342",'08. CUSTOS'!$B$5:$B$404,"&gt;="&amp;R$21,'08. CUSTOS'!$B$5:$B$404,"&lt;"&amp;EDATE(R$21,1),'08. CUSTOS'!$F$5:$F$404,"&lt;&gt;")=0,"sem lançamento",SUMIFS('08. CUSTOS'!$F$5:$F$404,'08. CUSTOS'!$C$5:$C$404,"342",'08. CUSTOS'!$B$5:$B$404,"&gt;="&amp;R$21,'08. CUSTOS'!$B$5:$B$404,"&lt;"&amp;EDATE(R$21,1)))</f>
        <v>sem lançamento</v>
      </c>
      <c r="S41" s="108" t="str">
        <f>IF(COUNT(C41:R41)=0,"sem lançamento",SUM(C41:R41))</f>
        <v>sem lançamento</v>
      </c>
    </row>
    <row r="42">
      <c r="A42" s="73" t="inlineStr">
        <is>
          <t>Diferença do custo (lançado menos previsto)</t>
        </is>
      </c>
      <c r="B42" s="77" t="inlineStr">
        <is>
          <t>calculado</t>
        </is>
      </c>
      <c r="C42" s="108">
        <f>IF(ISTEXT(C41),"",C41-C32)</f>
      </c>
      <c r="D42" s="108">
        <f>IF(ISTEXT(D41),"",D41-D32)</f>
      </c>
      <c r="E42" s="108">
        <f>IF(ISTEXT(E41),"",E41-E32)</f>
      </c>
      <c r="F42" s="108">
        <f>IF(ISTEXT(F41),"",F41-F32)</f>
      </c>
      <c r="G42" s="108">
        <f>IF(ISTEXT(G41),"",G41-G32)</f>
      </c>
      <c r="H42" s="108">
        <f>IF(ISTEXT(H41),"",H41-H32)</f>
      </c>
      <c r="I42" s="108">
        <f>IF(ISTEXT(I41),"",I41-I32)</f>
      </c>
      <c r="J42" s="108">
        <f>IF(ISTEXT(J41),"",J41-J32)</f>
      </c>
      <c r="K42" s="108">
        <f>IF(ISTEXT(K41),"",K41-K32)</f>
      </c>
      <c r="L42" s="108">
        <f>IF(ISTEXT(L41),"",L41-L32)</f>
      </c>
      <c r="M42" s="108">
        <f>IF(ISTEXT(M41),"",M41-M32)</f>
      </c>
      <c r="N42" s="108">
        <f>IF(ISTEXT(N41),"",N41-N32)</f>
      </c>
      <c r="O42" s="108">
        <f>IF(ISTEXT(O41),"",O41-O32)</f>
      </c>
      <c r="P42" s="108">
        <f>IF(ISTEXT(P41),"",P41-P32)</f>
      </c>
      <c r="Q42" s="108">
        <f>IF(ISTEXT(Q41),"",Q41-Q32)</f>
      </c>
      <c r="R42" s="108">
        <f>IF(ISTEXT(R41),"",R41-R32)</f>
      </c>
      <c r="S42" s="108" t="str">
        <f>IF(COUNT(C42:R42)=0,"sem lançamento",SUM(C42:R42))</f>
        <v>sem lançamento</v>
      </c>
    </row>
    <row r="43">
      <c r="C43" s="90" t="n"/>
      <c r="D43" s="90" t="n"/>
      <c r="E43" s="90" t="n"/>
      <c r="F43" s="90" t="n"/>
      <c r="G43" s="90" t="n"/>
      <c r="H43" s="90" t="n"/>
      <c r="I43" s="90" t="n"/>
      <c r="J43" s="90" t="n"/>
      <c r="K43" s="90" t="n"/>
      <c r="L43" s="90" t="n"/>
      <c r="M43" s="90" t="n"/>
      <c r="N43" s="90" t="n"/>
      <c r="O43" s="90" t="n"/>
      <c r="P43" s="90" t="n"/>
      <c r="Q43" s="90" t="n"/>
      <c r="R43" s="90" t="n"/>
      <c r="S43" s="90" t="n"/>
    </row>
    <row r="44">
      <c r="A44" s="80" t="inlineStr">
        <is>
          <t>OBRA 343 CAESB Subadutora Sobradinho</t>
        </is>
      </c>
      <c r="B44" s="80" t="n"/>
      <c r="C44" s="109">
        <f>C$21</f>
        <v>46266.0</v>
      </c>
      <c r="D44" s="109">
        <f>D$21</f>
        <v>46296.0</v>
      </c>
      <c r="E44" s="109">
        <f>E$21</f>
        <v>46327.0</v>
      </c>
      <c r="F44" s="109">
        <f>F$21</f>
        <v>46357.0</v>
      </c>
      <c r="G44" s="109">
        <f>G$21</f>
        <v>46388.0</v>
      </c>
      <c r="H44" s="109">
        <f>H$21</f>
        <v>46419.0</v>
      </c>
      <c r="I44" s="109">
        <f>I$21</f>
        <v>46447.0</v>
      </c>
      <c r="J44" s="109">
        <f>J$21</f>
        <v>46478.0</v>
      </c>
      <c r="K44" s="109">
        <f>K$21</f>
        <v>46508.0</v>
      </c>
      <c r="L44" s="109">
        <f>L$21</f>
        <v>46539.0</v>
      </c>
      <c r="M44" s="109">
        <f>M$21</f>
        <v>46569.0</v>
      </c>
      <c r="N44" s="109">
        <f>N$21</f>
        <v>46600.0</v>
      </c>
      <c r="O44" s="109">
        <f>O$21</f>
        <v>46631.0</v>
      </c>
      <c r="P44" s="109">
        <f>P$21</f>
        <v>46661.0</v>
      </c>
      <c r="Q44" s="109">
        <f>Q$21</f>
        <v>46692.0</v>
      </c>
      <c r="R44" s="109">
        <f>R$21</f>
        <v>46722.0</v>
      </c>
      <c r="S44" s="91" t="n"/>
    </row>
    <row r="45">
      <c r="A45" s="81" t="inlineStr">
        <is>
          <t>Medição prevista (cronograma, R$)</t>
        </is>
      </c>
      <c r="B45" s="94" t="inlineStr">
        <is>
          <t>04 linha 18 (motor da 343, aba 18)</t>
        </is>
      </c>
      <c r="C45" s="254">
        <f>'04. PLANO DAS OBRAS'!C18</f>
        <v>0</v>
      </c>
      <c r="D45" s="254">
        <f>'04. PLANO DAS OBRAS'!D18</f>
        <v>1181684.09</v>
      </c>
      <c r="E45" s="254">
        <f>'04. PLANO DAS OBRAS'!E18</f>
        <v>887910.89</v>
      </c>
      <c r="F45" s="254">
        <f>'04. PLANO DAS OBRAS'!F18</f>
        <v>635941.2</v>
      </c>
      <c r="G45" s="254">
        <f>'04. PLANO DAS OBRAS'!G18</f>
        <v>559103.05</v>
      </c>
      <c r="H45" s="254">
        <f>'04. PLANO DAS OBRAS'!H18</f>
        <v>503192.75</v>
      </c>
      <c r="I45" s="254">
        <f>'04. PLANO DAS OBRAS'!I18</f>
        <v>615013.36</v>
      </c>
      <c r="J45" s="254">
        <f>'04. PLANO DAS OBRAS'!J18</f>
        <v>544245.63</v>
      </c>
      <c r="K45" s="254">
        <f>'04. PLANO DAS OBRAS'!K18</f>
        <v>306920.12</v>
      </c>
      <c r="L45" s="254">
        <f>'04. PLANO DAS OBRAS'!L18</f>
        <v>0</v>
      </c>
      <c r="M45" s="254">
        <f>'04. PLANO DAS OBRAS'!M18</f>
        <v>0</v>
      </c>
      <c r="N45" s="254">
        <f>'04. PLANO DAS OBRAS'!N18</f>
        <v>0</v>
      </c>
      <c r="O45" s="254">
        <f>'04. PLANO DAS OBRAS'!O18</f>
        <v>0</v>
      </c>
      <c r="P45" s="254">
        <f>'04. PLANO DAS OBRAS'!P18</f>
        <v>0</v>
      </c>
      <c r="Q45" s="254">
        <f>'04. PLANO DAS OBRAS'!Q18</f>
        <v>0</v>
      </c>
      <c r="R45" s="254">
        <f>'04. PLANO DAS OBRAS'!R18</f>
        <v>0</v>
      </c>
      <c r="S45" s="96">
        <f>IF(COUNT(C45:R45)=0,"sem lançamento",SUM(C45:R45))</f>
        <v>5234011.09</v>
      </c>
    </row>
    <row r="46">
      <c r="A46" s="73" t="inlineStr">
        <is>
          <t>Data prevista do recebimento (nota no 1º dia útil do mês seguinte + prazo da 03 D14; vencimento em dia não útil passa para o dia útil seguinte)</t>
        </is>
      </c>
      <c r="B46" s="77" t="inlineStr">
        <is>
          <t>03 D14; 02 (feriados)</t>
        </is>
      </c>
      <c r="C46" s="97">
        <f>WORKDAY(WORKDAY(EOMONTH(C$21,0),1,FERIADOS_343)+'03. CONTRATOS'!$D$14-1,1,FERIADOS_343)</f>
        <v>46329.0</v>
      </c>
      <c r="D46" s="97">
        <f>WORKDAY(WORKDAY(EOMONTH(D$21,0),1,FERIADOS_343)+'03. CONTRATOS'!$D$14-1,1,FERIADOS_343)</f>
        <v>46359.0</v>
      </c>
      <c r="E46" s="97">
        <f>WORKDAY(WORKDAY(EOMONTH(E$21,0),1,FERIADOS_343)+'03. CONTRATOS'!$D$14-1,1,FERIADOS_343)</f>
        <v>46387.0</v>
      </c>
      <c r="F46" s="97">
        <f>WORKDAY(WORKDAY(EOMONTH(F$21,0),1,FERIADOS_343)+'03. CONTRATOS'!$D$14-1,1,FERIADOS_343)</f>
        <v>46421.0</v>
      </c>
      <c r="G46" s="97">
        <f>WORKDAY(WORKDAY(EOMONTH(G$21,0),1,FERIADOS_343)+'03. CONTRATOS'!$D$14-1,1,FERIADOS_343)</f>
        <v>46449.0</v>
      </c>
      <c r="H46" s="97">
        <f>WORKDAY(WORKDAY(EOMONTH(H$21,0),1,FERIADOS_343)+'03. CONTRATOS'!$D$14-1,1,FERIADOS_343)</f>
        <v>46477.0</v>
      </c>
      <c r="I46" s="97">
        <f>WORKDAY(WORKDAY(EOMONTH(I$21,0),1,FERIADOS_343)+'03. CONTRATOS'!$D$14-1,1,FERIADOS_343)</f>
        <v>46510.0</v>
      </c>
      <c r="J46" s="97">
        <f>WORKDAY(WORKDAY(EOMONTH(J$21,0),1,FERIADOS_343)+'03. CONTRATOS'!$D$14-1,1,FERIADOS_343)</f>
        <v>46540.0</v>
      </c>
      <c r="K46" s="97">
        <f>WORKDAY(WORKDAY(EOMONTH(K$21,0),1,FERIADOS_343)+'03. CONTRATOS'!$D$14-1,1,FERIADOS_343)</f>
        <v>46569.0</v>
      </c>
      <c r="L46" s="97">
        <f>WORKDAY(WORKDAY(EOMONTH(L$21,0),1,FERIADOS_343)+'03. CONTRATOS'!$D$14-1,1,FERIADOS_343)</f>
        <v>46601.0</v>
      </c>
      <c r="M46" s="97">
        <f>WORKDAY(WORKDAY(EOMONTH(M$21,0),1,FERIADOS_343)+'03. CONTRATOS'!$D$14-1,1,FERIADOS_343)</f>
        <v>46631.0</v>
      </c>
      <c r="N46" s="97">
        <f>WORKDAY(WORKDAY(EOMONTH(N$21,0),1,FERIADOS_343)+'03. CONTRATOS'!$D$14-1,1,FERIADOS_343)</f>
        <v>46661.0</v>
      </c>
      <c r="O46" s="97">
        <f>WORKDAY(WORKDAY(EOMONTH(O$21,0),1,FERIADOS_343)+'03. CONTRATOS'!$D$14-1,1,FERIADOS_343)</f>
        <v>46692.0</v>
      </c>
      <c r="P46" s="97">
        <f>WORKDAY(WORKDAY(EOMONTH(P$21,0),1,FERIADOS_343)+'03. CONTRATOS'!$D$14-1,1,FERIADOS_343)</f>
        <v>46722.0</v>
      </c>
      <c r="Q46" s="97">
        <f>WORKDAY(WORKDAY(EOMONTH(Q$21,0),1,FERIADOS_343)+'03. CONTRATOS'!$D$14-1,1,FERIADOS_343)</f>
        <v>46752.0</v>
      </c>
      <c r="R46" s="97">
        <f>WORKDAY(WORKDAY(EOMONTH(R$21,0),1,FERIADOS_343)+'03. CONTRATOS'!$D$14-1,1,FERIADOS_343)</f>
        <v>46785.0</v>
      </c>
      <c r="S46" s="97" t="n"/>
    </row>
    <row r="47">
      <c r="A47" s="73" t="inlineStr">
        <is>
          <t>Recebimento bruto previsto (data da linha 46 + atraso C8, após glosa C9)</t>
        </is>
      </c>
      <c r="B47" s="77" t="inlineStr">
        <is>
          <t>calculado</t>
        </is>
      </c>
      <c r="C47" s="93">
        <f>SUMIFS($C45:$R45,$C46:$R46,"&gt;="&amp;(C$21-$C$8),$C46:$R46,"&lt;="&amp;(EOMONTH(C$21,0)-$C$8))*(1-$C$9)</f>
        <v>0</v>
      </c>
      <c r="D47" s="93">
        <f>SUMIFS($C45:$R45,$C46:$R46,"&gt;="&amp;(D$21-$C$8),$C46:$R46,"&lt;="&amp;(EOMONTH(D$21,0)-$C$8))*(1-$C$9)</f>
        <v>0</v>
      </c>
      <c r="E47" s="93">
        <f>SUMIFS($C45:$R45,$C46:$R46,"&gt;="&amp;(E$21-$C$8),$C46:$R46,"&lt;="&amp;(EOMONTH(E$21,0)-$C$8))*(1-$C$9)</f>
        <v>0</v>
      </c>
      <c r="F47" s="93">
        <f>SUMIFS($C45:$R45,$C46:$R46,"&gt;="&amp;(F$21-$C$8),$C46:$R46,"&lt;="&amp;(EOMONTH(F$21,0)-$C$8))*(1-$C$9)</f>
        <v>2069594.98</v>
      </c>
      <c r="G47" s="93">
        <f>SUMIFS($C45:$R45,$C46:$R46,"&gt;="&amp;(G$21-$C$8),$C46:$R46,"&lt;="&amp;(EOMONTH(G$21,0)-$C$8))*(1-$C$9)</f>
        <v>0</v>
      </c>
      <c r="H47" s="93">
        <f>SUMIFS($C45:$R45,$C46:$R46,"&gt;="&amp;(H$21-$C$8),$C46:$R46,"&lt;="&amp;(EOMONTH(H$21,0)-$C$8))*(1-$C$9)</f>
        <v>635941.2</v>
      </c>
      <c r="I47" s="93">
        <f>SUMIFS($C45:$R45,$C46:$R46,"&gt;="&amp;(I$21-$C$8),$C46:$R46,"&lt;="&amp;(EOMONTH(I$21,0)-$C$8))*(1-$C$9)</f>
        <v>1062295.8</v>
      </c>
      <c r="J47" s="93">
        <f>SUMIFS($C45:$R45,$C46:$R46,"&gt;="&amp;(J$21-$C$8),$C46:$R46,"&lt;="&amp;(EOMONTH(J$21,0)-$C$8))*(1-$C$9)</f>
        <v>0</v>
      </c>
      <c r="K47" s="93">
        <f>SUMIFS($C45:$R45,$C46:$R46,"&gt;="&amp;(K$21-$C$8),$C46:$R46,"&lt;="&amp;(EOMONTH(K$21,0)-$C$8))*(1-$C$9)</f>
        <v>615013.36</v>
      </c>
      <c r="L47" s="93">
        <f>SUMIFS($C45:$R45,$C46:$R46,"&gt;="&amp;(L$21-$C$8),$C46:$R46,"&lt;="&amp;(EOMONTH(L$21,0)-$C$8))*(1-$C$9)</f>
        <v>544245.63</v>
      </c>
      <c r="M47" s="93">
        <f>SUMIFS($C45:$R45,$C46:$R46,"&gt;="&amp;(M$21-$C$8),$C46:$R46,"&lt;="&amp;(EOMONTH(M$21,0)-$C$8))*(1-$C$9)</f>
        <v>306920.12</v>
      </c>
      <c r="N47" s="93">
        <f>SUMIFS($C45:$R45,$C46:$R46,"&gt;="&amp;(N$21-$C$8),$C46:$R46,"&lt;="&amp;(EOMONTH(N$21,0)-$C$8))*(1-$C$9)</f>
        <v>0</v>
      </c>
      <c r="O47" s="93">
        <f>SUMIFS($C45:$R45,$C46:$R46,"&gt;="&amp;(O$21-$C$8),$C46:$R46,"&lt;="&amp;(EOMONTH(O$21,0)-$C$8))*(1-$C$9)</f>
        <v>0</v>
      </c>
      <c r="P47" s="93">
        <f>SUMIFS($C45:$R45,$C46:$R46,"&gt;="&amp;(P$21-$C$8),$C46:$R46,"&lt;="&amp;(EOMONTH(P$21,0)-$C$8))*(1-$C$9)</f>
        <v>0</v>
      </c>
      <c r="Q47" s="93">
        <f>SUMIFS($C45:$R45,$C46:$R46,"&gt;="&amp;(Q$21-$C$8),$C46:$R46,"&lt;="&amp;(EOMONTH(Q$21,0)-$C$8))*(1-$C$9)</f>
        <v>0</v>
      </c>
      <c r="R47" s="93">
        <f>SUMIFS($C45:$R45,$C46:$R46,"&gt;="&amp;(R$21-$C$8),$C46:$R46,"&lt;="&amp;(EOMONTH(R$21,0)-$C$8))*(1-$C$9)</f>
        <v>0</v>
      </c>
      <c r="S47" s="93">
        <f>IF(COUNT(C47:R47)=0,"sem lançamento",SUM(C47:R47))</f>
        <v>5234011.09</v>
      </c>
    </row>
    <row r="48">
      <c r="A48" s="73" t="inlineStr">
        <is>
          <t>(-) Tributos sobre o recebimento</t>
        </is>
      </c>
      <c r="B48" s="77" t="inlineStr">
        <is>
          <t>calculado</t>
        </is>
      </c>
      <c r="C48" s="93">
        <f>C47*$D$10</f>
        <v>0</v>
      </c>
      <c r="D48" s="93">
        <f>D47*$D$10</f>
        <v>0</v>
      </c>
      <c r="E48" s="93">
        <f>E47*$D$10</f>
        <v>0</v>
      </c>
      <c r="F48" s="93">
        <f>F47*$D$10</f>
        <v>175915.5733</v>
      </c>
      <c r="G48" s="93">
        <f>G47*$D$10</f>
        <v>0</v>
      </c>
      <c r="H48" s="93">
        <f>H47*$D$10</f>
        <v>54055.002</v>
      </c>
      <c r="I48" s="93">
        <f>I47*$D$10</f>
        <v>90295.143</v>
      </c>
      <c r="J48" s="93">
        <f>J47*$D$10</f>
        <v>0</v>
      </c>
      <c r="K48" s="93">
        <f>K47*$D$10</f>
        <v>52276.1356</v>
      </c>
      <c r="L48" s="93">
        <f>L47*$D$10</f>
        <v>46260.87855</v>
      </c>
      <c r="M48" s="93">
        <f>M47*$D$10</f>
        <v>26088.2102</v>
      </c>
      <c r="N48" s="93">
        <f>N47*$D$10</f>
        <v>0</v>
      </c>
      <c r="O48" s="93">
        <f>O47*$D$10</f>
        <v>0</v>
      </c>
      <c r="P48" s="93">
        <f>P47*$D$10</f>
        <v>0</v>
      </c>
      <c r="Q48" s="93">
        <f>Q47*$D$10</f>
        <v>0</v>
      </c>
      <c r="R48" s="93">
        <f>R47*$D$10</f>
        <v>0</v>
      </c>
      <c r="S48" s="93">
        <f>IF(COUNT(C48:R48)=0,"sem lançamento",SUM(C48:R48))</f>
        <v>444890.94265</v>
      </c>
    </row>
    <row r="49">
      <c r="A49" s="81" t="inlineStr">
        <is>
          <t>Entrada líquida de tributos</t>
        </is>
      </c>
      <c r="B49" s="94" t="inlineStr">
        <is>
          <t>calculado</t>
        </is>
      </c>
      <c r="C49" s="96">
        <f>C47-C48</f>
        <v>0</v>
      </c>
      <c r="D49" s="96">
        <f>D47-D48</f>
        <v>0</v>
      </c>
      <c r="E49" s="96">
        <f>E47-E48</f>
        <v>0</v>
      </c>
      <c r="F49" s="96">
        <f>F47-F48</f>
        <v>1893679.4067</v>
      </c>
      <c r="G49" s="96">
        <f>G47-G48</f>
        <v>0</v>
      </c>
      <c r="H49" s="96">
        <f>H47-H48</f>
        <v>581886.198</v>
      </c>
      <c r="I49" s="96">
        <f>I47-I48</f>
        <v>972000.657</v>
      </c>
      <c r="J49" s="96">
        <f>J47-J48</f>
        <v>0</v>
      </c>
      <c r="K49" s="96">
        <f>K47-K48</f>
        <v>562737.2244</v>
      </c>
      <c r="L49" s="96">
        <f>L47-L48</f>
        <v>497984.75145</v>
      </c>
      <c r="M49" s="96">
        <f>M47-M48</f>
        <v>280831.9098</v>
      </c>
      <c r="N49" s="96">
        <f>N47-N48</f>
        <v>0</v>
      </c>
      <c r="O49" s="96">
        <f>O47-O48</f>
        <v>0</v>
      </c>
      <c r="P49" s="96">
        <f>P47-P48</f>
        <v>0</v>
      </c>
      <c r="Q49" s="96">
        <f>Q47-Q48</f>
        <v>0</v>
      </c>
      <c r="R49" s="96">
        <f>R47-R48</f>
        <v>0</v>
      </c>
      <c r="S49" s="96">
        <f>IF(COUNT(C49:R49)=0,"sem lançamento",SUM(C49:R49))</f>
        <v>4789120.14735</v>
      </c>
    </row>
    <row r="50">
      <c r="A50" s="73" t="inlineStr">
        <is>
          <t>Saída: mão de obra + equipamentos</t>
        </is>
      </c>
      <c r="B50" s="77" t="inlineStr">
        <is>
          <t>04 linha 20 (motor da 343, aba 19, col. C)</t>
        </is>
      </c>
      <c r="C50" s="255">
        <f>'04. PLANO DAS OBRAS'!C20</f>
        <v>55670.76</v>
      </c>
      <c r="D50" s="255">
        <f>'04. PLANO DAS OBRAS'!D20</f>
        <v>212493.75</v>
      </c>
      <c r="E50" s="255">
        <f>'04. PLANO DAS OBRAS'!E20</f>
        <v>182137.5</v>
      </c>
      <c r="F50" s="255">
        <f>'04. PLANO DAS OBRAS'!F20</f>
        <v>96993.95</v>
      </c>
      <c r="G50" s="255">
        <f>'04. PLANO DAS OBRAS'!G20</f>
        <v>76756.45</v>
      </c>
      <c r="H50" s="255">
        <f>'04. PLANO DAS OBRAS'!H20</f>
        <v>69080.8</v>
      </c>
      <c r="I50" s="255">
        <f>'04. PLANO DAS OBRAS'!I20</f>
        <v>84432.09</v>
      </c>
      <c r="J50" s="255">
        <f>'04. PLANO DAS OBRAS'!J20</f>
        <v>59231.26</v>
      </c>
      <c r="K50" s="255">
        <f>'04. PLANO DAS OBRAS'!K20</f>
        <v>31811.86</v>
      </c>
      <c r="L50" s="255">
        <f>'04. PLANO DAS OBRAS'!L20</f>
        <v>0</v>
      </c>
      <c r="M50" s="255">
        <f>'04. PLANO DAS OBRAS'!M20</f>
        <v>0</v>
      </c>
      <c r="N50" s="255">
        <f>'04. PLANO DAS OBRAS'!N20</f>
        <v>0</v>
      </c>
      <c r="O50" s="255">
        <f>'04. PLANO DAS OBRAS'!O20</f>
        <v>0</v>
      </c>
      <c r="P50" s="255">
        <f>'04. PLANO DAS OBRAS'!P20</f>
        <v>0</v>
      </c>
      <c r="Q50" s="255">
        <f>'04. PLANO DAS OBRAS'!Q20</f>
        <v>0</v>
      </c>
      <c r="R50" s="255">
        <f>'04. PLANO DAS OBRAS'!R20</f>
        <v>0</v>
      </c>
      <c r="S50" s="93">
        <f>IF(COUNT(C50:R50)=0,"sem lançamento",SUM(C50:R50))</f>
        <v>868608.42</v>
      </c>
    </row>
    <row r="51">
      <c r="A51" s="73" t="inlineStr">
        <is>
          <t>Saída: alojamento</t>
        </is>
      </c>
      <c r="B51" s="77" t="inlineStr">
        <is>
          <t>04 linha 23 (motor da 343, aba 19, col. D)</t>
        </is>
      </c>
      <c r="C51" s="255">
        <f>'04. PLANO DAS OBRAS'!C23</f>
        <v>0</v>
      </c>
      <c r="D51" s="255">
        <f>'04. PLANO DAS OBRAS'!D23</f>
        <v>0</v>
      </c>
      <c r="E51" s="255">
        <f>'04. PLANO DAS OBRAS'!E23</f>
        <v>0</v>
      </c>
      <c r="F51" s="255">
        <f>'04. PLANO DAS OBRAS'!F23</f>
        <v>0</v>
      </c>
      <c r="G51" s="255">
        <f>'04. PLANO DAS OBRAS'!G23</f>
        <v>0</v>
      </c>
      <c r="H51" s="255">
        <f>'04. PLANO DAS OBRAS'!H23</f>
        <v>0</v>
      </c>
      <c r="I51" s="255">
        <f>'04. PLANO DAS OBRAS'!I23</f>
        <v>0</v>
      </c>
      <c r="J51" s="255">
        <f>'04. PLANO DAS OBRAS'!J23</f>
        <v>0</v>
      </c>
      <c r="K51" s="255">
        <f>'04. PLANO DAS OBRAS'!K23</f>
        <v>0</v>
      </c>
      <c r="L51" s="255">
        <f>'04. PLANO DAS OBRAS'!L23</f>
        <v>0</v>
      </c>
      <c r="M51" s="255">
        <f>'04. PLANO DAS OBRAS'!M23</f>
        <v>0</v>
      </c>
      <c r="N51" s="255">
        <f>'04. PLANO DAS OBRAS'!N23</f>
        <v>0</v>
      </c>
      <c r="O51" s="255">
        <f>'04. PLANO DAS OBRAS'!O23</f>
        <v>0</v>
      </c>
      <c r="P51" s="255">
        <f>'04. PLANO DAS OBRAS'!P23</f>
        <v>0</v>
      </c>
      <c r="Q51" s="255">
        <f>'04. PLANO DAS OBRAS'!Q23</f>
        <v>0</v>
      </c>
      <c r="R51" s="255">
        <f>'04. PLANO DAS OBRAS'!R23</f>
        <v>0</v>
      </c>
      <c r="S51" s="93">
        <f>IF(COUNT(C51:R51)=0,"sem lançamento",SUM(C51:R51))</f>
        <v>0</v>
      </c>
    </row>
    <row r="52">
      <c r="A52" s="73" t="inlineStr">
        <is>
          <t>Saída: material</t>
        </is>
      </c>
      <c r="B52" s="77" t="inlineStr">
        <is>
          <t>04 linha 21 (motor da 343, aba 19, col. E)</t>
        </is>
      </c>
      <c r="C52" s="255">
        <f>'04. PLANO DAS OBRAS'!C21</f>
        <v>0</v>
      </c>
      <c r="D52" s="255">
        <f>'04. PLANO DAS OBRAS'!D21</f>
        <v>327455.88</v>
      </c>
      <c r="E52" s="255">
        <f>'04. PLANO DAS OBRAS'!E21</f>
        <v>280676.47</v>
      </c>
      <c r="F52" s="255">
        <f>'04. PLANO DAS OBRAS'!F21</f>
        <v>343049.02</v>
      </c>
      <c r="G52" s="255">
        <f>'04. PLANO DAS OBRAS'!G21</f>
        <v>311862.75</v>
      </c>
      <c r="H52" s="255">
        <f>'04. PLANO DAS OBRAS'!H21</f>
        <v>280676.47</v>
      </c>
      <c r="I52" s="255">
        <f>'04. PLANO DAS OBRAS'!I21</f>
        <v>343049.02</v>
      </c>
      <c r="J52" s="255">
        <f>'04. PLANO DAS OBRAS'!J21</f>
        <v>323120.81</v>
      </c>
      <c r="K52" s="255">
        <f>'04. PLANO DAS OBRAS'!K21</f>
        <v>184227.6</v>
      </c>
      <c r="L52" s="255">
        <f>'04. PLANO DAS OBRAS'!L21</f>
        <v>0</v>
      </c>
      <c r="M52" s="255">
        <f>'04. PLANO DAS OBRAS'!M21</f>
        <v>0</v>
      </c>
      <c r="N52" s="255">
        <f>'04. PLANO DAS OBRAS'!N21</f>
        <v>0</v>
      </c>
      <c r="O52" s="255">
        <f>'04. PLANO DAS OBRAS'!O21</f>
        <v>0</v>
      </c>
      <c r="P52" s="255">
        <f>'04. PLANO DAS OBRAS'!P21</f>
        <v>0</v>
      </c>
      <c r="Q52" s="255">
        <f>'04. PLANO DAS OBRAS'!Q21</f>
        <v>0</v>
      </c>
      <c r="R52" s="255">
        <f>'04. PLANO DAS OBRAS'!R21</f>
        <v>0</v>
      </c>
      <c r="S52" s="93">
        <f>IF(COUNT(C52:R52)=0,"sem lançamento",SUM(C52:R52))</f>
        <v>2394118.02</v>
      </c>
    </row>
    <row r="53">
      <c r="A53" s="73" t="inlineStr">
        <is>
          <t>Saída: terceiros</t>
        </is>
      </c>
      <c r="B53" s="77" t="inlineStr">
        <is>
          <t>04 linha 22 (motor da 343, aba 19, col. F)</t>
        </is>
      </c>
      <c r="C53" s="255">
        <f>'04. PLANO DAS OBRAS'!C22</f>
        <v>0</v>
      </c>
      <c r="D53" s="255">
        <f>'04. PLANO DAS OBRAS'!D22</f>
        <v>225022.39</v>
      </c>
      <c r="E53" s="255">
        <f>'04. PLANO DAS OBRAS'!E22</f>
        <v>117868.87</v>
      </c>
      <c r="F53" s="255">
        <f>'04. PLANO DAS OBRAS'!F22</f>
        <v>0</v>
      </c>
      <c r="G53" s="255">
        <f>'04. PLANO DAS OBRAS'!G22</f>
        <v>0</v>
      </c>
      <c r="H53" s="255">
        <f>'04. PLANO DAS OBRAS'!H22</f>
        <v>0</v>
      </c>
      <c r="I53" s="255">
        <f>'04. PLANO DAS OBRAS'!I22</f>
        <v>0</v>
      </c>
      <c r="J53" s="255">
        <f>'04. PLANO DAS OBRAS'!J22</f>
        <v>0</v>
      </c>
      <c r="K53" s="255">
        <f>'04. PLANO DAS OBRAS'!K22</f>
        <v>0</v>
      </c>
      <c r="L53" s="255">
        <f>'04. PLANO DAS OBRAS'!L22</f>
        <v>0</v>
      </c>
      <c r="M53" s="255">
        <f>'04. PLANO DAS OBRAS'!M22</f>
        <v>0</v>
      </c>
      <c r="N53" s="255">
        <f>'04. PLANO DAS OBRAS'!N22</f>
        <v>0</v>
      </c>
      <c r="O53" s="255">
        <f>'04. PLANO DAS OBRAS'!O22</f>
        <v>0</v>
      </c>
      <c r="P53" s="255">
        <f>'04. PLANO DAS OBRAS'!P22</f>
        <v>0</v>
      </c>
      <c r="Q53" s="255">
        <f>'04. PLANO DAS OBRAS'!Q22</f>
        <v>0</v>
      </c>
      <c r="R53" s="255">
        <f>'04. PLANO DAS OBRAS'!R22</f>
        <v>0</v>
      </c>
      <c r="S53" s="93">
        <f>IF(COUNT(C53:R53)=0,"sem lançamento",SUM(C53:R53))</f>
        <v>342891.26</v>
      </c>
    </row>
    <row r="54">
      <c r="A54" s="81" t="inlineStr">
        <is>
          <t>Saídas previstas (total)</t>
        </is>
      </c>
      <c r="B54" s="94" t="inlineStr">
        <is>
          <t>soma das quatro linhas</t>
        </is>
      </c>
      <c r="C54" s="96">
        <f>SUM(C50:C53)</f>
        <v>55670.76</v>
      </c>
      <c r="D54" s="96">
        <f>SUM(D50:D53)</f>
        <v>764972.02</v>
      </c>
      <c r="E54" s="96">
        <f>SUM(E50:E53)</f>
        <v>580682.84</v>
      </c>
      <c r="F54" s="96">
        <f>SUM(F50:F53)</f>
        <v>440042.97</v>
      </c>
      <c r="G54" s="96">
        <f>SUM(G50:G53)</f>
        <v>388619.2</v>
      </c>
      <c r="H54" s="96">
        <f>SUM(H50:H53)</f>
        <v>349757.27</v>
      </c>
      <c r="I54" s="96">
        <f>SUM(I50:I53)</f>
        <v>427481.11</v>
      </c>
      <c r="J54" s="96">
        <f>SUM(J50:J53)</f>
        <v>382352.07</v>
      </c>
      <c r="K54" s="96">
        <f>SUM(K50:K53)</f>
        <v>216039.46</v>
      </c>
      <c r="L54" s="96">
        <f>SUM(L50:L53)</f>
        <v>0</v>
      </c>
      <c r="M54" s="96">
        <f>SUM(M50:M53)</f>
        <v>0</v>
      </c>
      <c r="N54" s="96">
        <f>SUM(N50:N53)</f>
        <v>0</v>
      </c>
      <c r="O54" s="96">
        <f>SUM(O50:O53)</f>
        <v>0</v>
      </c>
      <c r="P54" s="96">
        <f>SUM(P50:P53)</f>
        <v>0</v>
      </c>
      <c r="Q54" s="96">
        <f>SUM(Q50:Q53)</f>
        <v>0</v>
      </c>
      <c r="R54" s="96">
        <f>SUM(R50:R53)</f>
        <v>0</v>
      </c>
      <c r="S54" s="96">
        <f>IF(COUNT(C54:R54)=0,"sem lançamento",SUM(C54:R54))</f>
        <v>3605617.7</v>
      </c>
    </row>
    <row r="55">
      <c r="A55" s="73" t="inlineStr">
        <is>
          <t>Saldo do mês</t>
        </is>
      </c>
      <c r="B55" s="77" t="inlineStr">
        <is>
          <t>calculado</t>
        </is>
      </c>
      <c r="C55" s="93">
        <f>C49-C54</f>
        <v>-55670.76</v>
      </c>
      <c r="D55" s="93">
        <f>D49-D54</f>
        <v>-764972.02</v>
      </c>
      <c r="E55" s="93">
        <f>E49-E54</f>
        <v>-580682.84</v>
      </c>
      <c r="F55" s="93">
        <f>F49-F54</f>
        <v>1453636.4367</v>
      </c>
      <c r="G55" s="93">
        <f>G49-G54</f>
        <v>-388619.2</v>
      </c>
      <c r="H55" s="93">
        <f>H49-H54</f>
        <v>232128.928</v>
      </c>
      <c r="I55" s="93">
        <f>I49-I54</f>
        <v>544519.547</v>
      </c>
      <c r="J55" s="93">
        <f>J49-J54</f>
        <v>-382352.07</v>
      </c>
      <c r="K55" s="93">
        <f>K49-K54</f>
        <v>346697.7644</v>
      </c>
      <c r="L55" s="93">
        <f>L49-L54</f>
        <v>497984.75145</v>
      </c>
      <c r="M55" s="93">
        <f>M49-M54</f>
        <v>280831.9098</v>
      </c>
      <c r="N55" s="93">
        <f>N49-N54</f>
        <v>0</v>
      </c>
      <c r="O55" s="93">
        <f>O49-O54</f>
        <v>0</v>
      </c>
      <c r="P55" s="93">
        <f>P49-P54</f>
        <v>0</v>
      </c>
      <c r="Q55" s="93">
        <f>Q49-Q54</f>
        <v>0</v>
      </c>
      <c r="R55" s="93">
        <f>R49-R54</f>
        <v>0</v>
      </c>
      <c r="S55" s="93">
        <f>IF(COUNT(C55:R55)=0,"sem lançamento",SUM(C55:R55))</f>
        <v>1183502.44735</v>
      </c>
    </row>
    <row r="56">
      <c r="A56" s="98" t="inlineStr">
        <is>
          <t>Saldo acumulado</t>
        </is>
      </c>
      <c r="B56" s="99" t="inlineStr">
        <is>
          <t>calculado</t>
        </is>
      </c>
      <c r="C56" s="100">
        <f>SUM($C55:C55)</f>
        <v>-55670.76</v>
      </c>
      <c r="D56" s="100">
        <f>SUM($C55:D55)</f>
        <v>-820642.78</v>
      </c>
      <c r="E56" s="100">
        <f>SUM($C55:E55)</f>
        <v>-1401325.62</v>
      </c>
      <c r="F56" s="100">
        <f>SUM($C55:F55)</f>
        <v>52310.8167000001</v>
      </c>
      <c r="G56" s="100">
        <f>SUM($C55:G55)</f>
        <v>-336308.3833</v>
      </c>
      <c r="H56" s="100">
        <f>SUM($C55:H55)</f>
        <v>-104179.4553</v>
      </c>
      <c r="I56" s="100">
        <f>SUM($C55:I55)</f>
        <v>440340.0917</v>
      </c>
      <c r="J56" s="100">
        <f>SUM($C55:J55)</f>
        <v>57988.0217</v>
      </c>
      <c r="K56" s="100">
        <f>SUM($C55:K55)</f>
        <v>404685.7861</v>
      </c>
      <c r="L56" s="100">
        <f>SUM($C55:L55)</f>
        <v>902670.53755</v>
      </c>
      <c r="M56" s="100">
        <f>SUM($C55:M55)</f>
        <v>1183502.44735</v>
      </c>
      <c r="N56" s="100">
        <f>SUM($C55:N55)</f>
        <v>1183502.44735</v>
      </c>
      <c r="O56" s="100">
        <f>SUM($C55:O55)</f>
        <v>1183502.44735</v>
      </c>
      <c r="P56" s="100">
        <f>SUM($C55:P55)</f>
        <v>1183502.44735</v>
      </c>
      <c r="Q56" s="100">
        <f>SUM($C55:Q55)</f>
        <v>1183502.44735</v>
      </c>
      <c r="R56" s="100">
        <f>SUM($C55:R55)</f>
        <v>1183502.44735</v>
      </c>
      <c r="S56" s="100" t="n"/>
    </row>
    <row r="57">
      <c r="A57" s="73" t="inlineStr">
        <is>
          <t>Referência: entrada líquida do estudo (recebe 1 mês depois)</t>
        </is>
      </c>
      <c r="B57" s="77" t="inlineStr">
        <is>
          <t>estudo, aba 19, col. H</t>
        </is>
      </c>
      <c r="C57" s="92" t="n">
        <v>0</v>
      </c>
      <c r="D57" s="92" t="n">
        <v>0</v>
      </c>
      <c r="E57" s="92" t="n">
        <v>1081240.944415037</v>
      </c>
      <c r="F57" s="92" t="n">
        <v>812438.4679952918</v>
      </c>
      <c r="G57" s="92" t="n">
        <v>581886.1977878213</v>
      </c>
      <c r="H57" s="92" t="n">
        <v>511579.2938512808</v>
      </c>
      <c r="I57" s="92" t="n">
        <v>460421.3644661527</v>
      </c>
      <c r="J57" s="92" t="n">
        <v>562737.2232364088</v>
      </c>
      <c r="K57" s="92" t="n">
        <v>497984.7531675054</v>
      </c>
      <c r="L57" s="92" t="n">
        <v>280831.9060598755</v>
      </c>
      <c r="M57" s="92" t="n">
        <v>0</v>
      </c>
      <c r="N57" s="92" t="n">
        <v>0</v>
      </c>
      <c r="O57" s="92" t="n">
        <v>0</v>
      </c>
      <c r="P57" s="92" t="n">
        <v>0</v>
      </c>
      <c r="Q57" s="92" t="n">
        <v>0</v>
      </c>
      <c r="R57" s="92" t="n">
        <v>0</v>
      </c>
      <c r="S57" s="93">
        <f>IF(COUNT(C57:R57)=0,"sem lançamento",SUM(C57:R57))</f>
        <v>4789120.15097937</v>
      </c>
    </row>
    <row r="58">
      <c r="A58" s="73" t="inlineStr">
        <is>
          <t>Medição real lançada (06, valor bruto)</t>
        </is>
      </c>
      <c r="B58" s="77" t="inlineStr">
        <is>
          <t>06. MEDIÇÃO (BM)</t>
        </is>
      </c>
      <c r="C58" s="108" t="str">
        <f>IF(COUNTIFS('06. MEDIÇÃO (BM)'!$B$5:$B$44,"343",'06. MEDIÇÃO (BM)'!$D$5:$D$44,"&gt;="&amp;C$21,'06. MEDIÇÃO (BM)'!$D$5:$D$44,"&lt;"&amp;EDATE(C$21,1),'06. MEDIÇÃO (BM)'!$G$5:$G$44,"&lt;&gt;")=0,"sem lançamento",SUMIFS('06. MEDIÇÃO (BM)'!$G$5:$G$44,'06. MEDIÇÃO (BM)'!$B$5:$B$44,"343",'06. MEDIÇÃO (BM)'!$D$5:$D$44,"&gt;="&amp;C$21,'06. MEDIÇÃO (BM)'!$D$5:$D$44,"&lt;"&amp;EDATE(C$21,1)))</f>
        <v>sem lançamento</v>
      </c>
      <c r="D58" s="108" t="str">
        <f>IF(COUNTIFS('06. MEDIÇÃO (BM)'!$B$5:$B$44,"343",'06. MEDIÇÃO (BM)'!$D$5:$D$44,"&gt;="&amp;D$21,'06. MEDIÇÃO (BM)'!$D$5:$D$44,"&lt;"&amp;EDATE(D$21,1),'06. MEDIÇÃO (BM)'!$G$5:$G$44,"&lt;&gt;")=0,"sem lançamento",SUMIFS('06. MEDIÇÃO (BM)'!$G$5:$G$44,'06. MEDIÇÃO (BM)'!$B$5:$B$44,"343",'06. MEDIÇÃO (BM)'!$D$5:$D$44,"&gt;="&amp;D$21,'06. MEDIÇÃO (BM)'!$D$5:$D$44,"&lt;"&amp;EDATE(D$21,1)))</f>
        <v>sem lançamento</v>
      </c>
      <c r="E58" s="108" t="str">
        <f>IF(COUNTIFS('06. MEDIÇÃO (BM)'!$B$5:$B$44,"343",'06. MEDIÇÃO (BM)'!$D$5:$D$44,"&gt;="&amp;E$21,'06. MEDIÇÃO (BM)'!$D$5:$D$44,"&lt;"&amp;EDATE(E$21,1),'06. MEDIÇÃO (BM)'!$G$5:$G$44,"&lt;&gt;")=0,"sem lançamento",SUMIFS('06. MEDIÇÃO (BM)'!$G$5:$G$44,'06. MEDIÇÃO (BM)'!$B$5:$B$44,"343",'06. MEDIÇÃO (BM)'!$D$5:$D$44,"&gt;="&amp;E$21,'06. MEDIÇÃO (BM)'!$D$5:$D$44,"&lt;"&amp;EDATE(E$21,1)))</f>
        <v>sem lançamento</v>
      </c>
      <c r="F58" s="108" t="str">
        <f>IF(COUNTIFS('06. MEDIÇÃO (BM)'!$B$5:$B$44,"343",'06. MEDIÇÃO (BM)'!$D$5:$D$44,"&gt;="&amp;F$21,'06. MEDIÇÃO (BM)'!$D$5:$D$44,"&lt;"&amp;EDATE(F$21,1),'06. MEDIÇÃO (BM)'!$G$5:$G$44,"&lt;&gt;")=0,"sem lançamento",SUMIFS('06. MEDIÇÃO (BM)'!$G$5:$G$44,'06. MEDIÇÃO (BM)'!$B$5:$B$44,"343",'06. MEDIÇÃO (BM)'!$D$5:$D$44,"&gt;="&amp;F$21,'06. MEDIÇÃO (BM)'!$D$5:$D$44,"&lt;"&amp;EDATE(F$21,1)))</f>
        <v>sem lançamento</v>
      </c>
      <c r="G58" s="108" t="str">
        <f>IF(COUNTIFS('06. MEDIÇÃO (BM)'!$B$5:$B$44,"343",'06. MEDIÇÃO (BM)'!$D$5:$D$44,"&gt;="&amp;G$21,'06. MEDIÇÃO (BM)'!$D$5:$D$44,"&lt;"&amp;EDATE(G$21,1),'06. MEDIÇÃO (BM)'!$G$5:$G$44,"&lt;&gt;")=0,"sem lançamento",SUMIFS('06. MEDIÇÃO (BM)'!$G$5:$G$44,'06. MEDIÇÃO (BM)'!$B$5:$B$44,"343",'06. MEDIÇÃO (BM)'!$D$5:$D$44,"&gt;="&amp;G$21,'06. MEDIÇÃO (BM)'!$D$5:$D$44,"&lt;"&amp;EDATE(G$21,1)))</f>
        <v>sem lançamento</v>
      </c>
      <c r="H58" s="108" t="str">
        <f>IF(COUNTIFS('06. MEDIÇÃO (BM)'!$B$5:$B$44,"343",'06. MEDIÇÃO (BM)'!$D$5:$D$44,"&gt;="&amp;H$21,'06. MEDIÇÃO (BM)'!$D$5:$D$44,"&lt;"&amp;EDATE(H$21,1),'06. MEDIÇÃO (BM)'!$G$5:$G$44,"&lt;&gt;")=0,"sem lançamento",SUMIFS('06. MEDIÇÃO (BM)'!$G$5:$G$44,'06. MEDIÇÃO (BM)'!$B$5:$B$44,"343",'06. MEDIÇÃO (BM)'!$D$5:$D$44,"&gt;="&amp;H$21,'06. MEDIÇÃO (BM)'!$D$5:$D$44,"&lt;"&amp;EDATE(H$21,1)))</f>
        <v>sem lançamento</v>
      </c>
      <c r="I58" s="108" t="str">
        <f>IF(COUNTIFS('06. MEDIÇÃO (BM)'!$B$5:$B$44,"343",'06. MEDIÇÃO (BM)'!$D$5:$D$44,"&gt;="&amp;I$21,'06. MEDIÇÃO (BM)'!$D$5:$D$44,"&lt;"&amp;EDATE(I$21,1),'06. MEDIÇÃO (BM)'!$G$5:$G$44,"&lt;&gt;")=0,"sem lançamento",SUMIFS('06. MEDIÇÃO (BM)'!$G$5:$G$44,'06. MEDIÇÃO (BM)'!$B$5:$B$44,"343",'06. MEDIÇÃO (BM)'!$D$5:$D$44,"&gt;="&amp;I$21,'06. MEDIÇÃO (BM)'!$D$5:$D$44,"&lt;"&amp;EDATE(I$21,1)))</f>
        <v>sem lançamento</v>
      </c>
      <c r="J58" s="108" t="str">
        <f>IF(COUNTIFS('06. MEDIÇÃO (BM)'!$B$5:$B$44,"343",'06. MEDIÇÃO (BM)'!$D$5:$D$44,"&gt;="&amp;J$21,'06. MEDIÇÃO (BM)'!$D$5:$D$44,"&lt;"&amp;EDATE(J$21,1),'06. MEDIÇÃO (BM)'!$G$5:$G$44,"&lt;&gt;")=0,"sem lançamento",SUMIFS('06. MEDIÇÃO (BM)'!$G$5:$G$44,'06. MEDIÇÃO (BM)'!$B$5:$B$44,"343",'06. MEDIÇÃO (BM)'!$D$5:$D$44,"&gt;="&amp;J$21,'06. MEDIÇÃO (BM)'!$D$5:$D$44,"&lt;"&amp;EDATE(J$21,1)))</f>
        <v>sem lançamento</v>
      </c>
      <c r="K58" s="108" t="str">
        <f>IF(COUNTIFS('06. MEDIÇÃO (BM)'!$B$5:$B$44,"343",'06. MEDIÇÃO (BM)'!$D$5:$D$44,"&gt;="&amp;K$21,'06. MEDIÇÃO (BM)'!$D$5:$D$44,"&lt;"&amp;EDATE(K$21,1),'06. MEDIÇÃO (BM)'!$G$5:$G$44,"&lt;&gt;")=0,"sem lançamento",SUMIFS('06. MEDIÇÃO (BM)'!$G$5:$G$44,'06. MEDIÇÃO (BM)'!$B$5:$B$44,"343",'06. MEDIÇÃO (BM)'!$D$5:$D$44,"&gt;="&amp;K$21,'06. MEDIÇÃO (BM)'!$D$5:$D$44,"&lt;"&amp;EDATE(K$21,1)))</f>
        <v>sem lançamento</v>
      </c>
      <c r="L58" s="108" t="str">
        <f>IF(COUNTIFS('06. MEDIÇÃO (BM)'!$B$5:$B$44,"343",'06. MEDIÇÃO (BM)'!$D$5:$D$44,"&gt;="&amp;L$21,'06. MEDIÇÃO (BM)'!$D$5:$D$44,"&lt;"&amp;EDATE(L$21,1),'06. MEDIÇÃO (BM)'!$G$5:$G$44,"&lt;&gt;")=0,"sem lançamento",SUMIFS('06. MEDIÇÃO (BM)'!$G$5:$G$44,'06. MEDIÇÃO (BM)'!$B$5:$B$44,"343",'06. MEDIÇÃO (BM)'!$D$5:$D$44,"&gt;="&amp;L$21,'06. MEDIÇÃO (BM)'!$D$5:$D$44,"&lt;"&amp;EDATE(L$21,1)))</f>
        <v>sem lançamento</v>
      </c>
      <c r="M58" s="108" t="str">
        <f>IF(COUNTIFS('06. MEDIÇÃO (BM)'!$B$5:$B$44,"343",'06. MEDIÇÃO (BM)'!$D$5:$D$44,"&gt;="&amp;M$21,'06. MEDIÇÃO (BM)'!$D$5:$D$44,"&lt;"&amp;EDATE(M$21,1),'06. MEDIÇÃO (BM)'!$G$5:$G$44,"&lt;&gt;")=0,"sem lançamento",SUMIFS('06. MEDIÇÃO (BM)'!$G$5:$G$44,'06. MEDIÇÃO (BM)'!$B$5:$B$44,"343",'06. MEDIÇÃO (BM)'!$D$5:$D$44,"&gt;="&amp;M$21,'06. MEDIÇÃO (BM)'!$D$5:$D$44,"&lt;"&amp;EDATE(M$21,1)))</f>
        <v>sem lançamento</v>
      </c>
      <c r="N58" s="108" t="str">
        <f>IF(COUNTIFS('06. MEDIÇÃO (BM)'!$B$5:$B$44,"343",'06. MEDIÇÃO (BM)'!$D$5:$D$44,"&gt;="&amp;N$21,'06. MEDIÇÃO (BM)'!$D$5:$D$44,"&lt;"&amp;EDATE(N$21,1),'06. MEDIÇÃO (BM)'!$G$5:$G$44,"&lt;&gt;")=0,"sem lançamento",SUMIFS('06. MEDIÇÃO (BM)'!$G$5:$G$44,'06. MEDIÇÃO (BM)'!$B$5:$B$44,"343",'06. MEDIÇÃO (BM)'!$D$5:$D$44,"&gt;="&amp;N$21,'06. MEDIÇÃO (BM)'!$D$5:$D$44,"&lt;"&amp;EDATE(N$21,1)))</f>
        <v>sem lançamento</v>
      </c>
      <c r="O58" s="108" t="str">
        <f>IF(COUNTIFS('06. MEDIÇÃO (BM)'!$B$5:$B$44,"343",'06. MEDIÇÃO (BM)'!$D$5:$D$44,"&gt;="&amp;O$21,'06. MEDIÇÃO (BM)'!$D$5:$D$44,"&lt;"&amp;EDATE(O$21,1),'06. MEDIÇÃO (BM)'!$G$5:$G$44,"&lt;&gt;")=0,"sem lançamento",SUMIFS('06. MEDIÇÃO (BM)'!$G$5:$G$44,'06. MEDIÇÃO (BM)'!$B$5:$B$44,"343",'06. MEDIÇÃO (BM)'!$D$5:$D$44,"&gt;="&amp;O$21,'06. MEDIÇÃO (BM)'!$D$5:$D$44,"&lt;"&amp;EDATE(O$21,1)))</f>
        <v>sem lançamento</v>
      </c>
      <c r="P58" s="108" t="str">
        <f>IF(COUNTIFS('06. MEDIÇÃO (BM)'!$B$5:$B$44,"343",'06. MEDIÇÃO (BM)'!$D$5:$D$44,"&gt;="&amp;P$21,'06. MEDIÇÃO (BM)'!$D$5:$D$44,"&lt;"&amp;EDATE(P$21,1),'06. MEDIÇÃO (BM)'!$G$5:$G$44,"&lt;&gt;")=0,"sem lançamento",SUMIFS('06. MEDIÇÃO (BM)'!$G$5:$G$44,'06. MEDIÇÃO (BM)'!$B$5:$B$44,"343",'06. MEDIÇÃO (BM)'!$D$5:$D$44,"&gt;="&amp;P$21,'06. MEDIÇÃO (BM)'!$D$5:$D$44,"&lt;"&amp;EDATE(P$21,1)))</f>
        <v>sem lançamento</v>
      </c>
      <c r="Q58" s="108" t="str">
        <f>IF(COUNTIFS('06. MEDIÇÃO (BM)'!$B$5:$B$44,"343",'06. MEDIÇÃO (BM)'!$D$5:$D$44,"&gt;="&amp;Q$21,'06. MEDIÇÃO (BM)'!$D$5:$D$44,"&lt;"&amp;EDATE(Q$21,1),'06. MEDIÇÃO (BM)'!$G$5:$G$44,"&lt;&gt;")=0,"sem lançamento",SUMIFS('06. MEDIÇÃO (BM)'!$G$5:$G$44,'06. MEDIÇÃO (BM)'!$B$5:$B$44,"343",'06. MEDIÇÃO (BM)'!$D$5:$D$44,"&gt;="&amp;Q$21,'06. MEDIÇÃO (BM)'!$D$5:$D$44,"&lt;"&amp;EDATE(Q$21,1)))</f>
        <v>sem lançamento</v>
      </c>
      <c r="R58" s="108" t="str">
        <f>IF(COUNTIFS('06. MEDIÇÃO (BM)'!$B$5:$B$44,"343",'06. MEDIÇÃO (BM)'!$D$5:$D$44,"&gt;="&amp;R$21,'06. MEDIÇÃO (BM)'!$D$5:$D$44,"&lt;"&amp;EDATE(R$21,1),'06. MEDIÇÃO (BM)'!$G$5:$G$44,"&lt;&gt;")=0,"sem lançamento",SUMIFS('06. MEDIÇÃO (BM)'!$G$5:$G$44,'06. MEDIÇÃO (BM)'!$B$5:$B$44,"343",'06. MEDIÇÃO (BM)'!$D$5:$D$44,"&gt;="&amp;R$21,'06. MEDIÇÃO (BM)'!$D$5:$D$44,"&lt;"&amp;EDATE(R$21,1)))</f>
        <v>sem lançamento</v>
      </c>
      <c r="S58" s="108" t="str">
        <f>IF(COUNT(C58:R58)=0,"sem lançamento",SUM(C58:R58))</f>
        <v>sem lançamento</v>
      </c>
    </row>
    <row r="59">
      <c r="A59" s="73" t="inlineStr">
        <is>
          <t>Diferença da medição (real menos prevista)</t>
        </is>
      </c>
      <c r="B59" s="77" t="inlineStr">
        <is>
          <t>calculado</t>
        </is>
      </c>
      <c r="C59" s="108">
        <f>IF(ISTEXT(C58),"",C58-C45)</f>
      </c>
      <c r="D59" s="108">
        <f>IF(ISTEXT(D58),"",D58-D45)</f>
      </c>
      <c r="E59" s="108">
        <f>IF(ISTEXT(E58),"",E58-E45)</f>
      </c>
      <c r="F59" s="108">
        <f>IF(ISTEXT(F58),"",F58-F45)</f>
      </c>
      <c r="G59" s="108">
        <f>IF(ISTEXT(G58),"",G58-G45)</f>
      </c>
      <c r="H59" s="108">
        <f>IF(ISTEXT(H58),"",H58-H45)</f>
      </c>
      <c r="I59" s="108">
        <f>IF(ISTEXT(I58),"",I58-I45)</f>
      </c>
      <c r="J59" s="108">
        <f>IF(ISTEXT(J58),"",J58-J45)</f>
      </c>
      <c r="K59" s="108">
        <f>IF(ISTEXT(K58),"",K58-K45)</f>
      </c>
      <c r="L59" s="108">
        <f>IF(ISTEXT(L58),"",L58-L45)</f>
      </c>
      <c r="M59" s="108">
        <f>IF(ISTEXT(M58),"",M58-M45)</f>
      </c>
      <c r="N59" s="108">
        <f>IF(ISTEXT(N58),"",N58-N45)</f>
      </c>
      <c r="O59" s="108">
        <f>IF(ISTEXT(O58),"",O58-O45)</f>
      </c>
      <c r="P59" s="108">
        <f>IF(ISTEXT(P58),"",P58-P45)</f>
      </c>
      <c r="Q59" s="108">
        <f>IF(ISTEXT(Q58),"",Q58-Q45)</f>
      </c>
      <c r="R59" s="108">
        <f>IF(ISTEXT(R58),"",R58-R45)</f>
      </c>
      <c r="S59" s="108" t="str">
        <f>IF(COUNT(C59:R59)=0,"sem lançamento",SUM(C59:R59))</f>
        <v>sem lançamento</v>
      </c>
    </row>
    <row r="60">
      <c r="A60" s="73" t="inlineStr">
        <is>
          <t>Faturado (07, valor da NF por data de emissão)</t>
        </is>
      </c>
      <c r="B60" s="77" t="inlineStr">
        <is>
          <t>07. FATURAMENTO</t>
        </is>
      </c>
      <c r="C60" s="108" t="str">
        <f>IF(COUNTIFS('07. FATURAMENTO E RECEBIMENTO'!$B$5:$B$44,"343",'07. FATURAMENTO E RECEBIMENTO'!$E$5:$E$44,"&gt;="&amp;C$21,'07. FATURAMENTO E RECEBIMENTO'!$E$5:$E$44,"&lt;"&amp;EDATE(C$21,1),'07. FATURAMENTO E RECEBIMENTO'!$F$5:$F$44,"&lt;&gt;")=0,"sem lançamento",SUMIFS('07. FATURAMENTO E RECEBIMENTO'!$F$5:$F$44,'07. FATURAMENTO E RECEBIMENTO'!$B$5:$B$44,"343",'07. FATURAMENTO E RECEBIMENTO'!$E$5:$E$44,"&gt;="&amp;C$21,'07. FATURAMENTO E RECEBIMENTO'!$E$5:$E$44,"&lt;"&amp;EDATE(C$21,1)))</f>
        <v>sem lançamento</v>
      </c>
      <c r="D60" s="108" t="str">
        <f>IF(COUNTIFS('07. FATURAMENTO E RECEBIMENTO'!$B$5:$B$44,"343",'07. FATURAMENTO E RECEBIMENTO'!$E$5:$E$44,"&gt;="&amp;D$21,'07. FATURAMENTO E RECEBIMENTO'!$E$5:$E$44,"&lt;"&amp;EDATE(D$21,1),'07. FATURAMENTO E RECEBIMENTO'!$F$5:$F$44,"&lt;&gt;")=0,"sem lançamento",SUMIFS('07. FATURAMENTO E RECEBIMENTO'!$F$5:$F$44,'07. FATURAMENTO E RECEBIMENTO'!$B$5:$B$44,"343",'07. FATURAMENTO E RECEBIMENTO'!$E$5:$E$44,"&gt;="&amp;D$21,'07. FATURAMENTO E RECEBIMENTO'!$E$5:$E$44,"&lt;"&amp;EDATE(D$21,1)))</f>
        <v>sem lançamento</v>
      </c>
      <c r="E60" s="108" t="str">
        <f>IF(COUNTIFS('07. FATURAMENTO E RECEBIMENTO'!$B$5:$B$44,"343",'07. FATURAMENTO E RECEBIMENTO'!$E$5:$E$44,"&gt;="&amp;E$21,'07. FATURAMENTO E RECEBIMENTO'!$E$5:$E$44,"&lt;"&amp;EDATE(E$21,1),'07. FATURAMENTO E RECEBIMENTO'!$F$5:$F$44,"&lt;&gt;")=0,"sem lançamento",SUMIFS('07. FATURAMENTO E RECEBIMENTO'!$F$5:$F$44,'07. FATURAMENTO E RECEBIMENTO'!$B$5:$B$44,"343",'07. FATURAMENTO E RECEBIMENTO'!$E$5:$E$44,"&gt;="&amp;E$21,'07. FATURAMENTO E RECEBIMENTO'!$E$5:$E$44,"&lt;"&amp;EDATE(E$21,1)))</f>
        <v>sem lançamento</v>
      </c>
      <c r="F60" s="108" t="str">
        <f>IF(COUNTIFS('07. FATURAMENTO E RECEBIMENTO'!$B$5:$B$44,"343",'07. FATURAMENTO E RECEBIMENTO'!$E$5:$E$44,"&gt;="&amp;F$21,'07. FATURAMENTO E RECEBIMENTO'!$E$5:$E$44,"&lt;"&amp;EDATE(F$21,1),'07. FATURAMENTO E RECEBIMENTO'!$F$5:$F$44,"&lt;&gt;")=0,"sem lançamento",SUMIFS('07. FATURAMENTO E RECEBIMENTO'!$F$5:$F$44,'07. FATURAMENTO E RECEBIMENTO'!$B$5:$B$44,"343",'07. FATURAMENTO E RECEBIMENTO'!$E$5:$E$44,"&gt;="&amp;F$21,'07. FATURAMENTO E RECEBIMENTO'!$E$5:$E$44,"&lt;"&amp;EDATE(F$21,1)))</f>
        <v>sem lançamento</v>
      </c>
      <c r="G60" s="108" t="str">
        <f>IF(COUNTIFS('07. FATURAMENTO E RECEBIMENTO'!$B$5:$B$44,"343",'07. FATURAMENTO E RECEBIMENTO'!$E$5:$E$44,"&gt;="&amp;G$21,'07. FATURAMENTO E RECEBIMENTO'!$E$5:$E$44,"&lt;"&amp;EDATE(G$21,1),'07. FATURAMENTO E RECEBIMENTO'!$F$5:$F$44,"&lt;&gt;")=0,"sem lançamento",SUMIFS('07. FATURAMENTO E RECEBIMENTO'!$F$5:$F$44,'07. FATURAMENTO E RECEBIMENTO'!$B$5:$B$44,"343",'07. FATURAMENTO E RECEBIMENTO'!$E$5:$E$44,"&gt;="&amp;G$21,'07. FATURAMENTO E RECEBIMENTO'!$E$5:$E$44,"&lt;"&amp;EDATE(G$21,1)))</f>
        <v>sem lançamento</v>
      </c>
      <c r="H60" s="108" t="str">
        <f>IF(COUNTIFS('07. FATURAMENTO E RECEBIMENTO'!$B$5:$B$44,"343",'07. FATURAMENTO E RECEBIMENTO'!$E$5:$E$44,"&gt;="&amp;H$21,'07. FATURAMENTO E RECEBIMENTO'!$E$5:$E$44,"&lt;"&amp;EDATE(H$21,1),'07. FATURAMENTO E RECEBIMENTO'!$F$5:$F$44,"&lt;&gt;")=0,"sem lançamento",SUMIFS('07. FATURAMENTO E RECEBIMENTO'!$F$5:$F$44,'07. FATURAMENTO E RECEBIMENTO'!$B$5:$B$44,"343",'07. FATURAMENTO E RECEBIMENTO'!$E$5:$E$44,"&gt;="&amp;H$21,'07. FATURAMENTO E RECEBIMENTO'!$E$5:$E$44,"&lt;"&amp;EDATE(H$21,1)))</f>
        <v>sem lançamento</v>
      </c>
      <c r="I60" s="108" t="str">
        <f>IF(COUNTIFS('07. FATURAMENTO E RECEBIMENTO'!$B$5:$B$44,"343",'07. FATURAMENTO E RECEBIMENTO'!$E$5:$E$44,"&gt;="&amp;I$21,'07. FATURAMENTO E RECEBIMENTO'!$E$5:$E$44,"&lt;"&amp;EDATE(I$21,1),'07. FATURAMENTO E RECEBIMENTO'!$F$5:$F$44,"&lt;&gt;")=0,"sem lançamento",SUMIFS('07. FATURAMENTO E RECEBIMENTO'!$F$5:$F$44,'07. FATURAMENTO E RECEBIMENTO'!$B$5:$B$44,"343",'07. FATURAMENTO E RECEBIMENTO'!$E$5:$E$44,"&gt;="&amp;I$21,'07. FATURAMENTO E RECEBIMENTO'!$E$5:$E$44,"&lt;"&amp;EDATE(I$21,1)))</f>
        <v>sem lançamento</v>
      </c>
      <c r="J60" s="108" t="str">
        <f>IF(COUNTIFS('07. FATURAMENTO E RECEBIMENTO'!$B$5:$B$44,"343",'07. FATURAMENTO E RECEBIMENTO'!$E$5:$E$44,"&gt;="&amp;J$21,'07. FATURAMENTO E RECEBIMENTO'!$E$5:$E$44,"&lt;"&amp;EDATE(J$21,1),'07. FATURAMENTO E RECEBIMENTO'!$F$5:$F$44,"&lt;&gt;")=0,"sem lançamento",SUMIFS('07. FATURAMENTO E RECEBIMENTO'!$F$5:$F$44,'07. FATURAMENTO E RECEBIMENTO'!$B$5:$B$44,"343",'07. FATURAMENTO E RECEBIMENTO'!$E$5:$E$44,"&gt;="&amp;J$21,'07. FATURAMENTO E RECEBIMENTO'!$E$5:$E$44,"&lt;"&amp;EDATE(J$21,1)))</f>
        <v>sem lançamento</v>
      </c>
      <c r="K60" s="108" t="str">
        <f>IF(COUNTIFS('07. FATURAMENTO E RECEBIMENTO'!$B$5:$B$44,"343",'07. FATURAMENTO E RECEBIMENTO'!$E$5:$E$44,"&gt;="&amp;K$21,'07. FATURAMENTO E RECEBIMENTO'!$E$5:$E$44,"&lt;"&amp;EDATE(K$21,1),'07. FATURAMENTO E RECEBIMENTO'!$F$5:$F$44,"&lt;&gt;")=0,"sem lançamento",SUMIFS('07. FATURAMENTO E RECEBIMENTO'!$F$5:$F$44,'07. FATURAMENTO E RECEBIMENTO'!$B$5:$B$44,"343",'07. FATURAMENTO E RECEBIMENTO'!$E$5:$E$44,"&gt;="&amp;K$21,'07. FATURAMENTO E RECEBIMENTO'!$E$5:$E$44,"&lt;"&amp;EDATE(K$21,1)))</f>
        <v>sem lançamento</v>
      </c>
      <c r="L60" s="108" t="str">
        <f>IF(COUNTIFS('07. FATURAMENTO E RECEBIMENTO'!$B$5:$B$44,"343",'07. FATURAMENTO E RECEBIMENTO'!$E$5:$E$44,"&gt;="&amp;L$21,'07. FATURAMENTO E RECEBIMENTO'!$E$5:$E$44,"&lt;"&amp;EDATE(L$21,1),'07. FATURAMENTO E RECEBIMENTO'!$F$5:$F$44,"&lt;&gt;")=0,"sem lançamento",SUMIFS('07. FATURAMENTO E RECEBIMENTO'!$F$5:$F$44,'07. FATURAMENTO E RECEBIMENTO'!$B$5:$B$44,"343",'07. FATURAMENTO E RECEBIMENTO'!$E$5:$E$44,"&gt;="&amp;L$21,'07. FATURAMENTO E RECEBIMENTO'!$E$5:$E$44,"&lt;"&amp;EDATE(L$21,1)))</f>
        <v>sem lançamento</v>
      </c>
      <c r="M60" s="108" t="str">
        <f>IF(COUNTIFS('07. FATURAMENTO E RECEBIMENTO'!$B$5:$B$44,"343",'07. FATURAMENTO E RECEBIMENTO'!$E$5:$E$44,"&gt;="&amp;M$21,'07. FATURAMENTO E RECEBIMENTO'!$E$5:$E$44,"&lt;"&amp;EDATE(M$21,1),'07. FATURAMENTO E RECEBIMENTO'!$F$5:$F$44,"&lt;&gt;")=0,"sem lançamento",SUMIFS('07. FATURAMENTO E RECEBIMENTO'!$F$5:$F$44,'07. FATURAMENTO E RECEBIMENTO'!$B$5:$B$44,"343",'07. FATURAMENTO E RECEBIMENTO'!$E$5:$E$44,"&gt;="&amp;M$21,'07. FATURAMENTO E RECEBIMENTO'!$E$5:$E$44,"&lt;"&amp;EDATE(M$21,1)))</f>
        <v>sem lançamento</v>
      </c>
      <c r="N60" s="108" t="str">
        <f>IF(COUNTIFS('07. FATURAMENTO E RECEBIMENTO'!$B$5:$B$44,"343",'07. FATURAMENTO E RECEBIMENTO'!$E$5:$E$44,"&gt;="&amp;N$21,'07. FATURAMENTO E RECEBIMENTO'!$E$5:$E$44,"&lt;"&amp;EDATE(N$21,1),'07. FATURAMENTO E RECEBIMENTO'!$F$5:$F$44,"&lt;&gt;")=0,"sem lançamento",SUMIFS('07. FATURAMENTO E RECEBIMENTO'!$F$5:$F$44,'07. FATURAMENTO E RECEBIMENTO'!$B$5:$B$44,"343",'07. FATURAMENTO E RECEBIMENTO'!$E$5:$E$44,"&gt;="&amp;N$21,'07. FATURAMENTO E RECEBIMENTO'!$E$5:$E$44,"&lt;"&amp;EDATE(N$21,1)))</f>
        <v>sem lançamento</v>
      </c>
      <c r="O60" s="108" t="str">
        <f>IF(COUNTIFS('07. FATURAMENTO E RECEBIMENTO'!$B$5:$B$44,"343",'07. FATURAMENTO E RECEBIMENTO'!$E$5:$E$44,"&gt;="&amp;O$21,'07. FATURAMENTO E RECEBIMENTO'!$E$5:$E$44,"&lt;"&amp;EDATE(O$21,1),'07. FATURAMENTO E RECEBIMENTO'!$F$5:$F$44,"&lt;&gt;")=0,"sem lançamento",SUMIFS('07. FATURAMENTO E RECEBIMENTO'!$F$5:$F$44,'07. FATURAMENTO E RECEBIMENTO'!$B$5:$B$44,"343",'07. FATURAMENTO E RECEBIMENTO'!$E$5:$E$44,"&gt;="&amp;O$21,'07. FATURAMENTO E RECEBIMENTO'!$E$5:$E$44,"&lt;"&amp;EDATE(O$21,1)))</f>
        <v>sem lançamento</v>
      </c>
      <c r="P60" s="108" t="str">
        <f>IF(COUNTIFS('07. FATURAMENTO E RECEBIMENTO'!$B$5:$B$44,"343",'07. FATURAMENTO E RECEBIMENTO'!$E$5:$E$44,"&gt;="&amp;P$21,'07. FATURAMENTO E RECEBIMENTO'!$E$5:$E$44,"&lt;"&amp;EDATE(P$21,1),'07. FATURAMENTO E RECEBIMENTO'!$F$5:$F$44,"&lt;&gt;")=0,"sem lançamento",SUMIFS('07. FATURAMENTO E RECEBIMENTO'!$F$5:$F$44,'07. FATURAMENTO E RECEBIMENTO'!$B$5:$B$44,"343",'07. FATURAMENTO E RECEBIMENTO'!$E$5:$E$44,"&gt;="&amp;P$21,'07. FATURAMENTO E RECEBIMENTO'!$E$5:$E$44,"&lt;"&amp;EDATE(P$21,1)))</f>
        <v>sem lançamento</v>
      </c>
      <c r="Q60" s="108" t="str">
        <f>IF(COUNTIFS('07. FATURAMENTO E RECEBIMENTO'!$B$5:$B$44,"343",'07. FATURAMENTO E RECEBIMENTO'!$E$5:$E$44,"&gt;="&amp;Q$21,'07. FATURAMENTO E RECEBIMENTO'!$E$5:$E$44,"&lt;"&amp;EDATE(Q$21,1),'07. FATURAMENTO E RECEBIMENTO'!$F$5:$F$44,"&lt;&gt;")=0,"sem lançamento",SUMIFS('07. FATURAMENTO E RECEBIMENTO'!$F$5:$F$44,'07. FATURAMENTO E RECEBIMENTO'!$B$5:$B$44,"343",'07. FATURAMENTO E RECEBIMENTO'!$E$5:$E$44,"&gt;="&amp;Q$21,'07. FATURAMENTO E RECEBIMENTO'!$E$5:$E$44,"&lt;"&amp;EDATE(Q$21,1)))</f>
        <v>sem lançamento</v>
      </c>
      <c r="R60" s="108" t="str">
        <f>IF(COUNTIFS('07. FATURAMENTO E RECEBIMENTO'!$B$5:$B$44,"343",'07. FATURAMENTO E RECEBIMENTO'!$E$5:$E$44,"&gt;="&amp;R$21,'07. FATURAMENTO E RECEBIMENTO'!$E$5:$E$44,"&lt;"&amp;EDATE(R$21,1),'07. FATURAMENTO E RECEBIMENTO'!$F$5:$F$44,"&lt;&gt;")=0,"sem lançamento",SUMIFS('07. FATURAMENTO E RECEBIMENTO'!$F$5:$F$44,'07. FATURAMENTO E RECEBIMENTO'!$B$5:$B$44,"343",'07. FATURAMENTO E RECEBIMENTO'!$E$5:$E$44,"&gt;="&amp;R$21,'07. FATURAMENTO E RECEBIMENTO'!$E$5:$E$44,"&lt;"&amp;EDATE(R$21,1)))</f>
        <v>sem lançamento</v>
      </c>
      <c r="S60" s="108" t="str">
        <f>IF(COUNT(C60:R60)=0,"sem lançamento",SUM(C60:R60))</f>
        <v>sem lançamento</v>
      </c>
    </row>
    <row r="61">
      <c r="A61" s="73" t="inlineStr">
        <is>
          <t>Recebido (07, valor recebido por data)</t>
        </is>
      </c>
      <c r="B61" s="77" t="inlineStr">
        <is>
          <t>07. FATURAMENTO</t>
        </is>
      </c>
      <c r="C61" s="108" t="str">
        <f>IF(COUNTIFS('07. FATURAMENTO E RECEBIMENTO'!$B$5:$B$44,"343",'07. FATURAMENTO E RECEBIMENTO'!$K$5:$K$44,"&gt;="&amp;C$21,'07. FATURAMENTO E RECEBIMENTO'!$K$5:$K$44,"&lt;"&amp;EDATE(C$21,1),'07. FATURAMENTO E RECEBIMENTO'!$L$5:$L$44,"&lt;&gt;")=0,"sem lançamento",SUMIFS('07. FATURAMENTO E RECEBIMENTO'!$L$5:$L$44,'07. FATURAMENTO E RECEBIMENTO'!$B$5:$B$44,"343",'07. FATURAMENTO E RECEBIMENTO'!$K$5:$K$44,"&gt;="&amp;C$21,'07. FATURAMENTO E RECEBIMENTO'!$K$5:$K$44,"&lt;"&amp;EDATE(C$21,1)))</f>
        <v>sem lançamento</v>
      </c>
      <c r="D61" s="108" t="str">
        <f>IF(COUNTIFS('07. FATURAMENTO E RECEBIMENTO'!$B$5:$B$44,"343",'07. FATURAMENTO E RECEBIMENTO'!$K$5:$K$44,"&gt;="&amp;D$21,'07. FATURAMENTO E RECEBIMENTO'!$K$5:$K$44,"&lt;"&amp;EDATE(D$21,1),'07. FATURAMENTO E RECEBIMENTO'!$L$5:$L$44,"&lt;&gt;")=0,"sem lançamento",SUMIFS('07. FATURAMENTO E RECEBIMENTO'!$L$5:$L$44,'07. FATURAMENTO E RECEBIMENTO'!$B$5:$B$44,"343",'07. FATURAMENTO E RECEBIMENTO'!$K$5:$K$44,"&gt;="&amp;D$21,'07. FATURAMENTO E RECEBIMENTO'!$K$5:$K$44,"&lt;"&amp;EDATE(D$21,1)))</f>
        <v>sem lançamento</v>
      </c>
      <c r="E61" s="108" t="str">
        <f>IF(COUNTIFS('07. FATURAMENTO E RECEBIMENTO'!$B$5:$B$44,"343",'07. FATURAMENTO E RECEBIMENTO'!$K$5:$K$44,"&gt;="&amp;E$21,'07. FATURAMENTO E RECEBIMENTO'!$K$5:$K$44,"&lt;"&amp;EDATE(E$21,1),'07. FATURAMENTO E RECEBIMENTO'!$L$5:$L$44,"&lt;&gt;")=0,"sem lançamento",SUMIFS('07. FATURAMENTO E RECEBIMENTO'!$L$5:$L$44,'07. FATURAMENTO E RECEBIMENTO'!$B$5:$B$44,"343",'07. FATURAMENTO E RECEBIMENTO'!$K$5:$K$44,"&gt;="&amp;E$21,'07. FATURAMENTO E RECEBIMENTO'!$K$5:$K$44,"&lt;"&amp;EDATE(E$21,1)))</f>
        <v>sem lançamento</v>
      </c>
      <c r="F61" s="108" t="str">
        <f>IF(COUNTIFS('07. FATURAMENTO E RECEBIMENTO'!$B$5:$B$44,"343",'07. FATURAMENTO E RECEBIMENTO'!$K$5:$K$44,"&gt;="&amp;F$21,'07. FATURAMENTO E RECEBIMENTO'!$K$5:$K$44,"&lt;"&amp;EDATE(F$21,1),'07. FATURAMENTO E RECEBIMENTO'!$L$5:$L$44,"&lt;&gt;")=0,"sem lançamento",SUMIFS('07. FATURAMENTO E RECEBIMENTO'!$L$5:$L$44,'07. FATURAMENTO E RECEBIMENTO'!$B$5:$B$44,"343",'07. FATURAMENTO E RECEBIMENTO'!$K$5:$K$44,"&gt;="&amp;F$21,'07. FATURAMENTO E RECEBIMENTO'!$K$5:$K$44,"&lt;"&amp;EDATE(F$21,1)))</f>
        <v>sem lançamento</v>
      </c>
      <c r="G61" s="108" t="str">
        <f>IF(COUNTIFS('07. FATURAMENTO E RECEBIMENTO'!$B$5:$B$44,"343",'07. FATURAMENTO E RECEBIMENTO'!$K$5:$K$44,"&gt;="&amp;G$21,'07. FATURAMENTO E RECEBIMENTO'!$K$5:$K$44,"&lt;"&amp;EDATE(G$21,1),'07. FATURAMENTO E RECEBIMENTO'!$L$5:$L$44,"&lt;&gt;")=0,"sem lançamento",SUMIFS('07. FATURAMENTO E RECEBIMENTO'!$L$5:$L$44,'07. FATURAMENTO E RECEBIMENTO'!$B$5:$B$44,"343",'07. FATURAMENTO E RECEBIMENTO'!$K$5:$K$44,"&gt;="&amp;G$21,'07. FATURAMENTO E RECEBIMENTO'!$K$5:$K$44,"&lt;"&amp;EDATE(G$21,1)))</f>
        <v>sem lançamento</v>
      </c>
      <c r="H61" s="108" t="str">
        <f>IF(COUNTIFS('07. FATURAMENTO E RECEBIMENTO'!$B$5:$B$44,"343",'07. FATURAMENTO E RECEBIMENTO'!$K$5:$K$44,"&gt;="&amp;H$21,'07. FATURAMENTO E RECEBIMENTO'!$K$5:$K$44,"&lt;"&amp;EDATE(H$21,1),'07. FATURAMENTO E RECEBIMENTO'!$L$5:$L$44,"&lt;&gt;")=0,"sem lançamento",SUMIFS('07. FATURAMENTO E RECEBIMENTO'!$L$5:$L$44,'07. FATURAMENTO E RECEBIMENTO'!$B$5:$B$44,"343",'07. FATURAMENTO E RECEBIMENTO'!$K$5:$K$44,"&gt;="&amp;H$21,'07. FATURAMENTO E RECEBIMENTO'!$K$5:$K$44,"&lt;"&amp;EDATE(H$21,1)))</f>
        <v>sem lançamento</v>
      </c>
      <c r="I61" s="108" t="str">
        <f>IF(COUNTIFS('07. FATURAMENTO E RECEBIMENTO'!$B$5:$B$44,"343",'07. FATURAMENTO E RECEBIMENTO'!$K$5:$K$44,"&gt;="&amp;I$21,'07. FATURAMENTO E RECEBIMENTO'!$K$5:$K$44,"&lt;"&amp;EDATE(I$21,1),'07. FATURAMENTO E RECEBIMENTO'!$L$5:$L$44,"&lt;&gt;")=0,"sem lançamento",SUMIFS('07. FATURAMENTO E RECEBIMENTO'!$L$5:$L$44,'07. FATURAMENTO E RECEBIMENTO'!$B$5:$B$44,"343",'07. FATURAMENTO E RECEBIMENTO'!$K$5:$K$44,"&gt;="&amp;I$21,'07. FATURAMENTO E RECEBIMENTO'!$K$5:$K$44,"&lt;"&amp;EDATE(I$21,1)))</f>
        <v>sem lançamento</v>
      </c>
      <c r="J61" s="108" t="str">
        <f>IF(COUNTIFS('07. FATURAMENTO E RECEBIMENTO'!$B$5:$B$44,"343",'07. FATURAMENTO E RECEBIMENTO'!$K$5:$K$44,"&gt;="&amp;J$21,'07. FATURAMENTO E RECEBIMENTO'!$K$5:$K$44,"&lt;"&amp;EDATE(J$21,1),'07. FATURAMENTO E RECEBIMENTO'!$L$5:$L$44,"&lt;&gt;")=0,"sem lançamento",SUMIFS('07. FATURAMENTO E RECEBIMENTO'!$L$5:$L$44,'07. FATURAMENTO E RECEBIMENTO'!$B$5:$B$44,"343",'07. FATURAMENTO E RECEBIMENTO'!$K$5:$K$44,"&gt;="&amp;J$21,'07. FATURAMENTO E RECEBIMENTO'!$K$5:$K$44,"&lt;"&amp;EDATE(J$21,1)))</f>
        <v>sem lançamento</v>
      </c>
      <c r="K61" s="108" t="str">
        <f>IF(COUNTIFS('07. FATURAMENTO E RECEBIMENTO'!$B$5:$B$44,"343",'07. FATURAMENTO E RECEBIMENTO'!$K$5:$K$44,"&gt;="&amp;K$21,'07. FATURAMENTO E RECEBIMENTO'!$K$5:$K$44,"&lt;"&amp;EDATE(K$21,1),'07. FATURAMENTO E RECEBIMENTO'!$L$5:$L$44,"&lt;&gt;")=0,"sem lançamento",SUMIFS('07. FATURAMENTO E RECEBIMENTO'!$L$5:$L$44,'07. FATURAMENTO E RECEBIMENTO'!$B$5:$B$44,"343",'07. FATURAMENTO E RECEBIMENTO'!$K$5:$K$44,"&gt;="&amp;K$21,'07. FATURAMENTO E RECEBIMENTO'!$K$5:$K$44,"&lt;"&amp;EDATE(K$21,1)))</f>
        <v>sem lançamento</v>
      </c>
      <c r="L61" s="108" t="str">
        <f>IF(COUNTIFS('07. FATURAMENTO E RECEBIMENTO'!$B$5:$B$44,"343",'07. FATURAMENTO E RECEBIMENTO'!$K$5:$K$44,"&gt;="&amp;L$21,'07. FATURAMENTO E RECEBIMENTO'!$K$5:$K$44,"&lt;"&amp;EDATE(L$21,1),'07. FATURAMENTO E RECEBIMENTO'!$L$5:$L$44,"&lt;&gt;")=0,"sem lançamento",SUMIFS('07. FATURAMENTO E RECEBIMENTO'!$L$5:$L$44,'07. FATURAMENTO E RECEBIMENTO'!$B$5:$B$44,"343",'07. FATURAMENTO E RECEBIMENTO'!$K$5:$K$44,"&gt;="&amp;L$21,'07. FATURAMENTO E RECEBIMENTO'!$K$5:$K$44,"&lt;"&amp;EDATE(L$21,1)))</f>
        <v>sem lançamento</v>
      </c>
      <c r="M61" s="108" t="str">
        <f>IF(COUNTIFS('07. FATURAMENTO E RECEBIMENTO'!$B$5:$B$44,"343",'07. FATURAMENTO E RECEBIMENTO'!$K$5:$K$44,"&gt;="&amp;M$21,'07. FATURAMENTO E RECEBIMENTO'!$K$5:$K$44,"&lt;"&amp;EDATE(M$21,1),'07. FATURAMENTO E RECEBIMENTO'!$L$5:$L$44,"&lt;&gt;")=0,"sem lançamento",SUMIFS('07. FATURAMENTO E RECEBIMENTO'!$L$5:$L$44,'07. FATURAMENTO E RECEBIMENTO'!$B$5:$B$44,"343",'07. FATURAMENTO E RECEBIMENTO'!$K$5:$K$44,"&gt;="&amp;M$21,'07. FATURAMENTO E RECEBIMENTO'!$K$5:$K$44,"&lt;"&amp;EDATE(M$21,1)))</f>
        <v>sem lançamento</v>
      </c>
      <c r="N61" s="108" t="str">
        <f>IF(COUNTIFS('07. FATURAMENTO E RECEBIMENTO'!$B$5:$B$44,"343",'07. FATURAMENTO E RECEBIMENTO'!$K$5:$K$44,"&gt;="&amp;N$21,'07. FATURAMENTO E RECEBIMENTO'!$K$5:$K$44,"&lt;"&amp;EDATE(N$21,1),'07. FATURAMENTO E RECEBIMENTO'!$L$5:$L$44,"&lt;&gt;")=0,"sem lançamento",SUMIFS('07. FATURAMENTO E RECEBIMENTO'!$L$5:$L$44,'07. FATURAMENTO E RECEBIMENTO'!$B$5:$B$44,"343",'07. FATURAMENTO E RECEBIMENTO'!$K$5:$K$44,"&gt;="&amp;N$21,'07. FATURAMENTO E RECEBIMENTO'!$K$5:$K$44,"&lt;"&amp;EDATE(N$21,1)))</f>
        <v>sem lançamento</v>
      </c>
      <c r="O61" s="108" t="str">
        <f>IF(COUNTIFS('07. FATURAMENTO E RECEBIMENTO'!$B$5:$B$44,"343",'07. FATURAMENTO E RECEBIMENTO'!$K$5:$K$44,"&gt;="&amp;O$21,'07. FATURAMENTO E RECEBIMENTO'!$K$5:$K$44,"&lt;"&amp;EDATE(O$21,1),'07. FATURAMENTO E RECEBIMENTO'!$L$5:$L$44,"&lt;&gt;")=0,"sem lançamento",SUMIFS('07. FATURAMENTO E RECEBIMENTO'!$L$5:$L$44,'07. FATURAMENTO E RECEBIMENTO'!$B$5:$B$44,"343",'07. FATURAMENTO E RECEBIMENTO'!$K$5:$K$44,"&gt;="&amp;O$21,'07. FATURAMENTO E RECEBIMENTO'!$K$5:$K$44,"&lt;"&amp;EDATE(O$21,1)))</f>
        <v>sem lançamento</v>
      </c>
      <c r="P61" s="108" t="str">
        <f>IF(COUNTIFS('07. FATURAMENTO E RECEBIMENTO'!$B$5:$B$44,"343",'07. FATURAMENTO E RECEBIMENTO'!$K$5:$K$44,"&gt;="&amp;P$21,'07. FATURAMENTO E RECEBIMENTO'!$K$5:$K$44,"&lt;"&amp;EDATE(P$21,1),'07. FATURAMENTO E RECEBIMENTO'!$L$5:$L$44,"&lt;&gt;")=0,"sem lançamento",SUMIFS('07. FATURAMENTO E RECEBIMENTO'!$L$5:$L$44,'07. FATURAMENTO E RECEBIMENTO'!$B$5:$B$44,"343",'07. FATURAMENTO E RECEBIMENTO'!$K$5:$K$44,"&gt;="&amp;P$21,'07. FATURAMENTO E RECEBIMENTO'!$K$5:$K$44,"&lt;"&amp;EDATE(P$21,1)))</f>
        <v>sem lançamento</v>
      </c>
      <c r="Q61" s="108" t="str">
        <f>IF(COUNTIFS('07. FATURAMENTO E RECEBIMENTO'!$B$5:$B$44,"343",'07. FATURAMENTO E RECEBIMENTO'!$K$5:$K$44,"&gt;="&amp;Q$21,'07. FATURAMENTO E RECEBIMENTO'!$K$5:$K$44,"&lt;"&amp;EDATE(Q$21,1),'07. FATURAMENTO E RECEBIMENTO'!$L$5:$L$44,"&lt;&gt;")=0,"sem lançamento",SUMIFS('07. FATURAMENTO E RECEBIMENTO'!$L$5:$L$44,'07. FATURAMENTO E RECEBIMENTO'!$B$5:$B$44,"343",'07. FATURAMENTO E RECEBIMENTO'!$K$5:$K$44,"&gt;="&amp;Q$21,'07. FATURAMENTO E RECEBIMENTO'!$K$5:$K$44,"&lt;"&amp;EDATE(Q$21,1)))</f>
        <v>sem lançamento</v>
      </c>
      <c r="R61" s="108" t="str">
        <f>IF(COUNTIFS('07. FATURAMENTO E RECEBIMENTO'!$B$5:$B$44,"343",'07. FATURAMENTO E RECEBIMENTO'!$K$5:$K$44,"&gt;="&amp;R$21,'07. FATURAMENTO E RECEBIMENTO'!$K$5:$K$44,"&lt;"&amp;EDATE(R$21,1),'07. FATURAMENTO E RECEBIMENTO'!$L$5:$L$44,"&lt;&gt;")=0,"sem lançamento",SUMIFS('07. FATURAMENTO E RECEBIMENTO'!$L$5:$L$44,'07. FATURAMENTO E RECEBIMENTO'!$B$5:$B$44,"343",'07. FATURAMENTO E RECEBIMENTO'!$K$5:$K$44,"&gt;="&amp;R$21,'07. FATURAMENTO E RECEBIMENTO'!$K$5:$K$44,"&lt;"&amp;EDATE(R$21,1)))</f>
        <v>sem lançamento</v>
      </c>
      <c r="S61" s="108" t="str">
        <f>IF(COUNT(C61:R61)=0,"sem lançamento",SUM(C61:R61))</f>
        <v>sem lançamento</v>
      </c>
    </row>
    <row r="62">
      <c r="A62" s="73" t="inlineStr">
        <is>
          <t>Custos pagos (08, por data de pagamento)</t>
        </is>
      </c>
      <c r="B62" s="77" t="inlineStr">
        <is>
          <t>08. CUSTOS</t>
        </is>
      </c>
      <c r="C62" s="108" t="str">
        <f>IF(COUNTIFS('08. CUSTOS'!$C$5:$C$404,"343",'08. CUSTOS'!$G$5:$G$404,"&gt;="&amp;C$21,'08. CUSTOS'!$G$5:$G$404,"&lt;"&amp;EDATE(C$21,1),'08. CUSTOS'!$F$5:$F$404,"&lt;&gt;")=0,"sem lançamento",SUMIFS('08. CUSTOS'!$F$5:$F$404,'08. CUSTOS'!$C$5:$C$404,"343",'08. CUSTOS'!$G$5:$G$404,"&gt;="&amp;C$21,'08. CUSTOS'!$G$5:$G$404,"&lt;"&amp;EDATE(C$21,1)))</f>
        <v>sem lançamento</v>
      </c>
      <c r="D62" s="108" t="str">
        <f>IF(COUNTIFS('08. CUSTOS'!$C$5:$C$404,"343",'08. CUSTOS'!$G$5:$G$404,"&gt;="&amp;D$21,'08. CUSTOS'!$G$5:$G$404,"&lt;"&amp;EDATE(D$21,1),'08. CUSTOS'!$F$5:$F$404,"&lt;&gt;")=0,"sem lançamento",SUMIFS('08. CUSTOS'!$F$5:$F$404,'08. CUSTOS'!$C$5:$C$404,"343",'08. CUSTOS'!$G$5:$G$404,"&gt;="&amp;D$21,'08. CUSTOS'!$G$5:$G$404,"&lt;"&amp;EDATE(D$21,1)))</f>
        <v>sem lançamento</v>
      </c>
      <c r="E62" s="108" t="str">
        <f>IF(COUNTIFS('08. CUSTOS'!$C$5:$C$404,"343",'08. CUSTOS'!$G$5:$G$404,"&gt;="&amp;E$21,'08. CUSTOS'!$G$5:$G$404,"&lt;"&amp;EDATE(E$21,1),'08. CUSTOS'!$F$5:$F$404,"&lt;&gt;")=0,"sem lançamento",SUMIFS('08. CUSTOS'!$F$5:$F$404,'08. CUSTOS'!$C$5:$C$404,"343",'08. CUSTOS'!$G$5:$G$404,"&gt;="&amp;E$21,'08. CUSTOS'!$G$5:$G$404,"&lt;"&amp;EDATE(E$21,1)))</f>
        <v>sem lançamento</v>
      </c>
      <c r="F62" s="108" t="str">
        <f>IF(COUNTIFS('08. CUSTOS'!$C$5:$C$404,"343",'08. CUSTOS'!$G$5:$G$404,"&gt;="&amp;F$21,'08. CUSTOS'!$G$5:$G$404,"&lt;"&amp;EDATE(F$21,1),'08. CUSTOS'!$F$5:$F$404,"&lt;&gt;")=0,"sem lançamento",SUMIFS('08. CUSTOS'!$F$5:$F$404,'08. CUSTOS'!$C$5:$C$404,"343",'08. CUSTOS'!$G$5:$G$404,"&gt;="&amp;F$21,'08. CUSTOS'!$G$5:$G$404,"&lt;"&amp;EDATE(F$21,1)))</f>
        <v>sem lançamento</v>
      </c>
      <c r="G62" s="108" t="str">
        <f>IF(COUNTIFS('08. CUSTOS'!$C$5:$C$404,"343",'08. CUSTOS'!$G$5:$G$404,"&gt;="&amp;G$21,'08. CUSTOS'!$G$5:$G$404,"&lt;"&amp;EDATE(G$21,1),'08. CUSTOS'!$F$5:$F$404,"&lt;&gt;")=0,"sem lançamento",SUMIFS('08. CUSTOS'!$F$5:$F$404,'08. CUSTOS'!$C$5:$C$404,"343",'08. CUSTOS'!$G$5:$G$404,"&gt;="&amp;G$21,'08. CUSTOS'!$G$5:$G$404,"&lt;"&amp;EDATE(G$21,1)))</f>
        <v>sem lançamento</v>
      </c>
      <c r="H62" s="108" t="str">
        <f>IF(COUNTIFS('08. CUSTOS'!$C$5:$C$404,"343",'08. CUSTOS'!$G$5:$G$404,"&gt;="&amp;H$21,'08. CUSTOS'!$G$5:$G$404,"&lt;"&amp;EDATE(H$21,1),'08. CUSTOS'!$F$5:$F$404,"&lt;&gt;")=0,"sem lançamento",SUMIFS('08. CUSTOS'!$F$5:$F$404,'08. CUSTOS'!$C$5:$C$404,"343",'08. CUSTOS'!$G$5:$G$404,"&gt;="&amp;H$21,'08. CUSTOS'!$G$5:$G$404,"&lt;"&amp;EDATE(H$21,1)))</f>
        <v>sem lançamento</v>
      </c>
      <c r="I62" s="108" t="str">
        <f>IF(COUNTIFS('08. CUSTOS'!$C$5:$C$404,"343",'08. CUSTOS'!$G$5:$G$404,"&gt;="&amp;I$21,'08. CUSTOS'!$G$5:$G$404,"&lt;"&amp;EDATE(I$21,1),'08. CUSTOS'!$F$5:$F$404,"&lt;&gt;")=0,"sem lançamento",SUMIFS('08. CUSTOS'!$F$5:$F$404,'08. CUSTOS'!$C$5:$C$404,"343",'08. CUSTOS'!$G$5:$G$404,"&gt;="&amp;I$21,'08. CUSTOS'!$G$5:$G$404,"&lt;"&amp;EDATE(I$21,1)))</f>
        <v>sem lançamento</v>
      </c>
      <c r="J62" s="108" t="str">
        <f>IF(COUNTIFS('08. CUSTOS'!$C$5:$C$404,"343",'08. CUSTOS'!$G$5:$G$404,"&gt;="&amp;J$21,'08. CUSTOS'!$G$5:$G$404,"&lt;"&amp;EDATE(J$21,1),'08. CUSTOS'!$F$5:$F$404,"&lt;&gt;")=0,"sem lançamento",SUMIFS('08. CUSTOS'!$F$5:$F$404,'08. CUSTOS'!$C$5:$C$404,"343",'08. CUSTOS'!$G$5:$G$404,"&gt;="&amp;J$21,'08. CUSTOS'!$G$5:$G$404,"&lt;"&amp;EDATE(J$21,1)))</f>
        <v>sem lançamento</v>
      </c>
      <c r="K62" s="108" t="str">
        <f>IF(COUNTIFS('08. CUSTOS'!$C$5:$C$404,"343",'08. CUSTOS'!$G$5:$G$404,"&gt;="&amp;K$21,'08. CUSTOS'!$G$5:$G$404,"&lt;"&amp;EDATE(K$21,1),'08. CUSTOS'!$F$5:$F$404,"&lt;&gt;")=0,"sem lançamento",SUMIFS('08. CUSTOS'!$F$5:$F$404,'08. CUSTOS'!$C$5:$C$404,"343",'08. CUSTOS'!$G$5:$G$404,"&gt;="&amp;K$21,'08. CUSTOS'!$G$5:$G$404,"&lt;"&amp;EDATE(K$21,1)))</f>
        <v>sem lançamento</v>
      </c>
      <c r="L62" s="108" t="str">
        <f>IF(COUNTIFS('08. CUSTOS'!$C$5:$C$404,"343",'08. CUSTOS'!$G$5:$G$404,"&gt;="&amp;L$21,'08. CUSTOS'!$G$5:$G$404,"&lt;"&amp;EDATE(L$21,1),'08. CUSTOS'!$F$5:$F$404,"&lt;&gt;")=0,"sem lançamento",SUMIFS('08. CUSTOS'!$F$5:$F$404,'08. CUSTOS'!$C$5:$C$404,"343",'08. CUSTOS'!$G$5:$G$404,"&gt;="&amp;L$21,'08. CUSTOS'!$G$5:$G$404,"&lt;"&amp;EDATE(L$21,1)))</f>
        <v>sem lançamento</v>
      </c>
      <c r="M62" s="108" t="str">
        <f>IF(COUNTIFS('08. CUSTOS'!$C$5:$C$404,"343",'08. CUSTOS'!$G$5:$G$404,"&gt;="&amp;M$21,'08. CUSTOS'!$G$5:$G$404,"&lt;"&amp;EDATE(M$21,1),'08. CUSTOS'!$F$5:$F$404,"&lt;&gt;")=0,"sem lançamento",SUMIFS('08. CUSTOS'!$F$5:$F$404,'08. CUSTOS'!$C$5:$C$404,"343",'08. CUSTOS'!$G$5:$G$404,"&gt;="&amp;M$21,'08. CUSTOS'!$G$5:$G$404,"&lt;"&amp;EDATE(M$21,1)))</f>
        <v>sem lançamento</v>
      </c>
      <c r="N62" s="108" t="str">
        <f>IF(COUNTIFS('08. CUSTOS'!$C$5:$C$404,"343",'08. CUSTOS'!$G$5:$G$404,"&gt;="&amp;N$21,'08. CUSTOS'!$G$5:$G$404,"&lt;"&amp;EDATE(N$21,1),'08. CUSTOS'!$F$5:$F$404,"&lt;&gt;")=0,"sem lançamento",SUMIFS('08. CUSTOS'!$F$5:$F$404,'08. CUSTOS'!$C$5:$C$404,"343",'08. CUSTOS'!$G$5:$G$404,"&gt;="&amp;N$21,'08. CUSTOS'!$G$5:$G$404,"&lt;"&amp;EDATE(N$21,1)))</f>
        <v>sem lançamento</v>
      </c>
      <c r="O62" s="108" t="str">
        <f>IF(COUNTIFS('08. CUSTOS'!$C$5:$C$404,"343",'08. CUSTOS'!$G$5:$G$404,"&gt;="&amp;O$21,'08. CUSTOS'!$G$5:$G$404,"&lt;"&amp;EDATE(O$21,1),'08. CUSTOS'!$F$5:$F$404,"&lt;&gt;")=0,"sem lançamento",SUMIFS('08. CUSTOS'!$F$5:$F$404,'08. CUSTOS'!$C$5:$C$404,"343",'08. CUSTOS'!$G$5:$G$404,"&gt;="&amp;O$21,'08. CUSTOS'!$G$5:$G$404,"&lt;"&amp;EDATE(O$21,1)))</f>
        <v>sem lançamento</v>
      </c>
      <c r="P62" s="108" t="str">
        <f>IF(COUNTIFS('08. CUSTOS'!$C$5:$C$404,"343",'08. CUSTOS'!$G$5:$G$404,"&gt;="&amp;P$21,'08. CUSTOS'!$G$5:$G$404,"&lt;"&amp;EDATE(P$21,1),'08. CUSTOS'!$F$5:$F$404,"&lt;&gt;")=0,"sem lançamento",SUMIFS('08. CUSTOS'!$F$5:$F$404,'08. CUSTOS'!$C$5:$C$404,"343",'08. CUSTOS'!$G$5:$G$404,"&gt;="&amp;P$21,'08. CUSTOS'!$G$5:$G$404,"&lt;"&amp;EDATE(P$21,1)))</f>
        <v>sem lançamento</v>
      </c>
      <c r="Q62" s="108" t="str">
        <f>IF(COUNTIFS('08. CUSTOS'!$C$5:$C$404,"343",'08. CUSTOS'!$G$5:$G$404,"&gt;="&amp;Q$21,'08. CUSTOS'!$G$5:$G$404,"&lt;"&amp;EDATE(Q$21,1),'08. CUSTOS'!$F$5:$F$404,"&lt;&gt;")=0,"sem lançamento",SUMIFS('08. CUSTOS'!$F$5:$F$404,'08. CUSTOS'!$C$5:$C$404,"343",'08. CUSTOS'!$G$5:$G$404,"&gt;="&amp;Q$21,'08. CUSTOS'!$G$5:$G$404,"&lt;"&amp;EDATE(Q$21,1)))</f>
        <v>sem lançamento</v>
      </c>
      <c r="R62" s="108" t="str">
        <f>IF(COUNTIFS('08. CUSTOS'!$C$5:$C$404,"343",'08. CUSTOS'!$G$5:$G$404,"&gt;="&amp;R$21,'08. CUSTOS'!$G$5:$G$404,"&lt;"&amp;EDATE(R$21,1),'08. CUSTOS'!$F$5:$F$404,"&lt;&gt;")=0,"sem lançamento",SUMIFS('08. CUSTOS'!$F$5:$F$404,'08. CUSTOS'!$C$5:$C$404,"343",'08. CUSTOS'!$G$5:$G$404,"&gt;="&amp;R$21,'08. CUSTOS'!$G$5:$G$404,"&lt;"&amp;EDATE(R$21,1)))</f>
        <v>sem lançamento</v>
      </c>
      <c r="S62" s="108" t="str">
        <f>IF(COUNT(C62:R62)=0,"sem lançamento",SUM(C62:R62))</f>
        <v>sem lançamento</v>
      </c>
    </row>
    <row r="63">
      <c r="A63" s="73" t="inlineStr">
        <is>
          <t>Custo lançado (08, por mês de competência)</t>
        </is>
      </c>
      <c r="B63" s="77" t="inlineStr">
        <is>
          <t>08. CUSTOS</t>
        </is>
      </c>
      <c r="C63" s="108" t="str">
        <f>IF(COUNTIFS('08. CUSTOS'!$C$5:$C$404,"343",'08. CUSTOS'!$B$5:$B$404,"&gt;="&amp;C$21,'08. CUSTOS'!$B$5:$B$404,"&lt;"&amp;EDATE(C$21,1),'08. CUSTOS'!$F$5:$F$404,"&lt;&gt;")=0,"sem lançamento",SUMIFS('08. CUSTOS'!$F$5:$F$404,'08. CUSTOS'!$C$5:$C$404,"343",'08. CUSTOS'!$B$5:$B$404,"&gt;="&amp;C$21,'08. CUSTOS'!$B$5:$B$404,"&lt;"&amp;EDATE(C$21,1)))</f>
        <v>sem lançamento</v>
      </c>
      <c r="D63" s="108" t="str">
        <f>IF(COUNTIFS('08. CUSTOS'!$C$5:$C$404,"343",'08. CUSTOS'!$B$5:$B$404,"&gt;="&amp;D$21,'08. CUSTOS'!$B$5:$B$404,"&lt;"&amp;EDATE(D$21,1),'08. CUSTOS'!$F$5:$F$404,"&lt;&gt;")=0,"sem lançamento",SUMIFS('08. CUSTOS'!$F$5:$F$404,'08. CUSTOS'!$C$5:$C$404,"343",'08. CUSTOS'!$B$5:$B$404,"&gt;="&amp;D$21,'08. CUSTOS'!$B$5:$B$404,"&lt;"&amp;EDATE(D$21,1)))</f>
        <v>sem lançamento</v>
      </c>
      <c r="E63" s="108" t="str">
        <f>IF(COUNTIFS('08. CUSTOS'!$C$5:$C$404,"343",'08. CUSTOS'!$B$5:$B$404,"&gt;="&amp;E$21,'08. CUSTOS'!$B$5:$B$404,"&lt;"&amp;EDATE(E$21,1),'08. CUSTOS'!$F$5:$F$404,"&lt;&gt;")=0,"sem lançamento",SUMIFS('08. CUSTOS'!$F$5:$F$404,'08. CUSTOS'!$C$5:$C$404,"343",'08. CUSTOS'!$B$5:$B$404,"&gt;="&amp;E$21,'08. CUSTOS'!$B$5:$B$404,"&lt;"&amp;EDATE(E$21,1)))</f>
        <v>sem lançamento</v>
      </c>
      <c r="F63" s="108" t="str">
        <f>IF(COUNTIFS('08. CUSTOS'!$C$5:$C$404,"343",'08. CUSTOS'!$B$5:$B$404,"&gt;="&amp;F$21,'08. CUSTOS'!$B$5:$B$404,"&lt;"&amp;EDATE(F$21,1),'08. CUSTOS'!$F$5:$F$404,"&lt;&gt;")=0,"sem lançamento",SUMIFS('08. CUSTOS'!$F$5:$F$404,'08. CUSTOS'!$C$5:$C$404,"343",'08. CUSTOS'!$B$5:$B$404,"&gt;="&amp;F$21,'08. CUSTOS'!$B$5:$B$404,"&lt;"&amp;EDATE(F$21,1)))</f>
        <v>sem lançamento</v>
      </c>
      <c r="G63" s="108" t="str">
        <f>IF(COUNTIFS('08. CUSTOS'!$C$5:$C$404,"343",'08. CUSTOS'!$B$5:$B$404,"&gt;="&amp;G$21,'08. CUSTOS'!$B$5:$B$404,"&lt;"&amp;EDATE(G$21,1),'08. CUSTOS'!$F$5:$F$404,"&lt;&gt;")=0,"sem lançamento",SUMIFS('08. CUSTOS'!$F$5:$F$404,'08. CUSTOS'!$C$5:$C$404,"343",'08. CUSTOS'!$B$5:$B$404,"&gt;="&amp;G$21,'08. CUSTOS'!$B$5:$B$404,"&lt;"&amp;EDATE(G$21,1)))</f>
        <v>sem lançamento</v>
      </c>
      <c r="H63" s="108" t="str">
        <f>IF(COUNTIFS('08. CUSTOS'!$C$5:$C$404,"343",'08. CUSTOS'!$B$5:$B$404,"&gt;="&amp;H$21,'08. CUSTOS'!$B$5:$B$404,"&lt;"&amp;EDATE(H$21,1),'08. CUSTOS'!$F$5:$F$404,"&lt;&gt;")=0,"sem lançamento",SUMIFS('08. CUSTOS'!$F$5:$F$404,'08. CUSTOS'!$C$5:$C$404,"343",'08. CUSTOS'!$B$5:$B$404,"&gt;="&amp;H$21,'08. CUSTOS'!$B$5:$B$404,"&lt;"&amp;EDATE(H$21,1)))</f>
        <v>sem lançamento</v>
      </c>
      <c r="I63" s="108" t="str">
        <f>IF(COUNTIFS('08. CUSTOS'!$C$5:$C$404,"343",'08. CUSTOS'!$B$5:$B$404,"&gt;="&amp;I$21,'08. CUSTOS'!$B$5:$B$404,"&lt;"&amp;EDATE(I$21,1),'08. CUSTOS'!$F$5:$F$404,"&lt;&gt;")=0,"sem lançamento",SUMIFS('08. CUSTOS'!$F$5:$F$404,'08. CUSTOS'!$C$5:$C$404,"343",'08. CUSTOS'!$B$5:$B$404,"&gt;="&amp;I$21,'08. CUSTOS'!$B$5:$B$404,"&lt;"&amp;EDATE(I$21,1)))</f>
        <v>sem lançamento</v>
      </c>
      <c r="J63" s="108" t="str">
        <f>IF(COUNTIFS('08. CUSTOS'!$C$5:$C$404,"343",'08. CUSTOS'!$B$5:$B$404,"&gt;="&amp;J$21,'08. CUSTOS'!$B$5:$B$404,"&lt;"&amp;EDATE(J$21,1),'08. CUSTOS'!$F$5:$F$404,"&lt;&gt;")=0,"sem lançamento",SUMIFS('08. CUSTOS'!$F$5:$F$404,'08. CUSTOS'!$C$5:$C$404,"343",'08. CUSTOS'!$B$5:$B$404,"&gt;="&amp;J$21,'08. CUSTOS'!$B$5:$B$404,"&lt;"&amp;EDATE(J$21,1)))</f>
        <v>sem lançamento</v>
      </c>
      <c r="K63" s="108" t="str">
        <f>IF(COUNTIFS('08. CUSTOS'!$C$5:$C$404,"343",'08. CUSTOS'!$B$5:$B$404,"&gt;="&amp;K$21,'08. CUSTOS'!$B$5:$B$404,"&lt;"&amp;EDATE(K$21,1),'08. CUSTOS'!$F$5:$F$404,"&lt;&gt;")=0,"sem lançamento",SUMIFS('08. CUSTOS'!$F$5:$F$404,'08. CUSTOS'!$C$5:$C$404,"343",'08. CUSTOS'!$B$5:$B$404,"&gt;="&amp;K$21,'08. CUSTOS'!$B$5:$B$404,"&lt;"&amp;EDATE(K$21,1)))</f>
        <v>sem lançamento</v>
      </c>
      <c r="L63" s="108" t="str">
        <f>IF(COUNTIFS('08. CUSTOS'!$C$5:$C$404,"343",'08. CUSTOS'!$B$5:$B$404,"&gt;="&amp;L$21,'08. CUSTOS'!$B$5:$B$404,"&lt;"&amp;EDATE(L$21,1),'08. CUSTOS'!$F$5:$F$404,"&lt;&gt;")=0,"sem lançamento",SUMIFS('08. CUSTOS'!$F$5:$F$404,'08. CUSTOS'!$C$5:$C$404,"343",'08. CUSTOS'!$B$5:$B$404,"&gt;="&amp;L$21,'08. CUSTOS'!$B$5:$B$404,"&lt;"&amp;EDATE(L$21,1)))</f>
        <v>sem lançamento</v>
      </c>
      <c r="M63" s="108" t="str">
        <f>IF(COUNTIFS('08. CUSTOS'!$C$5:$C$404,"343",'08. CUSTOS'!$B$5:$B$404,"&gt;="&amp;M$21,'08. CUSTOS'!$B$5:$B$404,"&lt;"&amp;EDATE(M$21,1),'08. CUSTOS'!$F$5:$F$404,"&lt;&gt;")=0,"sem lançamento",SUMIFS('08. CUSTOS'!$F$5:$F$404,'08. CUSTOS'!$C$5:$C$404,"343",'08. CUSTOS'!$B$5:$B$404,"&gt;="&amp;M$21,'08. CUSTOS'!$B$5:$B$404,"&lt;"&amp;EDATE(M$21,1)))</f>
        <v>sem lançamento</v>
      </c>
      <c r="N63" s="108" t="str">
        <f>IF(COUNTIFS('08. CUSTOS'!$C$5:$C$404,"343",'08. CUSTOS'!$B$5:$B$404,"&gt;="&amp;N$21,'08. CUSTOS'!$B$5:$B$404,"&lt;"&amp;EDATE(N$21,1),'08. CUSTOS'!$F$5:$F$404,"&lt;&gt;")=0,"sem lançamento",SUMIFS('08. CUSTOS'!$F$5:$F$404,'08. CUSTOS'!$C$5:$C$404,"343",'08. CUSTOS'!$B$5:$B$404,"&gt;="&amp;N$21,'08. CUSTOS'!$B$5:$B$404,"&lt;"&amp;EDATE(N$21,1)))</f>
        <v>sem lançamento</v>
      </c>
      <c r="O63" s="108" t="str">
        <f>IF(COUNTIFS('08. CUSTOS'!$C$5:$C$404,"343",'08. CUSTOS'!$B$5:$B$404,"&gt;="&amp;O$21,'08. CUSTOS'!$B$5:$B$404,"&lt;"&amp;EDATE(O$21,1),'08. CUSTOS'!$F$5:$F$404,"&lt;&gt;")=0,"sem lançamento",SUMIFS('08. CUSTOS'!$F$5:$F$404,'08. CUSTOS'!$C$5:$C$404,"343",'08. CUSTOS'!$B$5:$B$404,"&gt;="&amp;O$21,'08. CUSTOS'!$B$5:$B$404,"&lt;"&amp;EDATE(O$21,1)))</f>
        <v>sem lançamento</v>
      </c>
      <c r="P63" s="108" t="str">
        <f>IF(COUNTIFS('08. CUSTOS'!$C$5:$C$404,"343",'08. CUSTOS'!$B$5:$B$404,"&gt;="&amp;P$21,'08. CUSTOS'!$B$5:$B$404,"&lt;"&amp;EDATE(P$21,1),'08. CUSTOS'!$F$5:$F$404,"&lt;&gt;")=0,"sem lançamento",SUMIFS('08. CUSTOS'!$F$5:$F$404,'08. CUSTOS'!$C$5:$C$404,"343",'08. CUSTOS'!$B$5:$B$404,"&gt;="&amp;P$21,'08. CUSTOS'!$B$5:$B$404,"&lt;"&amp;EDATE(P$21,1)))</f>
        <v>sem lançamento</v>
      </c>
      <c r="Q63" s="108" t="str">
        <f>IF(COUNTIFS('08. CUSTOS'!$C$5:$C$404,"343",'08. CUSTOS'!$B$5:$B$404,"&gt;="&amp;Q$21,'08. CUSTOS'!$B$5:$B$404,"&lt;"&amp;EDATE(Q$21,1),'08. CUSTOS'!$F$5:$F$404,"&lt;&gt;")=0,"sem lançamento",SUMIFS('08. CUSTOS'!$F$5:$F$404,'08. CUSTOS'!$C$5:$C$404,"343",'08. CUSTOS'!$B$5:$B$404,"&gt;="&amp;Q$21,'08. CUSTOS'!$B$5:$B$404,"&lt;"&amp;EDATE(Q$21,1)))</f>
        <v>sem lançamento</v>
      </c>
      <c r="R63" s="108" t="str">
        <f>IF(COUNTIFS('08. CUSTOS'!$C$5:$C$404,"343",'08. CUSTOS'!$B$5:$B$404,"&gt;="&amp;R$21,'08. CUSTOS'!$B$5:$B$404,"&lt;"&amp;EDATE(R$21,1),'08. CUSTOS'!$F$5:$F$404,"&lt;&gt;")=0,"sem lançamento",SUMIFS('08. CUSTOS'!$F$5:$F$404,'08. CUSTOS'!$C$5:$C$404,"343",'08. CUSTOS'!$B$5:$B$404,"&gt;="&amp;R$21,'08. CUSTOS'!$B$5:$B$404,"&lt;"&amp;EDATE(R$21,1)))</f>
        <v>sem lançamento</v>
      </c>
      <c r="S63" s="108" t="str">
        <f>IF(COUNT(C63:R63)=0,"sem lançamento",SUM(C63:R63))</f>
        <v>sem lançamento</v>
      </c>
    </row>
    <row r="64">
      <c r="A64" s="73" t="inlineStr">
        <is>
          <t>Diferença do custo (lançado menos previsto)</t>
        </is>
      </c>
      <c r="B64" s="77" t="inlineStr">
        <is>
          <t>calculado</t>
        </is>
      </c>
      <c r="C64" s="108">
        <f>IF(ISTEXT(C63),"",C63-C54)</f>
      </c>
      <c r="D64" s="108">
        <f>IF(ISTEXT(D63),"",D63-D54)</f>
      </c>
      <c r="E64" s="108">
        <f>IF(ISTEXT(E63),"",E63-E54)</f>
      </c>
      <c r="F64" s="108">
        <f>IF(ISTEXT(F63),"",F63-F54)</f>
      </c>
      <c r="G64" s="108">
        <f>IF(ISTEXT(G63),"",G63-G54)</f>
      </c>
      <c r="H64" s="108">
        <f>IF(ISTEXT(H63),"",H63-H54)</f>
      </c>
      <c r="I64" s="108">
        <f>IF(ISTEXT(I63),"",I63-I54)</f>
      </c>
      <c r="J64" s="108">
        <f>IF(ISTEXT(J63),"",J63-J54)</f>
      </c>
      <c r="K64" s="108">
        <f>IF(ISTEXT(K63),"",K63-K54)</f>
      </c>
      <c r="L64" s="108">
        <f>IF(ISTEXT(L63),"",L63-L54)</f>
      </c>
      <c r="M64" s="108">
        <f>IF(ISTEXT(M63),"",M63-M54)</f>
      </c>
      <c r="N64" s="108">
        <f>IF(ISTEXT(N63),"",N63-N54)</f>
      </c>
      <c r="O64" s="108">
        <f>IF(ISTEXT(O63),"",O63-O54)</f>
      </c>
      <c r="P64" s="108">
        <f>IF(ISTEXT(P63),"",P63-P54)</f>
      </c>
      <c r="Q64" s="108">
        <f>IF(ISTEXT(Q63),"",Q63-Q54)</f>
      </c>
      <c r="R64" s="108">
        <f>IF(ISTEXT(R63),"",R63-R54)</f>
      </c>
      <c r="S64" s="108" t="str">
        <f>IF(COUNT(C64:R64)=0,"sem lançamento",SUM(C64:R64))</f>
        <v>sem lançamento</v>
      </c>
    </row>
    <row r="65">
      <c r="C65" s="90" t="n"/>
      <c r="D65" s="90" t="n"/>
      <c r="E65" s="90" t="n"/>
      <c r="F65" s="90" t="n"/>
      <c r="G65" s="90" t="n"/>
      <c r="H65" s="90" t="n"/>
      <c r="I65" s="90" t="n"/>
      <c r="J65" s="90" t="n"/>
      <c r="K65" s="90" t="n"/>
      <c r="L65" s="90" t="n"/>
      <c r="M65" s="90" t="n"/>
      <c r="N65" s="90" t="n"/>
      <c r="O65" s="90" t="n"/>
      <c r="P65" s="90" t="n"/>
      <c r="Q65" s="90" t="n"/>
      <c r="R65" s="90" t="n"/>
      <c r="S65" s="90" t="n"/>
    </row>
    <row r="66">
      <c r="A66" s="80" t="inlineStr">
        <is>
          <t>TAF (EMPRESA): as duas obras juntas</t>
        </is>
      </c>
      <c r="B66" s="80" t="n"/>
      <c r="C66" s="109">
        <f>C$21</f>
        <v>46266.0</v>
      </c>
      <c r="D66" s="109">
        <f>D$21</f>
        <v>46296.0</v>
      </c>
      <c r="E66" s="109">
        <f>E$21</f>
        <v>46327.0</v>
      </c>
      <c r="F66" s="109">
        <f>F$21</f>
        <v>46357.0</v>
      </c>
      <c r="G66" s="109">
        <f>G$21</f>
        <v>46388.0</v>
      </c>
      <c r="H66" s="109">
        <f>H$21</f>
        <v>46419.0</v>
      </c>
      <c r="I66" s="109">
        <f>I$21</f>
        <v>46447.0</v>
      </c>
      <c r="J66" s="109">
        <f>J$21</f>
        <v>46478.0</v>
      </c>
      <c r="K66" s="109">
        <f>K$21</f>
        <v>46508.0</v>
      </c>
      <c r="L66" s="109">
        <f>L$21</f>
        <v>46539.0</v>
      </c>
      <c r="M66" s="109">
        <f>M$21</f>
        <v>46569.0</v>
      </c>
      <c r="N66" s="109">
        <f>N$21</f>
        <v>46600.0</v>
      </c>
      <c r="O66" s="109">
        <f>O$21</f>
        <v>46631.0</v>
      </c>
      <c r="P66" s="109">
        <f>P$21</f>
        <v>46661.0</v>
      </c>
      <c r="Q66" s="109">
        <f>Q$21</f>
        <v>46692.0</v>
      </c>
      <c r="R66" s="109">
        <f>R$21</f>
        <v>46722.0</v>
      </c>
      <c r="S66" s="91" t="n"/>
    </row>
    <row r="67">
      <c r="A67" s="81" t="inlineStr">
        <is>
          <t>Medição prevista (R$)</t>
        </is>
      </c>
      <c r="B67" s="94" t="inlineStr">
        <is>
          <t>soma das obras</t>
        </is>
      </c>
      <c r="C67" s="96">
        <f>C23+C45</f>
        <v>0</v>
      </c>
      <c r="D67" s="96">
        <f>D23+D45</f>
        <v>1181684.09</v>
      </c>
      <c r="E67" s="96">
        <f>E23+E45</f>
        <v>1076138.47</v>
      </c>
      <c r="F67" s="96">
        <f>F23+F45</f>
        <v>725138.76</v>
      </c>
      <c r="G67" s="96">
        <f>G23+G45</f>
        <v>1515129.91</v>
      </c>
      <c r="H67" s="96">
        <f>H23+H45</f>
        <v>521035.28</v>
      </c>
      <c r="I67" s="96">
        <f>I23+I45</f>
        <v>928217.22</v>
      </c>
      <c r="J67" s="96">
        <f>J23+J45</f>
        <v>1448258.45</v>
      </c>
      <c r="K67" s="96">
        <f>K23+K45</f>
        <v>560560.16</v>
      </c>
      <c r="L67" s="96">
        <f>L23+L45</f>
        <v>415335.92</v>
      </c>
      <c r="M67" s="96">
        <f>M23+M45</f>
        <v>50760.4</v>
      </c>
      <c r="N67" s="96">
        <f>N23+N45</f>
        <v>66927.5</v>
      </c>
      <c r="O67" s="96">
        <f>O23+O45</f>
        <v>2795.67</v>
      </c>
      <c r="P67" s="96">
        <f>P23+P45</f>
        <v>0</v>
      </c>
      <c r="Q67" s="96">
        <f>Q23+Q45</f>
        <v>0</v>
      </c>
      <c r="R67" s="96">
        <f>R23+R45</f>
        <v>0</v>
      </c>
      <c r="S67" s="96">
        <f>IF(COUNT(C67:R67)=0,"sem lançamento",SUM(C67:R67))</f>
        <v>8491981.83</v>
      </c>
    </row>
    <row r="68">
      <c r="A68" s="73" t="inlineStr">
        <is>
          <t>Recebimento bruto previsto</t>
        </is>
      </c>
      <c r="B68" s="77" t="inlineStr">
        <is>
          <t>soma das obras</t>
        </is>
      </c>
      <c r="C68" s="93">
        <f>C25+C47</f>
        <v>0</v>
      </c>
      <c r="D68" s="93">
        <f>D25+D47</f>
        <v>0</v>
      </c>
      <c r="E68" s="93">
        <f>E25+E47</f>
        <v>0</v>
      </c>
      <c r="F68" s="93">
        <f>F25+F47</f>
        <v>2257822.56</v>
      </c>
      <c r="G68" s="93">
        <f>G25+G47</f>
        <v>0</v>
      </c>
      <c r="H68" s="93">
        <f>H25+H47</f>
        <v>725138.76</v>
      </c>
      <c r="I68" s="93">
        <f>I25+I47</f>
        <v>2036165.19</v>
      </c>
      <c r="J68" s="93">
        <f>J25+J47</f>
        <v>313203.86</v>
      </c>
      <c r="K68" s="93">
        <f>K25+K47</f>
        <v>1519026.18</v>
      </c>
      <c r="L68" s="93">
        <f>L25+L47</f>
        <v>797885.67</v>
      </c>
      <c r="M68" s="93">
        <f>M25+M47</f>
        <v>722256.04</v>
      </c>
      <c r="N68" s="93">
        <f>N25+N47</f>
        <v>50760.4</v>
      </c>
      <c r="O68" s="93">
        <f>O25+O47</f>
        <v>66927.5</v>
      </c>
      <c r="P68" s="93">
        <f>P25+P47</f>
        <v>0</v>
      </c>
      <c r="Q68" s="93">
        <f>Q25+Q47</f>
        <v>2795.67</v>
      </c>
      <c r="R68" s="93">
        <f>R25+R47</f>
        <v>0</v>
      </c>
      <c r="S68" s="93">
        <f>IF(COUNT(C68:R68)=0,"sem lançamento",SUM(C68:R68))</f>
        <v>8491981.83</v>
      </c>
    </row>
    <row r="69">
      <c r="A69" s="73" t="inlineStr">
        <is>
          <t>(-) Tributos</t>
        </is>
      </c>
      <c r="B69" s="77" t="inlineStr">
        <is>
          <t>soma das obras</t>
        </is>
      </c>
      <c r="C69" s="93">
        <f>C26+C48</f>
        <v>0</v>
      </c>
      <c r="D69" s="93">
        <f>D26+D48</f>
        <v>0</v>
      </c>
      <c r="E69" s="93">
        <f>E26+E48</f>
        <v>0</v>
      </c>
      <c r="F69" s="93">
        <f>F26+F48</f>
        <v>191914.9176</v>
      </c>
      <c r="G69" s="93">
        <f>G26+G48</f>
        <v>0</v>
      </c>
      <c r="H69" s="93">
        <f>H26+H48</f>
        <v>61636.7946</v>
      </c>
      <c r="I69" s="93">
        <f>I26+I48</f>
        <v>173074.04115</v>
      </c>
      <c r="J69" s="93">
        <f>J26+J48</f>
        <v>26622.3281</v>
      </c>
      <c r="K69" s="93">
        <f>K26+K48</f>
        <v>129117.2253</v>
      </c>
      <c r="L69" s="93">
        <f>L26+L48</f>
        <v>67820.28195</v>
      </c>
      <c r="M69" s="93">
        <f>M26+M48</f>
        <v>61391.7634</v>
      </c>
      <c r="N69" s="93">
        <f>N26+N48</f>
        <v>4314.634</v>
      </c>
      <c r="O69" s="93">
        <f>O26+O48</f>
        <v>5688.8375</v>
      </c>
      <c r="P69" s="93">
        <f>P26+P48</f>
        <v>0</v>
      </c>
      <c r="Q69" s="93">
        <f>Q26+Q48</f>
        <v>237.63195</v>
      </c>
      <c r="R69" s="93">
        <f>R26+R48</f>
        <v>0</v>
      </c>
      <c r="S69" s="93">
        <f>IF(COUNT(C69:R69)=0,"sem lançamento",SUM(C69:R69))</f>
        <v>721818.45555</v>
      </c>
    </row>
    <row r="70">
      <c r="A70" s="81" t="inlineStr">
        <is>
          <t>Entrada líquida de tributos</t>
        </is>
      </c>
      <c r="B70" s="94" t="inlineStr">
        <is>
          <t>soma das obras</t>
        </is>
      </c>
      <c r="C70" s="96">
        <f>C27+C49</f>
        <v>0</v>
      </c>
      <c r="D70" s="96">
        <f>D27+D49</f>
        <v>0</v>
      </c>
      <c r="E70" s="96">
        <f>E27+E49</f>
        <v>0</v>
      </c>
      <c r="F70" s="96">
        <f>F27+F49</f>
        <v>2065907.6424</v>
      </c>
      <c r="G70" s="96">
        <f>G27+G49</f>
        <v>0</v>
      </c>
      <c r="H70" s="96">
        <f>H27+H49</f>
        <v>663501.9654</v>
      </c>
      <c r="I70" s="96">
        <f>I27+I49</f>
        <v>1863091.14885</v>
      </c>
      <c r="J70" s="96">
        <f>J27+J49</f>
        <v>286581.5319</v>
      </c>
      <c r="K70" s="96">
        <f>K27+K49</f>
        <v>1389908.9547</v>
      </c>
      <c r="L70" s="96">
        <f>L27+L49</f>
        <v>730065.38805</v>
      </c>
      <c r="M70" s="96">
        <f>M27+M49</f>
        <v>660864.2766</v>
      </c>
      <c r="N70" s="96">
        <f>N27+N49</f>
        <v>46445.766</v>
      </c>
      <c r="O70" s="96">
        <f>O27+O49</f>
        <v>61238.6625</v>
      </c>
      <c r="P70" s="96">
        <f>P27+P49</f>
        <v>0</v>
      </c>
      <c r="Q70" s="96">
        <f>Q27+Q49</f>
        <v>2558.03805</v>
      </c>
      <c r="R70" s="96">
        <f>R27+R49</f>
        <v>0</v>
      </c>
      <c r="S70" s="96">
        <f>IF(COUNT(C70:R70)=0,"sem lançamento",SUM(C70:R70))</f>
        <v>7770163.37445</v>
      </c>
    </row>
    <row r="71">
      <c r="A71" s="81" t="inlineStr">
        <is>
          <t>Saídas previstas (total)</t>
        </is>
      </c>
      <c r="B71" s="94" t="inlineStr">
        <is>
          <t>soma das obras</t>
        </is>
      </c>
      <c r="C71" s="96">
        <f>C32+C54</f>
        <v>55670.76</v>
      </c>
      <c r="D71" s="96">
        <f>D32+D54</f>
        <v>794498</v>
      </c>
      <c r="E71" s="96">
        <f>E32+E54</f>
        <v>859795.28</v>
      </c>
      <c r="F71" s="96">
        <f>F32+F54</f>
        <v>811829.7</v>
      </c>
      <c r="G71" s="96">
        <f>G32+G54</f>
        <v>869482.92</v>
      </c>
      <c r="H71" s="96">
        <f>H32+H54</f>
        <v>593454.29</v>
      </c>
      <c r="I71" s="96">
        <f>I32+I54</f>
        <v>686692.88</v>
      </c>
      <c r="J71" s="96">
        <f>J32+J54</f>
        <v>554799.79</v>
      </c>
      <c r="K71" s="96">
        <f>K32+K54</f>
        <v>854835.72</v>
      </c>
      <c r="L71" s="96">
        <f>L32+L54</f>
        <v>292769.23</v>
      </c>
      <c r="M71" s="96">
        <f>M32+M54</f>
        <v>237629.3</v>
      </c>
      <c r="N71" s="96">
        <f>N32+N54</f>
        <v>163887.89</v>
      </c>
      <c r="O71" s="96">
        <f>O32+O54</f>
        <v>42731.16</v>
      </c>
      <c r="P71" s="96">
        <f>P32+P54</f>
        <v>0</v>
      </c>
      <c r="Q71" s="96">
        <f>Q32+Q54</f>
        <v>0</v>
      </c>
      <c r="R71" s="96">
        <f>R32+R54</f>
        <v>0</v>
      </c>
      <c r="S71" s="96">
        <f>IF(COUNT(C71:R71)=0,"sem lançamento",SUM(C71:R71))</f>
        <v>6818076.92</v>
      </c>
    </row>
    <row r="72">
      <c r="A72" s="73" t="inlineStr">
        <is>
          <t>Saldo do mês</t>
        </is>
      </c>
      <c r="B72" s="77" t="inlineStr">
        <is>
          <t>calculado</t>
        </is>
      </c>
      <c r="C72" s="93">
        <f>C70-C71</f>
        <v>-55670.76</v>
      </c>
      <c r="D72" s="93">
        <f>D70-D71</f>
        <v>-794498</v>
      </c>
      <c r="E72" s="93">
        <f>E70-E71</f>
        <v>-859795.28</v>
      </c>
      <c r="F72" s="93">
        <f>F70-F71</f>
        <v>1254077.9424</v>
      </c>
      <c r="G72" s="93">
        <f>G70-G71</f>
        <v>-869482.92</v>
      </c>
      <c r="H72" s="93">
        <f>H70-H71</f>
        <v>70047.6754000001</v>
      </c>
      <c r="I72" s="93">
        <f>I70-I71</f>
        <v>1176398.26885</v>
      </c>
      <c r="J72" s="93">
        <f>J70-J71</f>
        <v>-268218.2581</v>
      </c>
      <c r="K72" s="93">
        <f>K70-K71</f>
        <v>535073.2347</v>
      </c>
      <c r="L72" s="93">
        <f>L70-L71</f>
        <v>437296.15805</v>
      </c>
      <c r="M72" s="93">
        <f>M70-M71</f>
        <v>423234.9766</v>
      </c>
      <c r="N72" s="93">
        <f>N70-N71</f>
        <v>-117442.124</v>
      </c>
      <c r="O72" s="93">
        <f>O70-O71</f>
        <v>18507.5025</v>
      </c>
      <c r="P72" s="93">
        <f>P70-P71</f>
        <v>0</v>
      </c>
      <c r="Q72" s="93">
        <f>Q70-Q71</f>
        <v>2558.03805</v>
      </c>
      <c r="R72" s="93">
        <f>R70-R71</f>
        <v>0</v>
      </c>
      <c r="S72" s="93">
        <f>IF(COUNT(C72:R72)=0,"sem lançamento",SUM(C72:R72))</f>
        <v>952086.45445</v>
      </c>
    </row>
    <row r="73">
      <c r="A73" s="98" t="inlineStr">
        <is>
          <t>Saldo acumulado da empresa</t>
        </is>
      </c>
      <c r="B73" s="99" t="inlineStr">
        <is>
          <t>calculado</t>
        </is>
      </c>
      <c r="C73" s="100">
        <f>SUM($C72:C72)</f>
        <v>-55670.76</v>
      </c>
      <c r="D73" s="100">
        <f>SUM($C72:D72)</f>
        <v>-850168.76</v>
      </c>
      <c r="E73" s="100">
        <f>SUM($C72:E72)</f>
        <v>-1709964.04</v>
      </c>
      <c r="F73" s="100">
        <f>SUM($C72:F72)</f>
        <v>-455886.0976</v>
      </c>
      <c r="G73" s="100">
        <f>SUM($C72:G72)</f>
        <v>-1325369.0176</v>
      </c>
      <c r="H73" s="100">
        <f>SUM($C72:H72)</f>
        <v>-1255321.3422</v>
      </c>
      <c r="I73" s="100">
        <f>SUM($C72:I72)</f>
        <v>-78923.0733499997</v>
      </c>
      <c r="J73" s="100">
        <f>SUM($C72:J72)</f>
        <v>-347141.33145</v>
      </c>
      <c r="K73" s="100">
        <f>SUM($C72:K72)</f>
        <v>187931.90325</v>
      </c>
      <c r="L73" s="100">
        <f>SUM($C72:L72)</f>
        <v>625228.0613</v>
      </c>
      <c r="M73" s="100">
        <f>SUM($C72:M72)</f>
        <v>1048463.0379</v>
      </c>
      <c r="N73" s="100">
        <f>SUM($C72:N72)</f>
        <v>931020.9139</v>
      </c>
      <c r="O73" s="100">
        <f>SUM($C72:O72)</f>
        <v>949528.4164</v>
      </c>
      <c r="P73" s="100">
        <f>SUM($C72:P72)</f>
        <v>949528.4164</v>
      </c>
      <c r="Q73" s="100">
        <f>SUM($C72:Q72)</f>
        <v>952086.45445</v>
      </c>
      <c r="R73" s="100">
        <f>SUM($C72:R72)</f>
        <v>952086.45445</v>
      </c>
      <c r="S73" s="100" t="n"/>
    </row>
    <row r="74">
      <c r="A74" s="73" t="inlineStr">
        <is>
          <t>Medição real lançada (06)</t>
        </is>
      </c>
      <c r="B74" s="77" t="inlineStr">
        <is>
          <t>06. MEDIÇÃO (BM)</t>
        </is>
      </c>
      <c r="C74" s="108" t="str">
        <f>IF(AND(ISTEXT(C36),ISTEXT(C58)),"sem lançamento",N(C36)+N(C58))</f>
        <v>sem lançamento</v>
      </c>
      <c r="D74" s="108" t="str">
        <f>IF(AND(ISTEXT(D36),ISTEXT(D58)),"sem lançamento",N(D36)+N(D58))</f>
        <v>sem lançamento</v>
      </c>
      <c r="E74" s="108" t="str">
        <f>IF(AND(ISTEXT(E36),ISTEXT(E58)),"sem lançamento",N(E36)+N(E58))</f>
        <v>sem lançamento</v>
      </c>
      <c r="F74" s="108" t="str">
        <f>IF(AND(ISTEXT(F36),ISTEXT(F58)),"sem lançamento",N(F36)+N(F58))</f>
        <v>sem lançamento</v>
      </c>
      <c r="G74" s="108" t="str">
        <f>IF(AND(ISTEXT(G36),ISTEXT(G58)),"sem lançamento",N(G36)+N(G58))</f>
        <v>sem lançamento</v>
      </c>
      <c r="H74" s="108" t="str">
        <f>IF(AND(ISTEXT(H36),ISTEXT(H58)),"sem lançamento",N(H36)+N(H58))</f>
        <v>sem lançamento</v>
      </c>
      <c r="I74" s="108" t="str">
        <f>IF(AND(ISTEXT(I36),ISTEXT(I58)),"sem lançamento",N(I36)+N(I58))</f>
        <v>sem lançamento</v>
      </c>
      <c r="J74" s="108" t="str">
        <f>IF(AND(ISTEXT(J36),ISTEXT(J58)),"sem lançamento",N(J36)+N(J58))</f>
        <v>sem lançamento</v>
      </c>
      <c r="K74" s="108" t="str">
        <f>IF(AND(ISTEXT(K36),ISTEXT(K58)),"sem lançamento",N(K36)+N(K58))</f>
        <v>sem lançamento</v>
      </c>
      <c r="L74" s="108" t="str">
        <f>IF(AND(ISTEXT(L36),ISTEXT(L58)),"sem lançamento",N(L36)+N(L58))</f>
        <v>sem lançamento</v>
      </c>
      <c r="M74" s="108" t="str">
        <f>IF(AND(ISTEXT(M36),ISTEXT(M58)),"sem lançamento",N(M36)+N(M58))</f>
        <v>sem lançamento</v>
      </c>
      <c r="N74" s="108" t="str">
        <f>IF(AND(ISTEXT(N36),ISTEXT(N58)),"sem lançamento",N(N36)+N(N58))</f>
        <v>sem lançamento</v>
      </c>
      <c r="O74" s="108" t="str">
        <f>IF(AND(ISTEXT(O36),ISTEXT(O58)),"sem lançamento",N(O36)+N(O58))</f>
        <v>sem lançamento</v>
      </c>
      <c r="P74" s="108" t="str">
        <f>IF(AND(ISTEXT(P36),ISTEXT(P58)),"sem lançamento",N(P36)+N(P58))</f>
        <v>sem lançamento</v>
      </c>
      <c r="Q74" s="108" t="str">
        <f>IF(AND(ISTEXT(Q36),ISTEXT(Q58)),"sem lançamento",N(Q36)+N(Q58))</f>
        <v>sem lançamento</v>
      </c>
      <c r="R74" s="108" t="str">
        <f>IF(AND(ISTEXT(R36),ISTEXT(R58)),"sem lançamento",N(R36)+N(R58))</f>
        <v>sem lançamento</v>
      </c>
      <c r="S74" s="108" t="str">
        <f>IF(COUNT(C74:R74)=0,"sem lançamento",SUM(C74:R74))</f>
        <v>sem lançamento</v>
      </c>
    </row>
    <row r="75">
      <c r="A75" s="73" t="inlineStr">
        <is>
          <t>Faturado (07)</t>
        </is>
      </c>
      <c r="B75" s="77" t="inlineStr">
        <is>
          <t>07. FATURAMENTO</t>
        </is>
      </c>
      <c r="C75" s="108" t="str">
        <f>IF(AND(ISTEXT(C38),ISTEXT(C60)),"sem lançamento",N(C38)+N(C60))</f>
        <v>sem lançamento</v>
      </c>
      <c r="D75" s="108" t="str">
        <f>IF(AND(ISTEXT(D38),ISTEXT(D60)),"sem lançamento",N(D38)+N(D60))</f>
        <v>sem lançamento</v>
      </c>
      <c r="E75" s="108" t="str">
        <f>IF(AND(ISTEXT(E38),ISTEXT(E60)),"sem lançamento",N(E38)+N(E60))</f>
        <v>sem lançamento</v>
      </c>
      <c r="F75" s="108" t="str">
        <f>IF(AND(ISTEXT(F38),ISTEXT(F60)),"sem lançamento",N(F38)+N(F60))</f>
        <v>sem lançamento</v>
      </c>
      <c r="G75" s="108" t="str">
        <f>IF(AND(ISTEXT(G38),ISTEXT(G60)),"sem lançamento",N(G38)+N(G60))</f>
        <v>sem lançamento</v>
      </c>
      <c r="H75" s="108" t="str">
        <f>IF(AND(ISTEXT(H38),ISTEXT(H60)),"sem lançamento",N(H38)+N(H60))</f>
        <v>sem lançamento</v>
      </c>
      <c r="I75" s="108" t="str">
        <f>IF(AND(ISTEXT(I38),ISTEXT(I60)),"sem lançamento",N(I38)+N(I60))</f>
        <v>sem lançamento</v>
      </c>
      <c r="J75" s="108" t="str">
        <f>IF(AND(ISTEXT(J38),ISTEXT(J60)),"sem lançamento",N(J38)+N(J60))</f>
        <v>sem lançamento</v>
      </c>
      <c r="K75" s="108" t="str">
        <f>IF(AND(ISTEXT(K38),ISTEXT(K60)),"sem lançamento",N(K38)+N(K60))</f>
        <v>sem lançamento</v>
      </c>
      <c r="L75" s="108" t="str">
        <f>IF(AND(ISTEXT(L38),ISTEXT(L60)),"sem lançamento",N(L38)+N(L60))</f>
        <v>sem lançamento</v>
      </c>
      <c r="M75" s="108" t="str">
        <f>IF(AND(ISTEXT(M38),ISTEXT(M60)),"sem lançamento",N(M38)+N(M60))</f>
        <v>sem lançamento</v>
      </c>
      <c r="N75" s="108" t="str">
        <f>IF(AND(ISTEXT(N38),ISTEXT(N60)),"sem lançamento",N(N38)+N(N60))</f>
        <v>sem lançamento</v>
      </c>
      <c r="O75" s="108" t="str">
        <f>IF(AND(ISTEXT(O38),ISTEXT(O60)),"sem lançamento",N(O38)+N(O60))</f>
        <v>sem lançamento</v>
      </c>
      <c r="P75" s="108" t="str">
        <f>IF(AND(ISTEXT(P38),ISTEXT(P60)),"sem lançamento",N(P38)+N(P60))</f>
        <v>sem lançamento</v>
      </c>
      <c r="Q75" s="108" t="str">
        <f>IF(AND(ISTEXT(Q38),ISTEXT(Q60)),"sem lançamento",N(Q38)+N(Q60))</f>
        <v>sem lançamento</v>
      </c>
      <c r="R75" s="108" t="str">
        <f>IF(AND(ISTEXT(R38),ISTEXT(R60)),"sem lançamento",N(R38)+N(R60))</f>
        <v>sem lançamento</v>
      </c>
      <c r="S75" s="108" t="str">
        <f>IF(COUNT(C75:R75)=0,"sem lançamento",SUM(C75:R75))</f>
        <v>sem lançamento</v>
      </c>
    </row>
    <row r="76">
      <c r="A76" s="73" t="inlineStr">
        <is>
          <t>Recebido (07)</t>
        </is>
      </c>
      <c r="B76" s="77" t="inlineStr">
        <is>
          <t>07. FATURAMENTO</t>
        </is>
      </c>
      <c r="C76" s="108" t="str">
        <f>IF(AND(ISTEXT(C39),ISTEXT(C61)),"sem lançamento",N(C39)+N(C61))</f>
        <v>sem lançamento</v>
      </c>
      <c r="D76" s="108" t="str">
        <f>IF(AND(ISTEXT(D39),ISTEXT(D61)),"sem lançamento",N(D39)+N(D61))</f>
        <v>sem lançamento</v>
      </c>
      <c r="E76" s="108" t="str">
        <f>IF(AND(ISTEXT(E39),ISTEXT(E61)),"sem lançamento",N(E39)+N(E61))</f>
        <v>sem lançamento</v>
      </c>
      <c r="F76" s="108" t="str">
        <f>IF(AND(ISTEXT(F39),ISTEXT(F61)),"sem lançamento",N(F39)+N(F61))</f>
        <v>sem lançamento</v>
      </c>
      <c r="G76" s="108" t="str">
        <f>IF(AND(ISTEXT(G39),ISTEXT(G61)),"sem lançamento",N(G39)+N(G61))</f>
        <v>sem lançamento</v>
      </c>
      <c r="H76" s="108" t="str">
        <f>IF(AND(ISTEXT(H39),ISTEXT(H61)),"sem lançamento",N(H39)+N(H61))</f>
        <v>sem lançamento</v>
      </c>
      <c r="I76" s="108" t="str">
        <f>IF(AND(ISTEXT(I39),ISTEXT(I61)),"sem lançamento",N(I39)+N(I61))</f>
        <v>sem lançamento</v>
      </c>
      <c r="J76" s="108" t="str">
        <f>IF(AND(ISTEXT(J39),ISTEXT(J61)),"sem lançamento",N(J39)+N(J61))</f>
        <v>sem lançamento</v>
      </c>
      <c r="K76" s="108" t="str">
        <f>IF(AND(ISTEXT(K39),ISTEXT(K61)),"sem lançamento",N(K39)+N(K61))</f>
        <v>sem lançamento</v>
      </c>
      <c r="L76" s="108" t="str">
        <f>IF(AND(ISTEXT(L39),ISTEXT(L61)),"sem lançamento",N(L39)+N(L61))</f>
        <v>sem lançamento</v>
      </c>
      <c r="M76" s="108" t="str">
        <f>IF(AND(ISTEXT(M39),ISTEXT(M61)),"sem lançamento",N(M39)+N(M61))</f>
        <v>sem lançamento</v>
      </c>
      <c r="N76" s="108" t="str">
        <f>IF(AND(ISTEXT(N39),ISTEXT(N61)),"sem lançamento",N(N39)+N(N61))</f>
        <v>sem lançamento</v>
      </c>
      <c r="O76" s="108" t="str">
        <f>IF(AND(ISTEXT(O39),ISTEXT(O61)),"sem lançamento",N(O39)+N(O61))</f>
        <v>sem lançamento</v>
      </c>
      <c r="P76" s="108" t="str">
        <f>IF(AND(ISTEXT(P39),ISTEXT(P61)),"sem lançamento",N(P39)+N(P61))</f>
        <v>sem lançamento</v>
      </c>
      <c r="Q76" s="108" t="str">
        <f>IF(AND(ISTEXT(Q39),ISTEXT(Q61)),"sem lançamento",N(Q39)+N(Q61))</f>
        <v>sem lançamento</v>
      </c>
      <c r="R76" s="108" t="str">
        <f>IF(AND(ISTEXT(R39),ISTEXT(R61)),"sem lançamento",N(R39)+N(R61))</f>
        <v>sem lançamento</v>
      </c>
      <c r="S76" s="108" t="str">
        <f>IF(COUNT(C76:R76)=0,"sem lançamento",SUM(C76:R76))</f>
        <v>sem lançamento</v>
      </c>
    </row>
    <row r="77">
      <c r="A77" s="73" t="inlineStr">
        <is>
          <t>Custos pagos (08, por pagamento)</t>
        </is>
      </c>
      <c r="B77" s="77" t="inlineStr">
        <is>
          <t>08. CUSTOS</t>
        </is>
      </c>
      <c r="C77" s="108" t="str">
        <f>IF(AND(ISTEXT(C40),ISTEXT(C62)),"sem lançamento",N(C40)+N(C62))</f>
        <v>sem lançamento</v>
      </c>
      <c r="D77" s="108" t="str">
        <f>IF(AND(ISTEXT(D40),ISTEXT(D62)),"sem lançamento",N(D40)+N(D62))</f>
        <v>sem lançamento</v>
      </c>
      <c r="E77" s="108" t="str">
        <f>IF(AND(ISTEXT(E40),ISTEXT(E62)),"sem lançamento",N(E40)+N(E62))</f>
        <v>sem lançamento</v>
      </c>
      <c r="F77" s="108" t="str">
        <f>IF(AND(ISTEXT(F40),ISTEXT(F62)),"sem lançamento",N(F40)+N(F62))</f>
        <v>sem lançamento</v>
      </c>
      <c r="G77" s="108" t="str">
        <f>IF(AND(ISTEXT(G40),ISTEXT(G62)),"sem lançamento",N(G40)+N(G62))</f>
        <v>sem lançamento</v>
      </c>
      <c r="H77" s="108" t="str">
        <f>IF(AND(ISTEXT(H40),ISTEXT(H62)),"sem lançamento",N(H40)+N(H62))</f>
        <v>sem lançamento</v>
      </c>
      <c r="I77" s="108" t="str">
        <f>IF(AND(ISTEXT(I40),ISTEXT(I62)),"sem lançamento",N(I40)+N(I62))</f>
        <v>sem lançamento</v>
      </c>
      <c r="J77" s="108" t="str">
        <f>IF(AND(ISTEXT(J40),ISTEXT(J62)),"sem lançamento",N(J40)+N(J62))</f>
        <v>sem lançamento</v>
      </c>
      <c r="K77" s="108" t="str">
        <f>IF(AND(ISTEXT(K40),ISTEXT(K62)),"sem lançamento",N(K40)+N(K62))</f>
        <v>sem lançamento</v>
      </c>
      <c r="L77" s="108" t="str">
        <f>IF(AND(ISTEXT(L40),ISTEXT(L62)),"sem lançamento",N(L40)+N(L62))</f>
        <v>sem lançamento</v>
      </c>
      <c r="M77" s="108" t="str">
        <f>IF(AND(ISTEXT(M40),ISTEXT(M62)),"sem lançamento",N(M40)+N(M62))</f>
        <v>sem lançamento</v>
      </c>
      <c r="N77" s="108" t="str">
        <f>IF(AND(ISTEXT(N40),ISTEXT(N62)),"sem lançamento",N(N40)+N(N62))</f>
        <v>sem lançamento</v>
      </c>
      <c r="O77" s="108" t="str">
        <f>IF(AND(ISTEXT(O40),ISTEXT(O62)),"sem lançamento",N(O40)+N(O62))</f>
        <v>sem lançamento</v>
      </c>
      <c r="P77" s="108" t="str">
        <f>IF(AND(ISTEXT(P40),ISTEXT(P62)),"sem lançamento",N(P40)+N(P62))</f>
        <v>sem lançamento</v>
      </c>
      <c r="Q77" s="108" t="str">
        <f>IF(AND(ISTEXT(Q40),ISTEXT(Q62)),"sem lançamento",N(Q40)+N(Q62))</f>
        <v>sem lançamento</v>
      </c>
      <c r="R77" s="108" t="str">
        <f>IF(AND(ISTEXT(R40),ISTEXT(R62)),"sem lançamento",N(R40)+N(R62))</f>
        <v>sem lançamento</v>
      </c>
      <c r="S77" s="108" t="str">
        <f>IF(COUNT(C77:R77)=0,"sem lançamento",SUM(C77:R77))</f>
        <v>sem lançamento</v>
      </c>
    </row>
    <row r="78">
      <c r="A78" s="73" t="inlineStr">
        <is>
          <t>Custo lançado (08, por competência)</t>
        </is>
      </c>
      <c r="B78" s="77" t="inlineStr">
        <is>
          <t>08. CUSTOS</t>
        </is>
      </c>
      <c r="C78" s="108" t="str">
        <f>IF(AND(ISTEXT(C41),ISTEXT(C63)),"sem lançamento",N(C41)+N(C63))</f>
        <v>sem lançamento</v>
      </c>
      <c r="D78" s="108" t="str">
        <f>IF(AND(ISTEXT(D41),ISTEXT(D63)),"sem lançamento",N(D41)+N(D63))</f>
        <v>sem lançamento</v>
      </c>
      <c r="E78" s="108" t="str">
        <f>IF(AND(ISTEXT(E41),ISTEXT(E63)),"sem lançamento",N(E41)+N(E63))</f>
        <v>sem lançamento</v>
      </c>
      <c r="F78" s="108" t="str">
        <f>IF(AND(ISTEXT(F41),ISTEXT(F63)),"sem lançamento",N(F41)+N(F63))</f>
        <v>sem lançamento</v>
      </c>
      <c r="G78" s="108" t="str">
        <f>IF(AND(ISTEXT(G41),ISTEXT(G63)),"sem lançamento",N(G41)+N(G63))</f>
        <v>sem lançamento</v>
      </c>
      <c r="H78" s="108" t="str">
        <f>IF(AND(ISTEXT(H41),ISTEXT(H63)),"sem lançamento",N(H41)+N(H63))</f>
        <v>sem lançamento</v>
      </c>
      <c r="I78" s="108" t="str">
        <f>IF(AND(ISTEXT(I41),ISTEXT(I63)),"sem lançamento",N(I41)+N(I63))</f>
        <v>sem lançamento</v>
      </c>
      <c r="J78" s="108" t="str">
        <f>IF(AND(ISTEXT(J41),ISTEXT(J63)),"sem lançamento",N(J41)+N(J63))</f>
        <v>sem lançamento</v>
      </c>
      <c r="K78" s="108" t="str">
        <f>IF(AND(ISTEXT(K41),ISTEXT(K63)),"sem lançamento",N(K41)+N(K63))</f>
        <v>sem lançamento</v>
      </c>
      <c r="L78" s="108" t="str">
        <f>IF(AND(ISTEXT(L41),ISTEXT(L63)),"sem lançamento",N(L41)+N(L63))</f>
        <v>sem lançamento</v>
      </c>
      <c r="M78" s="108" t="str">
        <f>IF(AND(ISTEXT(M41),ISTEXT(M63)),"sem lançamento",N(M41)+N(M63))</f>
        <v>sem lançamento</v>
      </c>
      <c r="N78" s="108" t="str">
        <f>IF(AND(ISTEXT(N41),ISTEXT(N63)),"sem lançamento",N(N41)+N(N63))</f>
        <v>sem lançamento</v>
      </c>
      <c r="O78" s="108" t="str">
        <f>IF(AND(ISTEXT(O41),ISTEXT(O63)),"sem lançamento",N(O41)+N(O63))</f>
        <v>sem lançamento</v>
      </c>
      <c r="P78" s="108" t="str">
        <f>IF(AND(ISTEXT(P41),ISTEXT(P63)),"sem lançamento",N(P41)+N(P63))</f>
        <v>sem lançamento</v>
      </c>
      <c r="Q78" s="108" t="str">
        <f>IF(AND(ISTEXT(Q41),ISTEXT(Q63)),"sem lançamento",N(Q41)+N(Q63))</f>
        <v>sem lançamento</v>
      </c>
      <c r="R78" s="108" t="str">
        <f>IF(AND(ISTEXT(R41),ISTEXT(R63)),"sem lançamento",N(R41)+N(R63))</f>
        <v>sem lançamento</v>
      </c>
      <c r="S78" s="108" t="str">
        <f>IF(COUNT(C78:R78)=0,"sem lançamento",SUM(C78:R78))</f>
        <v>sem lançamento</v>
      </c>
    </row>
    <row r="79">
      <c r="A79" s="73" t="inlineStr">
        <is>
          <t>Reajuste da 342 (cenário da C11, fora do caso base)</t>
        </is>
      </c>
      <c r="B79" s="77" t="inlineStr">
        <is>
          <t>C11 e D11</t>
        </is>
      </c>
      <c r="C79" s="93">
        <f>IF($C$11="SIM",C25*$D$11*(1-$C$10),0)</f>
        <v>0</v>
      </c>
      <c r="D79" s="93">
        <f>IF($C$11="SIM",D25*$D$11*(1-$C$10),0)</f>
        <v>0</v>
      </c>
      <c r="E79" s="93">
        <f>IF($C$11="SIM",E25*$D$11*(1-$C$10),0)</f>
        <v>0</v>
      </c>
      <c r="F79" s="93">
        <f>IF($C$11="SIM",F25*$D$11*(1-$C$10),0)</f>
        <v>0</v>
      </c>
      <c r="G79" s="93">
        <f>IF($C$11="SIM",G25*$D$11*(1-$C$10),0)</f>
        <v>0</v>
      </c>
      <c r="H79" s="93">
        <f>IF($C$11="SIM",H25*$D$11*(1-$C$10),0)</f>
        <v>0</v>
      </c>
      <c r="I79" s="93">
        <f>IF($C$11="SIM",I25*$D$11*(1-$C$10),0)</f>
        <v>0</v>
      </c>
      <c r="J79" s="93">
        <f>IF($C$11="SIM",J25*$D$11*(1-$C$10),0)</f>
        <v>0</v>
      </c>
      <c r="K79" s="93">
        <f>IF($C$11="SIM",K25*$D$11*(1-$C$10),0)</f>
        <v>0</v>
      </c>
      <c r="L79" s="93">
        <f>IF($C$11="SIM",L25*$D$11*(1-$C$10),0)</f>
        <v>0</v>
      </c>
      <c r="M79" s="93">
        <f>IF($C$11="SIM",M25*$D$11*(1-$C$10),0)</f>
        <v>0</v>
      </c>
      <c r="N79" s="93">
        <f>IF($C$11="SIM",N25*$D$11*(1-$C$10),0)</f>
        <v>0</v>
      </c>
      <c r="O79" s="93">
        <f>IF($C$11="SIM",O25*$D$11*(1-$C$10),0)</f>
        <v>0</v>
      </c>
      <c r="P79" s="93">
        <f>IF($C$11="SIM",P25*$D$11*(1-$C$10),0)</f>
        <v>0</v>
      </c>
      <c r="Q79" s="93">
        <f>IF($C$11="SIM",Q25*$D$11*(1-$C$10),0)</f>
        <v>0</v>
      </c>
      <c r="R79" s="93">
        <f>IF($C$11="SIM",R25*$D$11*(1-$C$10),0)</f>
        <v>0</v>
      </c>
      <c r="S79" s="93">
        <f>SUM(C79:R79)</f>
        <v>0</v>
      </c>
    </row>
    <row r="80">
      <c r="A80" s="98" t="inlineStr">
        <is>
          <t>Saldo acumulado da empresa com reajuste</t>
        </is>
      </c>
      <c r="B80" s="99" t="inlineStr">
        <is>
          <t>calculado</t>
        </is>
      </c>
      <c r="C80" s="100">
        <f>C73+SUM($C79:C79)</f>
        <v>-55670.76</v>
      </c>
      <c r="D80" s="100">
        <f>D73+SUM($C79:D79)</f>
        <v>-850168.76</v>
      </c>
      <c r="E80" s="100">
        <f>E73+SUM($C79:E79)</f>
        <v>-1709964.04</v>
      </c>
      <c r="F80" s="100">
        <f>F73+SUM($C79:F79)</f>
        <v>-455886.0976</v>
      </c>
      <c r="G80" s="100">
        <f>G73+SUM($C79:G79)</f>
        <v>-1325369.0176</v>
      </c>
      <c r="H80" s="100">
        <f>H73+SUM($C79:H79)</f>
        <v>-1255321.3422</v>
      </c>
      <c r="I80" s="100">
        <f>I73+SUM($C79:I79)</f>
        <v>-78923.0733499997</v>
      </c>
      <c r="J80" s="100">
        <f>J73+SUM($C79:J79)</f>
        <v>-347141.33145</v>
      </c>
      <c r="K80" s="100">
        <f>K73+SUM($C79:K79)</f>
        <v>187931.90325</v>
      </c>
      <c r="L80" s="100">
        <f>L73+SUM($C79:L79)</f>
        <v>625228.0613</v>
      </c>
      <c r="M80" s="100">
        <f>M73+SUM($C79:M79)</f>
        <v>1048463.0379</v>
      </c>
      <c r="N80" s="100">
        <f>N73+SUM($C79:N79)</f>
        <v>931020.9139</v>
      </c>
      <c r="O80" s="100">
        <f>O73+SUM($C79:O79)</f>
        <v>949528.4164</v>
      </c>
      <c r="P80" s="100">
        <f>P73+SUM($C79:P79)</f>
        <v>949528.4164</v>
      </c>
      <c r="Q80" s="100">
        <f>Q73+SUM($C79:Q79)</f>
        <v>952086.45445</v>
      </c>
      <c r="R80" s="100">
        <f>R73+SUM($C79:R79)</f>
        <v>952086.45445</v>
      </c>
      <c r="S80" s="100" t="n"/>
    </row>
    <row r="81">
      <c r="A81" s="80" t="inlineStr">
        <is>
          <t>CENÁRIOS DO PIOR SALDO (R$): atraso extra de recebimento (linhas) x glosa da medição (colunas). Fórmula direta, sem Tabela de Dados.</t>
        </is>
      </c>
      <c r="B81" s="80" t="n"/>
      <c r="C81" s="91" t="n"/>
      <c r="D81" s="91" t="n"/>
      <c r="E81" s="91" t="n"/>
      <c r="F81" s="91" t="n"/>
      <c r="G81" s="91" t="n"/>
      <c r="H81" s="91" t="n"/>
      <c r="I81" s="91" t="n"/>
      <c r="J81" s="91" t="n"/>
      <c r="K81" s="91" t="n"/>
      <c r="L81" s="91" t="n"/>
      <c r="M81" s="91" t="n"/>
      <c r="N81" s="91" t="n"/>
      <c r="O81" s="91" t="n"/>
      <c r="P81" s="91" t="n"/>
      <c r="Q81" s="91" t="n"/>
      <c r="R81" s="91" t="n"/>
      <c r="S81" s="91" t="n"/>
    </row>
    <row r="82">
      <c r="A82" s="75" t="inlineStr">
        <is>
          <t>Cada célula é recalculada com seu próprio atraso e glosa (os de C8 e C9 não entram aqui). A base é a regra de cada contrato (linhas 24 e 46); +15 e +30 dias são estresse sobre ela. Folha, estrutura e custo não mudam.</t>
        </is>
      </c>
      <c r="C82" s="90" t="n"/>
      <c r="D82" s="90" t="n"/>
      <c r="E82" s="90" t="n"/>
      <c r="F82" s="90" t="n"/>
      <c r="G82" s="90" t="n"/>
      <c r="H82" s="90" t="n"/>
      <c r="I82" s="90" t="n"/>
      <c r="J82" s="90" t="n"/>
      <c r="K82" s="90" t="n"/>
      <c r="L82" s="90" t="n"/>
      <c r="M82" s="90" t="n"/>
      <c r="N82" s="90" t="n"/>
      <c r="O82" s="90" t="n"/>
      <c r="P82" s="90" t="n"/>
      <c r="Q82" s="90" t="n"/>
      <c r="R82" s="90" t="n"/>
      <c r="S82" s="90" t="n"/>
    </row>
    <row r="83">
      <c r="C83" s="90" t="n"/>
      <c r="D83" s="90" t="n"/>
      <c r="E83" s="90" t="n"/>
      <c r="F83" s="90" t="n"/>
      <c r="G83" s="90" t="n"/>
      <c r="H83" s="90" t="n"/>
      <c r="I83" s="90" t="n"/>
      <c r="J83" s="90" t="n"/>
      <c r="K83" s="90" t="n"/>
      <c r="L83" s="90" t="n"/>
      <c r="M83" s="90" t="n"/>
      <c r="N83" s="90" t="n"/>
      <c r="O83" s="90" t="n"/>
      <c r="P83" s="90" t="n"/>
      <c r="Q83" s="90" t="n"/>
      <c r="R83" s="90" t="n"/>
      <c r="S83" s="90" t="n"/>
    </row>
    <row r="84" ht="51" customHeight="1" s="71">
      <c r="A84" s="88" t="inlineStr">
        <is>
          <t>TAF (empresa): pior saldo</t>
        </is>
      </c>
      <c r="B84" s="88" t="inlineStr">
        <is>
          <t>Atraso (dias)</t>
        </is>
      </c>
      <c r="C84" s="106" t="n">
        <v>0</v>
      </c>
      <c r="D84" s="106" t="n">
        <v>0.1</v>
      </c>
      <c r="E84" s="106" t="n">
        <v>0.2</v>
      </c>
      <c r="F84" s="90" t="n"/>
      <c r="G84" s="90" t="n"/>
      <c r="H84" s="90" t="n"/>
      <c r="I84" s="90" t="n"/>
      <c r="J84" s="90" t="n"/>
      <c r="K84" s="90" t="n"/>
      <c r="L84" s="90" t="n"/>
      <c r="M84" s="90" t="n"/>
      <c r="N84" s="90" t="n"/>
      <c r="O84" s="90" t="n"/>
      <c r="P84" s="90" t="n"/>
      <c r="Q84" s="90" t="n"/>
      <c r="R84" s="90" t="n"/>
      <c r="S84" s="90" t="n"/>
    </row>
    <row r="85">
      <c r="A85" s="73" t="inlineStr">
        <is>
          <t>Sem atraso extra</t>
        </is>
      </c>
      <c r="B85" s="107" t="n">
        <v>0</v>
      </c>
      <c r="C85" s="100">
        <f>MIN(C111:R111)</f>
        <v>-1709964.04</v>
      </c>
      <c r="D85" s="100">
        <f>MIN(C116:R116)</f>
        <v>-1709964.04</v>
      </c>
      <c r="E85" s="100">
        <f>MIN(C121:R121)</f>
        <v>-1801203.26376</v>
      </c>
      <c r="F85" s="90" t="n"/>
      <c r="G85" s="90" t="n"/>
      <c r="H85" s="90" t="n"/>
      <c r="I85" s="90" t="n"/>
      <c r="J85" s="90" t="n"/>
      <c r="K85" s="90" t="n"/>
      <c r="L85" s="90" t="n"/>
      <c r="M85" s="90" t="n"/>
      <c r="N85" s="90" t="n"/>
      <c r="O85" s="90" t="n"/>
      <c r="P85" s="90" t="n"/>
      <c r="Q85" s="90" t="n"/>
      <c r="R85" s="90" t="n"/>
      <c r="S85" s="90" t="n"/>
    </row>
    <row r="86">
      <c r="A86" s="73" t="inlineStr">
        <is>
          <t>+15 dias</t>
        </is>
      </c>
      <c r="B86" s="107" t="n">
        <v>15</v>
      </c>
      <c r="C86" s="100">
        <f>MIN(C126:R126)</f>
        <v>-1709964.04</v>
      </c>
      <c r="D86" s="100">
        <f>MIN(C131:R131)</f>
        <v>-1709964.04</v>
      </c>
      <c r="E86" s="100">
        <f>MIN(C136:R136)</f>
        <v>-1801203.26376</v>
      </c>
      <c r="F86" s="90" t="n"/>
      <c r="G86" s="90" t="n"/>
      <c r="H86" s="90" t="n"/>
      <c r="I86" s="90" t="n"/>
      <c r="J86" s="90" t="n"/>
      <c r="K86" s="90" t="n"/>
      <c r="L86" s="90" t="n"/>
      <c r="M86" s="90" t="n"/>
      <c r="N86" s="90" t="n"/>
      <c r="O86" s="90" t="n"/>
      <c r="P86" s="90" t="n"/>
      <c r="Q86" s="90" t="n"/>
      <c r="R86" s="90" t="n"/>
      <c r="S86" s="90" t="n"/>
    </row>
    <row r="87">
      <c r="A87" s="73" t="inlineStr">
        <is>
          <t>+30 dias</t>
        </is>
      </c>
      <c r="B87" s="105" t="n">
        <v>30</v>
      </c>
      <c r="C87" s="100">
        <f>MIN(C141:R141)</f>
        <v>-2521793.74</v>
      </c>
      <c r="D87" s="100">
        <f>MIN(C146:R146)</f>
        <v>-2521793.74</v>
      </c>
      <c r="E87" s="100">
        <f>MIN(C151:R151)</f>
        <v>-2521793.74</v>
      </c>
      <c r="F87" s="90" t="n"/>
      <c r="G87" s="90" t="n"/>
      <c r="H87" s="90" t="n"/>
      <c r="I87" s="90" t="n"/>
      <c r="J87" s="90" t="n"/>
      <c r="K87" s="90" t="n"/>
      <c r="L87" s="90" t="n"/>
      <c r="M87" s="90" t="n"/>
      <c r="N87" s="90" t="n"/>
      <c r="O87" s="90" t="n"/>
      <c r="P87" s="90" t="n"/>
      <c r="Q87" s="90" t="n"/>
      <c r="R87" s="90" t="n"/>
      <c r="S87" s="90" t="n"/>
    </row>
    <row r="88">
      <c r="C88" s="90" t="n"/>
      <c r="D88" s="90" t="n"/>
      <c r="E88" s="90" t="n"/>
      <c r="F88" s="90" t="n"/>
      <c r="G88" s="90" t="n"/>
      <c r="H88" s="90" t="n"/>
      <c r="I88" s="90" t="n"/>
      <c r="J88" s="90" t="n"/>
      <c r="K88" s="90" t="n"/>
      <c r="L88" s="90" t="n"/>
      <c r="M88" s="90" t="n"/>
      <c r="N88" s="90" t="n"/>
      <c r="O88" s="90" t="n"/>
      <c r="P88" s="90" t="n"/>
      <c r="Q88" s="90" t="n"/>
      <c r="R88" s="90" t="n"/>
      <c r="S88" s="90" t="n"/>
    </row>
    <row r="89">
      <c r="C89" s="90" t="n"/>
      <c r="D89" s="90" t="n"/>
      <c r="E89" s="90" t="n"/>
      <c r="F89" s="90" t="n"/>
      <c r="G89" s="90" t="n"/>
      <c r="H89" s="90" t="n"/>
      <c r="I89" s="90" t="n"/>
      <c r="J89" s="90" t="n"/>
      <c r="K89" s="90" t="n"/>
      <c r="L89" s="90" t="n"/>
      <c r="M89" s="90" t="n"/>
      <c r="N89" s="90" t="n"/>
      <c r="O89" s="90" t="n"/>
      <c r="P89" s="90" t="n"/>
      <c r="Q89" s="90" t="n"/>
      <c r="R89" s="90" t="n"/>
      <c r="S89" s="90" t="n"/>
    </row>
    <row r="90">
      <c r="C90" s="90" t="n"/>
      <c r="D90" s="90" t="n"/>
      <c r="E90" s="90" t="n"/>
      <c r="F90" s="90" t="n"/>
      <c r="G90" s="90" t="n"/>
      <c r="H90" s="90" t="n"/>
      <c r="I90" s="90" t="n"/>
      <c r="J90" s="90" t="n"/>
      <c r="K90" s="90" t="n"/>
      <c r="L90" s="90" t="n"/>
      <c r="M90" s="90" t="n"/>
      <c r="N90" s="90" t="n"/>
      <c r="O90" s="90" t="n"/>
      <c r="P90" s="90" t="n"/>
      <c r="Q90" s="90" t="n"/>
      <c r="R90" s="90" t="n"/>
      <c r="S90" s="90" t="n"/>
    </row>
    <row r="91" ht="38.25" customHeight="1" s="71">
      <c r="A91" s="88" t="inlineStr">
        <is>
          <t>Obra 342: pior saldo</t>
        </is>
      </c>
      <c r="B91" s="88" t="inlineStr">
        <is>
          <t>Atraso (dias)</t>
        </is>
      </c>
      <c r="C91" s="104">
        <f>C84</f>
        <v>0</v>
      </c>
      <c r="D91" s="104">
        <f>D84</f>
        <v>0.1</v>
      </c>
      <c r="E91" s="104">
        <f>E84</f>
        <v>0.2</v>
      </c>
      <c r="F91" s="90" t="n"/>
      <c r="G91" s="90" t="n"/>
      <c r="H91" s="90" t="n"/>
      <c r="I91" s="90" t="n"/>
      <c r="J91" s="90" t="n"/>
      <c r="K91" s="90" t="n"/>
      <c r="L91" s="90" t="n"/>
      <c r="M91" s="90" t="n"/>
      <c r="N91" s="90" t="n"/>
      <c r="O91" s="90" t="n"/>
      <c r="P91" s="90" t="n"/>
      <c r="Q91" s="90" t="n"/>
      <c r="R91" s="90" t="n"/>
      <c r="S91" s="90" t="n"/>
    </row>
    <row r="92">
      <c r="A92" s="73" t="inlineStr">
        <is>
          <t>Sem atraso extra</t>
        </is>
      </c>
      <c r="B92" s="81">
        <f>B85</f>
        <v>0</v>
      </c>
      <c r="C92" s="100">
        <f>MIN(C108:R108)</f>
        <v>-1151141.8869</v>
      </c>
      <c r="D92" s="100">
        <f>MIN(C113:R113)</f>
        <v>-1176526.28721</v>
      </c>
      <c r="E92" s="100">
        <f>MIN(C118:R118)</f>
        <v>-1201910.68752</v>
      </c>
      <c r="F92" s="90" t="n"/>
      <c r="G92" s="90" t="n"/>
      <c r="H92" s="90" t="n"/>
      <c r="I92" s="90" t="n"/>
      <c r="J92" s="90" t="n"/>
      <c r="K92" s="90" t="n"/>
      <c r="L92" s="90" t="n"/>
      <c r="M92" s="90" t="n"/>
      <c r="N92" s="90" t="n"/>
      <c r="O92" s="90" t="n"/>
      <c r="P92" s="90" t="n"/>
      <c r="Q92" s="90" t="n"/>
      <c r="R92" s="90" t="n"/>
      <c r="S92" s="90" t="n"/>
    </row>
    <row r="93">
      <c r="A93" s="73" t="inlineStr">
        <is>
          <t>+15 dias</t>
        </is>
      </c>
      <c r="B93" s="81">
        <f>B86</f>
        <v>15</v>
      </c>
      <c r="C93" s="100">
        <f>MIN(C123:R123)</f>
        <v>-1151141.8869</v>
      </c>
      <c r="D93" s="100">
        <f>MIN(C128:R128)</f>
        <v>-1187077.215835</v>
      </c>
      <c r="E93" s="100">
        <f>MIN(C133:R133)</f>
        <v>-1330228.81852</v>
      </c>
      <c r="F93" s="90" t="n"/>
      <c r="G93" s="90" t="n"/>
      <c r="H93" s="90" t="n"/>
      <c r="I93" s="90" t="n"/>
      <c r="J93" s="90" t="n"/>
      <c r="K93" s="90" t="n"/>
      <c r="L93" s="90" t="n"/>
      <c r="M93" s="90" t="n"/>
      <c r="N93" s="90" t="n"/>
      <c r="O93" s="90" t="n"/>
      <c r="P93" s="90" t="n"/>
      <c r="Q93" s="90" t="n"/>
      <c r="R93" s="90" t="n"/>
      <c r="S93" s="90" t="n"/>
    </row>
    <row r="94">
      <c r="A94" s="73" t="inlineStr">
        <is>
          <t>+30 dias</t>
        </is>
      </c>
      <c r="B94" s="81">
        <f>B87</f>
        <v>30</v>
      </c>
      <c r="C94" s="100">
        <f>MIN(C138:R138)</f>
        <v>-1232757.6543</v>
      </c>
      <c r="D94" s="100">
        <f>MIN(C143:R143)</f>
        <v>-1249980.47787</v>
      </c>
      <c r="E94" s="100">
        <f>MIN(C148:R148)</f>
        <v>-1330228.81852</v>
      </c>
      <c r="F94" s="90" t="n"/>
      <c r="G94" s="90" t="n"/>
      <c r="H94" s="90" t="n"/>
      <c r="I94" s="90" t="n"/>
      <c r="J94" s="90" t="n"/>
      <c r="K94" s="90" t="n"/>
      <c r="L94" s="90" t="n"/>
      <c r="M94" s="90" t="n"/>
      <c r="N94" s="90" t="n"/>
      <c r="O94" s="90" t="n"/>
      <c r="P94" s="90" t="n"/>
      <c r="Q94" s="90" t="n"/>
      <c r="R94" s="90" t="n"/>
      <c r="S94" s="90" t="n"/>
    </row>
    <row r="95">
      <c r="C95" s="90" t="n"/>
      <c r="D95" s="90" t="n"/>
      <c r="E95" s="90" t="n"/>
      <c r="F95" s="90" t="n"/>
      <c r="G95" s="90" t="n"/>
      <c r="H95" s="90" t="n"/>
      <c r="I95" s="90" t="n"/>
      <c r="J95" s="90" t="n"/>
      <c r="K95" s="90" t="n"/>
      <c r="L95" s="90" t="n"/>
      <c r="M95" s="90" t="n"/>
      <c r="N95" s="90" t="n"/>
      <c r="O95" s="90" t="n"/>
      <c r="P95" s="90" t="n"/>
      <c r="Q95" s="90" t="n"/>
      <c r="R95" s="90" t="n"/>
      <c r="S95" s="90" t="n"/>
    </row>
    <row r="96">
      <c r="C96" s="90" t="n"/>
      <c r="D96" s="90" t="n"/>
      <c r="E96" s="90" t="n"/>
      <c r="F96" s="90" t="n"/>
      <c r="G96" s="90" t="n"/>
      <c r="H96" s="90" t="n"/>
      <c r="I96" s="90" t="n"/>
      <c r="J96" s="90" t="n"/>
      <c r="K96" s="90" t="n"/>
      <c r="L96" s="90" t="n"/>
      <c r="M96" s="90" t="n"/>
      <c r="N96" s="90" t="n"/>
      <c r="O96" s="90" t="n"/>
      <c r="P96" s="90" t="n"/>
      <c r="Q96" s="90" t="n"/>
      <c r="R96" s="90" t="n"/>
      <c r="S96" s="90" t="n"/>
    </row>
    <row r="97">
      <c r="C97" s="90" t="n"/>
      <c r="D97" s="90" t="n"/>
      <c r="E97" s="90" t="n"/>
      <c r="F97" s="90" t="n"/>
      <c r="G97" s="90" t="n"/>
      <c r="H97" s="90" t="n"/>
      <c r="I97" s="90" t="n"/>
      <c r="J97" s="90" t="n"/>
      <c r="K97" s="90" t="n"/>
      <c r="L97" s="90" t="n"/>
      <c r="M97" s="90" t="n"/>
      <c r="N97" s="90" t="n"/>
      <c r="O97" s="90" t="n"/>
      <c r="P97" s="90" t="n"/>
      <c r="Q97" s="90" t="n"/>
      <c r="R97" s="90" t="n"/>
      <c r="S97" s="90" t="n"/>
    </row>
    <row r="98" ht="38.25" customHeight="1" s="71">
      <c r="A98" s="88" t="inlineStr">
        <is>
          <t>Obra 343: pior saldo</t>
        </is>
      </c>
      <c r="B98" s="88" t="inlineStr">
        <is>
          <t>Atraso (dias)</t>
        </is>
      </c>
      <c r="C98" s="104">
        <f>C84</f>
        <v>0</v>
      </c>
      <c r="D98" s="104">
        <f>D84</f>
        <v>0.1</v>
      </c>
      <c r="E98" s="104">
        <f>E84</f>
        <v>0.2</v>
      </c>
      <c r="F98" s="90" t="n"/>
      <c r="G98" s="90" t="n"/>
      <c r="H98" s="90" t="n"/>
      <c r="I98" s="90" t="n"/>
      <c r="J98" s="90" t="n"/>
      <c r="K98" s="90" t="n"/>
      <c r="L98" s="90" t="n"/>
      <c r="M98" s="90" t="n"/>
      <c r="N98" s="90" t="n"/>
      <c r="O98" s="90" t="n"/>
      <c r="P98" s="90" t="n"/>
      <c r="Q98" s="90" t="n"/>
      <c r="R98" s="90" t="n"/>
      <c r="S98" s="90" t="n"/>
    </row>
    <row r="99">
      <c r="A99" s="73" t="inlineStr">
        <is>
          <t>Sem atraso extra</t>
        </is>
      </c>
      <c r="B99" s="81">
        <f>B85</f>
        <v>0</v>
      </c>
      <c r="C99" s="100">
        <f>MIN(C110:R110)</f>
        <v>-1401325.62</v>
      </c>
      <c r="D99" s="100">
        <f>MIN(C115:R115)</f>
        <v>-1401325.62</v>
      </c>
      <c r="E99" s="100">
        <f>MIN(C120:R120)</f>
        <v>-1401325.62</v>
      </c>
      <c r="F99" s="90" t="n"/>
      <c r="G99" s="90" t="n"/>
      <c r="H99" s="90" t="n"/>
      <c r="I99" s="90" t="n"/>
      <c r="J99" s="90" t="n"/>
      <c r="K99" s="90" t="n"/>
      <c r="L99" s="90" t="n"/>
      <c r="M99" s="90" t="n"/>
      <c r="N99" s="90" t="n"/>
      <c r="O99" s="90" t="n"/>
      <c r="P99" s="90" t="n"/>
      <c r="Q99" s="90" t="n"/>
      <c r="R99" s="90" t="n"/>
      <c r="S99" s="90" t="n"/>
    </row>
    <row r="100">
      <c r="A100" s="73" t="inlineStr">
        <is>
          <t>+15 dias</t>
        </is>
      </c>
      <c r="B100" s="81">
        <f>B86</f>
        <v>15</v>
      </c>
      <c r="C100" s="100">
        <f>MIN(C125:R125)</f>
        <v>-1401325.62</v>
      </c>
      <c r="D100" s="100">
        <f>MIN(C130:R130)</f>
        <v>-1401325.62</v>
      </c>
      <c r="E100" s="100">
        <f>MIN(C135:R135)</f>
        <v>-1401325.62</v>
      </c>
      <c r="F100" s="90" t="n"/>
      <c r="G100" s="90" t="n"/>
      <c r="H100" s="90" t="n"/>
      <c r="I100" s="90" t="n"/>
      <c r="J100" s="90" t="n"/>
      <c r="K100" s="90" t="n"/>
      <c r="L100" s="90" t="n"/>
      <c r="M100" s="90" t="n"/>
      <c r="N100" s="90" t="n"/>
      <c r="O100" s="90" t="n"/>
      <c r="P100" s="90" t="n"/>
      <c r="Q100" s="90" t="n"/>
      <c r="R100" s="90" t="n"/>
      <c r="S100" s="90" t="n"/>
    </row>
    <row r="101">
      <c r="A101" s="73" t="inlineStr">
        <is>
          <t>+30 dias</t>
        </is>
      </c>
      <c r="B101" s="81">
        <f>B87</f>
        <v>30</v>
      </c>
      <c r="C101" s="100">
        <f>MIN(C140:R140)</f>
        <v>-1841368.59</v>
      </c>
      <c r="D101" s="100">
        <f>MIN(C145:R145)</f>
        <v>-1841368.59</v>
      </c>
      <c r="E101" s="100">
        <f>MIN(C150:R150)</f>
        <v>-1841368.59</v>
      </c>
      <c r="F101" s="90" t="n"/>
      <c r="G101" s="90" t="n"/>
      <c r="H101" s="90" t="n"/>
      <c r="I101" s="90" t="n"/>
      <c r="J101" s="90" t="n"/>
      <c r="K101" s="90" t="n"/>
      <c r="L101" s="90" t="n"/>
      <c r="M101" s="90" t="n"/>
      <c r="N101" s="90" t="n"/>
      <c r="O101" s="90" t="n"/>
      <c r="P101" s="90" t="n"/>
      <c r="Q101" s="90" t="n"/>
      <c r="R101" s="90" t="n"/>
      <c r="S101" s="90" t="n"/>
    </row>
    <row r="102">
      <c r="C102" s="90" t="n"/>
      <c r="D102" s="90" t="n"/>
      <c r="E102" s="90" t="n"/>
      <c r="F102" s="90" t="n"/>
      <c r="G102" s="90" t="n"/>
      <c r="H102" s="90" t="n"/>
      <c r="I102" s="90" t="n"/>
      <c r="J102" s="90" t="n"/>
      <c r="K102" s="90" t="n"/>
      <c r="L102" s="90" t="n"/>
      <c r="M102" s="90" t="n"/>
      <c r="N102" s="90" t="n"/>
      <c r="O102" s="90" t="n"/>
      <c r="P102" s="90" t="n"/>
      <c r="Q102" s="90" t="n"/>
      <c r="R102" s="90" t="n"/>
    </row>
    <row r="103">
      <c r="C103" s="90" t="n"/>
      <c r="D103" s="90" t="n"/>
      <c r="E103" s="90" t="n"/>
      <c r="F103" s="90" t="n"/>
      <c r="G103" s="90" t="n"/>
      <c r="H103" s="90" t="n"/>
      <c r="I103" s="90" t="n"/>
      <c r="J103" s="90" t="n"/>
      <c r="K103" s="90" t="n"/>
      <c r="L103" s="90" t="n"/>
      <c r="M103" s="90" t="n"/>
      <c r="N103" s="90" t="n"/>
      <c r="O103" s="90" t="n"/>
      <c r="P103" s="90" t="n"/>
      <c r="Q103" s="90" t="n"/>
      <c r="R103" s="90" t="n"/>
    </row>
    <row r="104">
      <c r="C104" s="90" t="n"/>
      <c r="D104" s="90" t="n"/>
      <c r="E104" s="90" t="n"/>
      <c r="F104" s="90" t="n"/>
      <c r="G104" s="90" t="n"/>
      <c r="H104" s="90" t="n"/>
      <c r="I104" s="90" t="n"/>
      <c r="J104" s="90" t="n"/>
      <c r="K104" s="90" t="n"/>
      <c r="L104" s="90" t="n"/>
      <c r="M104" s="90" t="n"/>
      <c r="N104" s="90" t="n"/>
      <c r="O104" s="90" t="n"/>
      <c r="P104" s="90" t="n"/>
      <c r="Q104" s="90" t="n"/>
      <c r="R104" s="90" t="n"/>
    </row>
    <row r="105">
      <c r="C105" s="90" t="n"/>
      <c r="D105" s="90" t="n"/>
      <c r="E105" s="90" t="n"/>
      <c r="F105" s="90" t="n"/>
      <c r="G105" s="90" t="n"/>
      <c r="H105" s="90" t="n"/>
      <c r="I105" s="90" t="n"/>
      <c r="J105" s="90" t="n"/>
      <c r="K105" s="90" t="n"/>
      <c r="L105" s="90" t="n"/>
      <c r="M105" s="90" t="n"/>
      <c r="N105" s="90" t="n"/>
      <c r="O105" s="90" t="n"/>
      <c r="P105" s="90" t="n"/>
      <c r="Q105" s="90" t="n"/>
      <c r="R105" s="90" t="n"/>
    </row>
    <row r="106">
      <c r="A106" s="80" t="inlineStr">
        <is>
          <t>MOTOR DOS CENÁRIOS (não editar): para cada atraso e glosa, entrada líquida menos saídas, por obra</t>
        </is>
      </c>
      <c r="B106" s="80" t="n"/>
      <c r="C106" s="91" t="n"/>
      <c r="D106" s="91" t="n"/>
      <c r="E106" s="91" t="n"/>
      <c r="F106" s="91" t="n"/>
      <c r="G106" s="91" t="n"/>
      <c r="H106" s="91" t="n"/>
      <c r="I106" s="91" t="n"/>
      <c r="J106" s="91" t="n"/>
      <c r="K106" s="91" t="n"/>
      <c r="L106" s="91" t="n"/>
      <c r="M106" s="91" t="n"/>
      <c r="N106" s="91" t="n"/>
      <c r="O106" s="91" t="n"/>
      <c r="P106" s="91" t="n"/>
      <c r="Q106" s="91" t="n"/>
      <c r="R106" s="91" t="n"/>
      <c r="S106" s="80" t="n"/>
    </row>
    <row r="107">
      <c r="A107" s="73" t="inlineStr">
        <is>
          <t>Cenário atraso 0 d, glosa 0%: 342 saldo do mês</t>
        </is>
      </c>
      <c r="C107" s="93">
        <f>SUMIFS($C$23:$R$23,$C$24:$R$24,"&gt;="&amp;(C$21-$B$85),$C$24:$R$24,"&lt;="&amp;(EOMONTH(C$21,0)-$B$85))*(1-$C$84)*(1-$C$10)-C$32</f>
        <v>0</v>
      </c>
      <c r="D107" s="93">
        <f>SUMIFS($C$23:$R$23,$C$24:$R$24,"&gt;="&amp;(D$21-$B$85),$C$24:$R$24,"&lt;="&amp;(EOMONTH(D$21,0)-$B$85))*(1-$C$84)*(1-$C$10)-D$32</f>
        <v>-29525.98</v>
      </c>
      <c r="E107" s="93">
        <f>SUMIFS($C$23:$R$23,$C$24:$R$24,"&gt;="&amp;(E$21-$B$85),$C$24:$R$24,"&lt;="&amp;(EOMONTH(E$21,0)-$B$85))*(1-$C$84)*(1-$C$10)-E$32</f>
        <v>-279112.44</v>
      </c>
      <c r="F107" s="93">
        <f>SUMIFS($C$23:$R$23,$C$24:$R$24,"&gt;="&amp;(F$21-$B$85),$C$24:$R$24,"&lt;="&amp;(EOMONTH(F$21,0)-$B$85))*(1-$C$84)*(1-$C$10)-F$32</f>
        <v>-199558.4943</v>
      </c>
      <c r="G107" s="93">
        <f>SUMIFS($C$23:$R$23,$C$24:$R$24,"&gt;="&amp;(G$21-$B$85),$C$24:$R$24,"&lt;="&amp;(EOMONTH(G$21,0)-$B$85))*(1-$C$84)*(1-$C$10)-G$32</f>
        <v>-480863.72</v>
      </c>
      <c r="H107" s="93">
        <f>SUMIFS($C$23:$R$23,$C$24:$R$24,"&gt;="&amp;(H$21-$B$85),$C$24:$R$24,"&lt;="&amp;(EOMONTH(H$21,0)-$B$85))*(1-$C$84)*(1-$C$10)-H$32</f>
        <v>-162081.2526</v>
      </c>
      <c r="I107" s="93">
        <f>SUMIFS($C$23:$R$23,$C$24:$R$24,"&gt;="&amp;(I$21-$B$85),$C$24:$R$24,"&lt;="&amp;(EOMONTH(I$21,0)-$B$85))*(1-$C$84)*(1-$C$10)-I$32</f>
        <v>631878.72185</v>
      </c>
      <c r="J107" s="93">
        <f>SUMIFS($C$23:$R$23,$C$24:$R$24,"&gt;="&amp;(J$21-$B$85),$C$24:$R$24,"&lt;="&amp;(EOMONTH(J$21,0)-$B$85))*(1-$C$84)*(1-$C$10)-J$32</f>
        <v>114133.8119</v>
      </c>
      <c r="K107" s="93">
        <f>SUMIFS($C$23:$R$23,$C$24:$R$24,"&gt;="&amp;(K$21-$B$85),$C$24:$R$24,"&lt;="&amp;(EOMONTH(K$21,0)-$B$85))*(1-$C$84)*(1-$C$10)-K$32</f>
        <v>188375.4703</v>
      </c>
      <c r="L107" s="93">
        <f>SUMIFS($C$23:$R$23,$C$24:$R$24,"&gt;="&amp;(L$21-$B$85),$C$24:$R$24,"&lt;="&amp;(EOMONTH(L$21,0)-$B$85))*(1-$C$84)*(1-$C$10)-L$32</f>
        <v>-60688.5934</v>
      </c>
      <c r="M107" s="93">
        <f>SUMIFS($C$23:$R$23,$C$24:$R$24,"&gt;="&amp;(M$21-$B$85),$C$24:$R$24,"&lt;="&amp;(EOMONTH(M$21,0)-$B$85))*(1-$C$84)*(1-$C$10)-M$32</f>
        <v>142403.0668</v>
      </c>
      <c r="N107" s="93">
        <f>SUMIFS($C$23:$R$23,$C$24:$R$24,"&gt;="&amp;(N$21-$B$85),$C$24:$R$24,"&lt;="&amp;(EOMONTH(N$21,0)-$B$85))*(1-$C$84)*(1-$C$10)-N$32</f>
        <v>-117442.124</v>
      </c>
      <c r="O107" s="93">
        <f>SUMIFS($C$23:$R$23,$C$24:$R$24,"&gt;="&amp;(O$21-$B$85),$C$24:$R$24,"&lt;="&amp;(EOMONTH(O$21,0)-$B$85))*(1-$C$84)*(1-$C$10)-O$32</f>
        <v>18507.5025</v>
      </c>
      <c r="P107" s="93">
        <f>SUMIFS($C$23:$R$23,$C$24:$R$24,"&gt;="&amp;(P$21-$B$85),$C$24:$R$24,"&lt;="&amp;(EOMONTH(P$21,0)-$B$85))*(1-$C$84)*(1-$C$10)-P$32</f>
        <v>0</v>
      </c>
      <c r="Q107" s="93">
        <f>SUMIFS($C$23:$R$23,$C$24:$R$24,"&gt;="&amp;(Q$21-$B$85),$C$24:$R$24,"&lt;="&amp;(EOMONTH(Q$21,0)-$B$85))*(1-$C$84)*(1-$C$10)-Q$32</f>
        <v>2558.03805</v>
      </c>
      <c r="R107" s="93">
        <f>SUMIFS($C$23:$R$23,$C$24:$R$24,"&gt;="&amp;(R$21-$B$85),$C$24:$R$24,"&lt;="&amp;(EOMONTH(R$21,0)-$B$85))*(1-$C$84)*(1-$C$10)-R$32</f>
        <v>0</v>
      </c>
    </row>
    <row r="108">
      <c r="A108" s="73" t="inlineStr">
        <is>
          <t>Cenário atraso 0 d, glosa 0%: 342 acumulado</t>
        </is>
      </c>
      <c r="C108" s="93">
        <f>SUM($C107:C107)</f>
        <v>0</v>
      </c>
      <c r="D108" s="93">
        <f>SUM($C107:D107)</f>
        <v>-29525.98</v>
      </c>
      <c r="E108" s="93">
        <f>SUM($C107:E107)</f>
        <v>-308638.42</v>
      </c>
      <c r="F108" s="93">
        <f>SUM($C107:F107)</f>
        <v>-508196.9143</v>
      </c>
      <c r="G108" s="93">
        <f>SUM($C107:G107)</f>
        <v>-989060.6343</v>
      </c>
      <c r="H108" s="93">
        <f>SUM($C107:H107)</f>
        <v>-1151141.8869</v>
      </c>
      <c r="I108" s="93">
        <f>SUM($C107:I107)</f>
        <v>-519263.16505</v>
      </c>
      <c r="J108" s="93">
        <f>SUM($C107:J107)</f>
        <v>-405129.35315</v>
      </c>
      <c r="K108" s="93">
        <f>SUM($C107:K107)</f>
        <v>-216753.88285</v>
      </c>
      <c r="L108" s="93">
        <f>SUM($C107:L107)</f>
        <v>-277442.47625</v>
      </c>
      <c r="M108" s="93">
        <f>SUM($C107:M107)</f>
        <v>-135039.40945</v>
      </c>
      <c r="N108" s="93">
        <f>SUM($C107:N107)</f>
        <v>-252481.53345</v>
      </c>
      <c r="O108" s="93">
        <f>SUM($C107:O107)</f>
        <v>-233974.03095</v>
      </c>
      <c r="P108" s="93">
        <f>SUM($C107:P107)</f>
        <v>-233974.03095</v>
      </c>
      <c r="Q108" s="93">
        <f>SUM($C107:Q107)</f>
        <v>-231415.9929</v>
      </c>
      <c r="R108" s="93">
        <f>SUM($C107:R107)</f>
        <v>-231415.9929</v>
      </c>
    </row>
    <row r="109">
      <c r="A109" s="73" t="inlineStr">
        <is>
          <t>Cenário atraso 0 d, glosa 0%: 343 saldo do mês</t>
        </is>
      </c>
      <c r="C109" s="93">
        <f>SUMIFS($C$45:$R$45,$C$46:$R$46,"&gt;="&amp;(C$21-$B$85),$C$46:$R$46,"&lt;="&amp;(EOMONTH(C$21,0)-$B$85))*(1-$C$84)*(1-$D$10)-C$54</f>
        <v>-55670.76</v>
      </c>
      <c r="D109" s="93">
        <f>SUMIFS($C$45:$R$45,$C$46:$R$46,"&gt;="&amp;(D$21-$B$85),$C$46:$R$46,"&lt;="&amp;(EOMONTH(D$21,0)-$B$85))*(1-$C$84)*(1-$D$10)-D$54</f>
        <v>-764972.02</v>
      </c>
      <c r="E109" s="93">
        <f>SUMIFS($C$45:$R$45,$C$46:$R$46,"&gt;="&amp;(E$21-$B$85),$C$46:$R$46,"&lt;="&amp;(EOMONTH(E$21,0)-$B$85))*(1-$C$84)*(1-$D$10)-E$54</f>
        <v>-580682.84</v>
      </c>
      <c r="F109" s="93">
        <f>SUMIFS($C$45:$R$45,$C$46:$R$46,"&gt;="&amp;(F$21-$B$85),$C$46:$R$46,"&lt;="&amp;(EOMONTH(F$21,0)-$B$85))*(1-$C$84)*(1-$D$10)-F$54</f>
        <v>1453636.4367</v>
      </c>
      <c r="G109" s="93">
        <f>SUMIFS($C$45:$R$45,$C$46:$R$46,"&gt;="&amp;(G$21-$B$85),$C$46:$R$46,"&lt;="&amp;(EOMONTH(G$21,0)-$B$85))*(1-$C$84)*(1-$D$10)-G$54</f>
        <v>-388619.2</v>
      </c>
      <c r="H109" s="93">
        <f>SUMIFS($C$45:$R$45,$C$46:$R$46,"&gt;="&amp;(H$21-$B$85),$C$46:$R$46,"&lt;="&amp;(EOMONTH(H$21,0)-$B$85))*(1-$C$84)*(1-$D$10)-H$54</f>
        <v>232128.928</v>
      </c>
      <c r="I109" s="93">
        <f>SUMIFS($C$45:$R$45,$C$46:$R$46,"&gt;="&amp;(I$21-$B$85),$C$46:$R$46,"&lt;="&amp;(EOMONTH(I$21,0)-$B$85))*(1-$C$84)*(1-$D$10)-I$54</f>
        <v>544519.547</v>
      </c>
      <c r="J109" s="93">
        <f>SUMIFS($C$45:$R$45,$C$46:$R$46,"&gt;="&amp;(J$21-$B$85),$C$46:$R$46,"&lt;="&amp;(EOMONTH(J$21,0)-$B$85))*(1-$C$84)*(1-$D$10)-J$54</f>
        <v>-382352.07</v>
      </c>
      <c r="K109" s="93">
        <f>SUMIFS($C$45:$R$45,$C$46:$R$46,"&gt;="&amp;(K$21-$B$85),$C$46:$R$46,"&lt;="&amp;(EOMONTH(K$21,0)-$B$85))*(1-$C$84)*(1-$D$10)-K$54</f>
        <v>346697.7644</v>
      </c>
      <c r="L109" s="93">
        <f>SUMIFS($C$45:$R$45,$C$46:$R$46,"&gt;="&amp;(L$21-$B$85),$C$46:$R$46,"&lt;="&amp;(EOMONTH(L$21,0)-$B$85))*(1-$C$84)*(1-$D$10)-L$54</f>
        <v>497984.75145</v>
      </c>
      <c r="M109" s="93">
        <f>SUMIFS($C$45:$R$45,$C$46:$R$46,"&gt;="&amp;(M$21-$B$85),$C$46:$R$46,"&lt;="&amp;(EOMONTH(M$21,0)-$B$85))*(1-$C$84)*(1-$D$10)-M$54</f>
        <v>280831.9098</v>
      </c>
      <c r="N109" s="93">
        <f>SUMIFS($C$45:$R$45,$C$46:$R$46,"&gt;="&amp;(N$21-$B$85),$C$46:$R$46,"&lt;="&amp;(EOMONTH(N$21,0)-$B$85))*(1-$C$84)*(1-$D$10)-N$54</f>
        <v>0</v>
      </c>
      <c r="O109" s="93">
        <f>SUMIFS($C$45:$R$45,$C$46:$R$46,"&gt;="&amp;(O$21-$B$85),$C$46:$R$46,"&lt;="&amp;(EOMONTH(O$21,0)-$B$85))*(1-$C$84)*(1-$D$10)-O$54</f>
        <v>0</v>
      </c>
      <c r="P109" s="93">
        <f>SUMIFS($C$45:$R$45,$C$46:$R$46,"&gt;="&amp;(P$21-$B$85),$C$46:$R$46,"&lt;="&amp;(EOMONTH(P$21,0)-$B$85))*(1-$C$84)*(1-$D$10)-P$54</f>
        <v>0</v>
      </c>
      <c r="Q109" s="93">
        <f>SUMIFS($C$45:$R$45,$C$46:$R$46,"&gt;="&amp;(Q$21-$B$85),$C$46:$R$46,"&lt;="&amp;(EOMONTH(Q$21,0)-$B$85))*(1-$C$84)*(1-$D$10)-Q$54</f>
        <v>0</v>
      </c>
      <c r="R109" s="93">
        <f>SUMIFS($C$45:$R$45,$C$46:$R$46,"&gt;="&amp;(R$21-$B$85),$C$46:$R$46,"&lt;="&amp;(EOMONTH(R$21,0)-$B$85))*(1-$C$84)*(1-$D$10)-R$54</f>
        <v>0</v>
      </c>
    </row>
    <row r="110">
      <c r="A110" s="73" t="inlineStr">
        <is>
          <t>Cenário atraso 0 d, glosa 0%: 343 acumulado</t>
        </is>
      </c>
      <c r="C110" s="93">
        <f>SUM($C109:C109)</f>
        <v>-55670.76</v>
      </c>
      <c r="D110" s="93">
        <f>SUM($C109:D109)</f>
        <v>-820642.78</v>
      </c>
      <c r="E110" s="93">
        <f>SUM($C109:E109)</f>
        <v>-1401325.62</v>
      </c>
      <c r="F110" s="93">
        <f>SUM($C109:F109)</f>
        <v>52310.8167000003</v>
      </c>
      <c r="G110" s="93">
        <f>SUM($C109:G109)</f>
        <v>-336308.3833</v>
      </c>
      <c r="H110" s="93">
        <f>SUM($C109:H109)</f>
        <v>-104179.4553</v>
      </c>
      <c r="I110" s="93">
        <f>SUM($C109:I109)</f>
        <v>440340.0917</v>
      </c>
      <c r="J110" s="93">
        <f>SUM($C109:J109)</f>
        <v>57988.0217000003</v>
      </c>
      <c r="K110" s="93">
        <f>SUM($C109:K109)</f>
        <v>404685.7861</v>
      </c>
      <c r="L110" s="93">
        <f>SUM($C109:L109)</f>
        <v>902670.537550001</v>
      </c>
      <c r="M110" s="93">
        <f>SUM($C109:M109)</f>
        <v>1183502.44735</v>
      </c>
      <c r="N110" s="93">
        <f>SUM($C109:N109)</f>
        <v>1183502.44735</v>
      </c>
      <c r="O110" s="93">
        <f>SUM($C109:O109)</f>
        <v>1183502.44735</v>
      </c>
      <c r="P110" s="93">
        <f>SUM($C109:P109)</f>
        <v>1183502.44735</v>
      </c>
      <c r="Q110" s="93">
        <f>SUM($C109:Q109)</f>
        <v>1183502.44735</v>
      </c>
      <c r="R110" s="93">
        <f>SUM($C109:R109)</f>
        <v>1183502.44735</v>
      </c>
    </row>
    <row r="111">
      <c r="A111" s="73" t="inlineStr">
        <is>
          <t>Cenário atraso 0 d, glosa 0%: empresa acumulado</t>
        </is>
      </c>
      <c r="C111" s="93">
        <f>C108+C110</f>
        <v>-55670.76</v>
      </c>
      <c r="D111" s="93">
        <f>D108+D110</f>
        <v>-850168.76</v>
      </c>
      <c r="E111" s="93">
        <f>E108+E110</f>
        <v>-1709964.04</v>
      </c>
      <c r="F111" s="93">
        <f>F108+F110</f>
        <v>-455886.0976</v>
      </c>
      <c r="G111" s="93">
        <f>G108+G110</f>
        <v>-1325369.0176</v>
      </c>
      <c r="H111" s="93">
        <f>H108+H110</f>
        <v>-1255321.3422</v>
      </c>
      <c r="I111" s="93">
        <f>I108+I110</f>
        <v>-78923.0733499997</v>
      </c>
      <c r="J111" s="93">
        <f>J108+J110</f>
        <v>-347141.33145</v>
      </c>
      <c r="K111" s="93">
        <f>K108+K110</f>
        <v>187931.90325</v>
      </c>
      <c r="L111" s="93">
        <f>L108+L110</f>
        <v>625228.0613</v>
      </c>
      <c r="M111" s="93">
        <f>M108+M110</f>
        <v>1048463.0379</v>
      </c>
      <c r="N111" s="93">
        <f>N108+N110</f>
        <v>931020.913900001</v>
      </c>
      <c r="O111" s="93">
        <f>O108+O110</f>
        <v>949528.416400001</v>
      </c>
      <c r="P111" s="93">
        <f>P108+P110</f>
        <v>949528.416400001</v>
      </c>
      <c r="Q111" s="93">
        <f>Q108+Q110</f>
        <v>952086.45445</v>
      </c>
      <c r="R111" s="93">
        <f>R108+R110</f>
        <v>952086.45445</v>
      </c>
    </row>
    <row r="112">
      <c r="A112" s="73" t="inlineStr">
        <is>
          <t>Cenário atraso 0 d, glosa 10%: 342 saldo do mês</t>
        </is>
      </c>
      <c r="C112" s="93">
        <f>SUMIFS($C$23:$R$23,$C$24:$R$24,"&gt;="&amp;(C$21-$B$85),$C$24:$R$24,"&lt;="&amp;(EOMONTH(C$21,0)-$B$85))*(1-$D$84)*(1-$C$10)-C$32</f>
        <v>0</v>
      </c>
      <c r="D112" s="93">
        <f>SUMIFS($C$23:$R$23,$C$24:$R$24,"&gt;="&amp;(D$21-$B$85),$C$24:$R$24,"&lt;="&amp;(EOMONTH(D$21,0)-$B$85))*(1-$D$84)*(1-$C$10)-D$32</f>
        <v>-29525.98</v>
      </c>
      <c r="E112" s="93">
        <f>SUMIFS($C$23:$R$23,$C$24:$R$24,"&gt;="&amp;(E$21-$B$85),$C$24:$R$24,"&lt;="&amp;(EOMONTH(E$21,0)-$B$85))*(1-$D$84)*(1-$C$10)-E$32</f>
        <v>-279112.44</v>
      </c>
      <c r="F112" s="93">
        <f>SUMIFS($C$23:$R$23,$C$24:$R$24,"&gt;="&amp;(F$21-$B$85),$C$24:$R$24,"&lt;="&amp;(EOMONTH(F$21,0)-$B$85))*(1-$D$84)*(1-$C$10)-F$32</f>
        <v>-216781.31787</v>
      </c>
      <c r="G112" s="93">
        <f>SUMIFS($C$23:$R$23,$C$24:$R$24,"&gt;="&amp;(G$21-$B$85),$C$24:$R$24,"&lt;="&amp;(EOMONTH(G$21,0)-$B$85))*(1-$D$84)*(1-$C$10)-G$32</f>
        <v>-480863.72</v>
      </c>
      <c r="H112" s="93">
        <f>SUMIFS($C$23:$R$23,$C$24:$R$24,"&gt;="&amp;(H$21-$B$85),$C$24:$R$24,"&lt;="&amp;(EOMONTH(H$21,0)-$B$85))*(1-$D$84)*(1-$C$10)-H$32</f>
        <v>-170242.82934</v>
      </c>
      <c r="I112" s="93">
        <f>SUMIFS($C$23:$R$23,$C$24:$R$24,"&gt;="&amp;(I$21-$B$85),$C$24:$R$24,"&lt;="&amp;(EOMONTH(I$21,0)-$B$85))*(1-$D$84)*(1-$C$10)-I$32</f>
        <v>542769.672665</v>
      </c>
      <c r="J112" s="93">
        <f>SUMIFS($C$23:$R$23,$C$24:$R$24,"&gt;="&amp;(J$21-$B$85),$C$24:$R$24,"&lt;="&amp;(EOMONTH(J$21,0)-$B$85))*(1-$D$84)*(1-$C$10)-J$32</f>
        <v>85475.65871</v>
      </c>
      <c r="K112" s="93">
        <f>SUMIFS($C$23:$R$23,$C$24:$R$24,"&gt;="&amp;(K$21-$B$85),$C$24:$R$24,"&lt;="&amp;(EOMONTH(K$21,0)-$B$85))*(1-$D$84)*(1-$C$10)-K$32</f>
        <v>105658.29727</v>
      </c>
      <c r="L112" s="93">
        <f>SUMIFS($C$23:$R$23,$C$24:$R$24,"&gt;="&amp;(L$21-$B$85),$C$24:$R$24,"&lt;="&amp;(EOMONTH(L$21,0)-$B$85))*(1-$D$84)*(1-$C$10)-L$32</f>
        <v>-83896.6570599999</v>
      </c>
      <c r="M112" s="93">
        <f>SUMIFS($C$23:$R$23,$C$24:$R$24,"&gt;="&amp;(M$21-$B$85),$C$24:$R$24,"&lt;="&amp;(EOMONTH(M$21,0)-$B$85))*(1-$D$84)*(1-$C$10)-M$32</f>
        <v>104399.83012</v>
      </c>
      <c r="N112" s="93">
        <f>SUMIFS($C$23:$R$23,$C$24:$R$24,"&gt;="&amp;(N$21-$B$85),$C$24:$R$24,"&lt;="&amp;(EOMONTH(N$21,0)-$B$85))*(1-$D$84)*(1-$C$10)-N$32</f>
        <v>-122086.7006</v>
      </c>
      <c r="O112" s="93">
        <f>SUMIFS($C$23:$R$23,$C$24:$R$24,"&gt;="&amp;(O$21-$B$85),$C$24:$R$24,"&lt;="&amp;(EOMONTH(O$21,0)-$B$85))*(1-$D$84)*(1-$C$10)-O$32</f>
        <v>12383.63625</v>
      </c>
      <c r="P112" s="93">
        <f>SUMIFS($C$23:$R$23,$C$24:$R$24,"&gt;="&amp;(P$21-$B$85),$C$24:$R$24,"&lt;="&amp;(EOMONTH(P$21,0)-$B$85))*(1-$D$84)*(1-$C$10)-P$32</f>
        <v>0</v>
      </c>
      <c r="Q112" s="93">
        <f>SUMIFS($C$23:$R$23,$C$24:$R$24,"&gt;="&amp;(Q$21-$B$85),$C$24:$R$24,"&lt;="&amp;(EOMONTH(Q$21,0)-$B$85))*(1-$D$84)*(1-$C$10)-Q$32</f>
        <v>2302.234245</v>
      </c>
      <c r="R112" s="93">
        <f>SUMIFS($C$23:$R$23,$C$24:$R$24,"&gt;="&amp;(R$21-$B$85),$C$24:$R$24,"&lt;="&amp;(EOMONTH(R$21,0)-$B$85))*(1-$D$84)*(1-$C$10)-R$32</f>
        <v>0</v>
      </c>
    </row>
    <row r="113">
      <c r="A113" s="73" t="inlineStr">
        <is>
          <t>Cenário atraso 0 d, glosa 10%: 342 acumulado</t>
        </is>
      </c>
      <c r="C113" s="93">
        <f>SUM($C112:C112)</f>
        <v>0</v>
      </c>
      <c r="D113" s="93">
        <f>SUM($C112:D112)</f>
        <v>-29525.98</v>
      </c>
      <c r="E113" s="93">
        <f>SUM($C112:E112)</f>
        <v>-308638.42</v>
      </c>
      <c r="F113" s="93">
        <f>SUM($C112:F112)</f>
        <v>-525419.73787</v>
      </c>
      <c r="G113" s="93">
        <f>SUM($C112:G112)</f>
        <v>-1006283.45787</v>
      </c>
      <c r="H113" s="93">
        <f>SUM($C112:H112)</f>
        <v>-1176526.28721</v>
      </c>
      <c r="I113" s="93">
        <f>SUM($C112:I112)</f>
        <v>-633756.614545</v>
      </c>
      <c r="J113" s="93">
        <f>SUM($C112:J112)</f>
        <v>-548280.955835</v>
      </c>
      <c r="K113" s="93">
        <f>SUM($C112:K112)</f>
        <v>-442622.658565</v>
      </c>
      <c r="L113" s="93">
        <f>SUM($C112:L112)</f>
        <v>-526519.315625</v>
      </c>
      <c r="M113" s="93">
        <f>SUM($C112:M112)</f>
        <v>-422119.485505</v>
      </c>
      <c r="N113" s="93">
        <f>SUM($C112:N112)</f>
        <v>-544206.186105</v>
      </c>
      <c r="O113" s="93">
        <f>SUM($C112:O112)</f>
        <v>-531822.549855</v>
      </c>
      <c r="P113" s="93">
        <f>SUM($C112:P112)</f>
        <v>-531822.549855</v>
      </c>
      <c r="Q113" s="93">
        <f>SUM($C112:Q112)</f>
        <v>-529520.31561</v>
      </c>
      <c r="R113" s="93">
        <f>SUM($C112:R112)</f>
        <v>-529520.31561</v>
      </c>
    </row>
    <row r="114">
      <c r="A114" s="73" t="inlineStr">
        <is>
          <t>Cenário atraso 0 d, glosa 10%: 343 saldo do mês</t>
        </is>
      </c>
      <c r="C114" s="93">
        <f>SUMIFS($C$45:$R$45,$C$46:$R$46,"&gt;="&amp;(C$21-$B$85),$C$46:$R$46,"&lt;="&amp;(EOMONTH(C$21,0)-$B$85))*(1-$D$84)*(1-$D$10)-C$54</f>
        <v>-55670.76</v>
      </c>
      <c r="D114" s="93">
        <f>SUMIFS($C$45:$R$45,$C$46:$R$46,"&gt;="&amp;(D$21-$B$85),$C$46:$R$46,"&lt;="&amp;(EOMONTH(D$21,0)-$B$85))*(1-$D$84)*(1-$D$10)-D$54</f>
        <v>-764972.02</v>
      </c>
      <c r="E114" s="93">
        <f>SUMIFS($C$45:$R$45,$C$46:$R$46,"&gt;="&amp;(E$21-$B$85),$C$46:$R$46,"&lt;="&amp;(EOMONTH(E$21,0)-$B$85))*(1-$D$84)*(1-$D$10)-E$54</f>
        <v>-580682.84</v>
      </c>
      <c r="F114" s="93">
        <f>SUMIFS($C$45:$R$45,$C$46:$R$46,"&gt;="&amp;(F$21-$B$85),$C$46:$R$46,"&lt;="&amp;(EOMONTH(F$21,0)-$B$85))*(1-$D$84)*(1-$D$10)-F$54</f>
        <v>1264268.49603</v>
      </c>
      <c r="G114" s="93">
        <f>SUMIFS($C$45:$R$45,$C$46:$R$46,"&gt;="&amp;(G$21-$B$85),$C$46:$R$46,"&lt;="&amp;(EOMONTH(G$21,0)-$B$85))*(1-$D$84)*(1-$D$10)-G$54</f>
        <v>-388619.2</v>
      </c>
      <c r="H114" s="93">
        <f>SUMIFS($C$45:$R$45,$C$46:$R$46,"&gt;="&amp;(H$21-$B$85),$C$46:$R$46,"&lt;="&amp;(EOMONTH(H$21,0)-$B$85))*(1-$D$84)*(1-$D$10)-H$54</f>
        <v>173940.3082</v>
      </c>
      <c r="I114" s="93">
        <f>SUMIFS($C$45:$R$45,$C$46:$R$46,"&gt;="&amp;(I$21-$B$85),$C$46:$R$46,"&lt;="&amp;(EOMONTH(I$21,0)-$B$85))*(1-$D$84)*(1-$D$10)-I$54</f>
        <v>447319.4813</v>
      </c>
      <c r="J114" s="93">
        <f>SUMIFS($C$45:$R$45,$C$46:$R$46,"&gt;="&amp;(J$21-$B$85),$C$46:$R$46,"&lt;="&amp;(EOMONTH(J$21,0)-$B$85))*(1-$D$84)*(1-$D$10)-J$54</f>
        <v>-382352.07</v>
      </c>
      <c r="K114" s="93">
        <f>SUMIFS($C$45:$R$45,$C$46:$R$46,"&gt;="&amp;(K$21-$B$85),$C$46:$R$46,"&lt;="&amp;(EOMONTH(K$21,0)-$B$85))*(1-$D$84)*(1-$D$10)-K$54</f>
        <v>290424.04196</v>
      </c>
      <c r="L114" s="93">
        <f>SUMIFS($C$45:$R$45,$C$46:$R$46,"&gt;="&amp;(L$21-$B$85),$C$46:$R$46,"&lt;="&amp;(EOMONTH(L$21,0)-$B$85))*(1-$D$84)*(1-$D$10)-L$54</f>
        <v>448186.276305</v>
      </c>
      <c r="M114" s="93">
        <f>SUMIFS($C$45:$R$45,$C$46:$R$46,"&gt;="&amp;(M$21-$B$85),$C$46:$R$46,"&lt;="&amp;(EOMONTH(M$21,0)-$B$85))*(1-$D$84)*(1-$D$10)-M$54</f>
        <v>252748.71882</v>
      </c>
      <c r="N114" s="93">
        <f>SUMIFS($C$45:$R$45,$C$46:$R$46,"&gt;="&amp;(N$21-$B$85),$C$46:$R$46,"&lt;="&amp;(EOMONTH(N$21,0)-$B$85))*(1-$D$84)*(1-$D$10)-N$54</f>
        <v>0</v>
      </c>
      <c r="O114" s="93">
        <f>SUMIFS($C$45:$R$45,$C$46:$R$46,"&gt;="&amp;(O$21-$B$85),$C$46:$R$46,"&lt;="&amp;(EOMONTH(O$21,0)-$B$85))*(1-$D$84)*(1-$D$10)-O$54</f>
        <v>0</v>
      </c>
      <c r="P114" s="93">
        <f>SUMIFS($C$45:$R$45,$C$46:$R$46,"&gt;="&amp;(P$21-$B$85),$C$46:$R$46,"&lt;="&amp;(EOMONTH(P$21,0)-$B$85))*(1-$D$84)*(1-$D$10)-P$54</f>
        <v>0</v>
      </c>
      <c r="Q114" s="93">
        <f>SUMIFS($C$45:$R$45,$C$46:$R$46,"&gt;="&amp;(Q$21-$B$85),$C$46:$R$46,"&lt;="&amp;(EOMONTH(Q$21,0)-$B$85))*(1-$D$84)*(1-$D$10)-Q$54</f>
        <v>0</v>
      </c>
      <c r="R114" s="93">
        <f>SUMIFS($C$45:$R$45,$C$46:$R$46,"&gt;="&amp;(R$21-$B$85),$C$46:$R$46,"&lt;="&amp;(EOMONTH(R$21,0)-$B$85))*(1-$D$84)*(1-$D$10)-R$54</f>
        <v>0</v>
      </c>
    </row>
    <row r="115">
      <c r="A115" s="73" t="inlineStr">
        <is>
          <t>Cenário atraso 0 d, glosa 10%: 343 acumulado</t>
        </is>
      </c>
      <c r="C115" s="93">
        <f>SUM($C114:C114)</f>
        <v>-55670.76</v>
      </c>
      <c r="D115" s="93">
        <f>SUM($C114:D114)</f>
        <v>-820642.78</v>
      </c>
      <c r="E115" s="93">
        <f>SUM($C114:E114)</f>
        <v>-1401325.62</v>
      </c>
      <c r="F115" s="93">
        <f>SUM($C114:F114)</f>
        <v>-137057.12397</v>
      </c>
      <c r="G115" s="93">
        <f>SUM($C114:G114)</f>
        <v>-525676.32397</v>
      </c>
      <c r="H115" s="93">
        <f>SUM($C114:H114)</f>
        <v>-351736.01577</v>
      </c>
      <c r="I115" s="93">
        <f>SUM($C114:I114)</f>
        <v>95583.4655300004</v>
      </c>
      <c r="J115" s="93">
        <f>SUM($C114:J114)</f>
        <v>-286768.60447</v>
      </c>
      <c r="K115" s="93">
        <f>SUM($C114:K114)</f>
        <v>3655.43749000039</v>
      </c>
      <c r="L115" s="93">
        <f>SUM($C114:L114)</f>
        <v>451841.713795</v>
      </c>
      <c r="M115" s="93">
        <f>SUM($C114:M114)</f>
        <v>704590.432615001</v>
      </c>
      <c r="N115" s="93">
        <f>SUM($C114:N114)</f>
        <v>704590.432615001</v>
      </c>
      <c r="O115" s="93">
        <f>SUM($C114:O114)</f>
        <v>704590.432615001</v>
      </c>
      <c r="P115" s="93">
        <f>SUM($C114:P114)</f>
        <v>704590.432615001</v>
      </c>
      <c r="Q115" s="93">
        <f>SUM($C114:Q114)</f>
        <v>704590.432615001</v>
      </c>
      <c r="R115" s="93">
        <f>SUM($C114:R114)</f>
        <v>704590.432615001</v>
      </c>
    </row>
    <row r="116">
      <c r="A116" s="73" t="inlineStr">
        <is>
          <t>Cenário atraso 0 d, glosa 10%: empresa acumulado</t>
        </is>
      </c>
      <c r="C116" s="93">
        <f>C113+C115</f>
        <v>-55670.76</v>
      </c>
      <c r="D116" s="93">
        <f>D113+D115</f>
        <v>-850168.76</v>
      </c>
      <c r="E116" s="93">
        <f>E113+E115</f>
        <v>-1709964.04</v>
      </c>
      <c r="F116" s="93">
        <f>F113+F115</f>
        <v>-662476.86184</v>
      </c>
      <c r="G116" s="93">
        <f>G113+G115</f>
        <v>-1531959.78184</v>
      </c>
      <c r="H116" s="93">
        <f>H113+H115</f>
        <v>-1528262.30298</v>
      </c>
      <c r="I116" s="93">
        <f>I113+I115</f>
        <v>-538173.149015</v>
      </c>
      <c r="J116" s="93">
        <f>J113+J115</f>
        <v>-835049.560305</v>
      </c>
      <c r="K116" s="93">
        <f>K113+K115</f>
        <v>-438967.221075</v>
      </c>
      <c r="L116" s="93">
        <f>L113+L115</f>
        <v>-74677.6018299996</v>
      </c>
      <c r="M116" s="93">
        <f>M113+M115</f>
        <v>282470.947110001</v>
      </c>
      <c r="N116" s="93">
        <f>N113+N115</f>
        <v>160384.246510001</v>
      </c>
      <c r="O116" s="93">
        <f>O113+O115</f>
        <v>172767.882760001</v>
      </c>
      <c r="P116" s="93">
        <f>P113+P115</f>
        <v>172767.882760001</v>
      </c>
      <c r="Q116" s="93">
        <f>Q113+Q115</f>
        <v>175070.117005001</v>
      </c>
      <c r="R116" s="93">
        <f>R113+R115</f>
        <v>175070.117005001</v>
      </c>
    </row>
    <row r="117">
      <c r="A117" s="73" t="inlineStr">
        <is>
          <t>Cenário atraso 0 d, glosa 20%: 342 saldo do mês</t>
        </is>
      </c>
      <c r="C117" s="93">
        <f>SUMIFS($C$23:$R$23,$C$24:$R$24,"&gt;="&amp;(C$21-$B$85),$C$24:$R$24,"&lt;="&amp;(EOMONTH(C$21,0)-$B$85))*(1-$E$84)*(1-$C$10)-C$32</f>
        <v>0</v>
      </c>
      <c r="D117" s="93">
        <f>SUMIFS($C$23:$R$23,$C$24:$R$24,"&gt;="&amp;(D$21-$B$85),$C$24:$R$24,"&lt;="&amp;(EOMONTH(D$21,0)-$B$85))*(1-$E$84)*(1-$C$10)-D$32</f>
        <v>-29525.98</v>
      </c>
      <c r="E117" s="93">
        <f>SUMIFS($C$23:$R$23,$C$24:$R$24,"&gt;="&amp;(E$21-$B$85),$C$24:$R$24,"&lt;="&amp;(EOMONTH(E$21,0)-$B$85))*(1-$E$84)*(1-$C$10)-E$32</f>
        <v>-279112.44</v>
      </c>
      <c r="F117" s="93">
        <f>SUMIFS($C$23:$R$23,$C$24:$R$24,"&gt;="&amp;(F$21-$B$85),$C$24:$R$24,"&lt;="&amp;(EOMONTH(F$21,0)-$B$85))*(1-$E$84)*(1-$C$10)-F$32</f>
        <v>-234004.14144</v>
      </c>
      <c r="G117" s="93">
        <f>SUMIFS($C$23:$R$23,$C$24:$R$24,"&gt;="&amp;(G$21-$B$85),$C$24:$R$24,"&lt;="&amp;(EOMONTH(G$21,0)-$B$85))*(1-$E$84)*(1-$C$10)-G$32</f>
        <v>-480863.72</v>
      </c>
      <c r="H117" s="93">
        <f>SUMIFS($C$23:$R$23,$C$24:$R$24,"&gt;="&amp;(H$21-$B$85),$C$24:$R$24,"&lt;="&amp;(EOMONTH(H$21,0)-$B$85))*(1-$E$84)*(1-$C$10)-H$32</f>
        <v>-178404.40608</v>
      </c>
      <c r="I117" s="93">
        <f>SUMIFS($C$23:$R$23,$C$24:$R$24,"&gt;="&amp;(I$21-$B$85),$C$24:$R$24,"&lt;="&amp;(EOMONTH(I$21,0)-$B$85))*(1-$E$84)*(1-$C$10)-I$32</f>
        <v>453660.62348</v>
      </c>
      <c r="J117" s="93">
        <f>SUMIFS($C$23:$R$23,$C$24:$R$24,"&gt;="&amp;(J$21-$B$85),$C$24:$R$24,"&lt;="&amp;(EOMONTH(J$21,0)-$B$85))*(1-$E$84)*(1-$C$10)-J$32</f>
        <v>56817.50552</v>
      </c>
      <c r="K117" s="93">
        <f>SUMIFS($C$23:$R$23,$C$24:$R$24,"&gt;="&amp;(K$21-$B$85),$C$24:$R$24,"&lt;="&amp;(EOMONTH(K$21,0)-$B$85))*(1-$E$84)*(1-$C$10)-K$32</f>
        <v>22941.12424</v>
      </c>
      <c r="L117" s="93">
        <f>SUMIFS($C$23:$R$23,$C$24:$R$24,"&gt;="&amp;(L$21-$B$85),$C$24:$R$24,"&lt;="&amp;(EOMONTH(L$21,0)-$B$85))*(1-$E$84)*(1-$C$10)-L$32</f>
        <v>-107104.72072</v>
      </c>
      <c r="M117" s="93">
        <f>SUMIFS($C$23:$R$23,$C$24:$R$24,"&gt;="&amp;(M$21-$B$85),$C$24:$R$24,"&lt;="&amp;(EOMONTH(M$21,0)-$B$85))*(1-$E$84)*(1-$C$10)-M$32</f>
        <v>66396.59344</v>
      </c>
      <c r="N117" s="93">
        <f>SUMIFS($C$23:$R$23,$C$24:$R$24,"&gt;="&amp;(N$21-$B$85),$C$24:$R$24,"&lt;="&amp;(EOMONTH(N$21,0)-$B$85))*(1-$E$84)*(1-$C$10)-N$32</f>
        <v>-126731.2772</v>
      </c>
      <c r="O117" s="93">
        <f>SUMIFS($C$23:$R$23,$C$24:$R$24,"&gt;="&amp;(O$21-$B$85),$C$24:$R$24,"&lt;="&amp;(EOMONTH(O$21,0)-$B$85))*(1-$E$84)*(1-$C$10)-O$32</f>
        <v>6259.77</v>
      </c>
      <c r="P117" s="93">
        <f>SUMIFS($C$23:$R$23,$C$24:$R$24,"&gt;="&amp;(P$21-$B$85),$C$24:$R$24,"&lt;="&amp;(EOMONTH(P$21,0)-$B$85))*(1-$E$84)*(1-$C$10)-P$32</f>
        <v>0</v>
      </c>
      <c r="Q117" s="93">
        <f>SUMIFS($C$23:$R$23,$C$24:$R$24,"&gt;="&amp;(Q$21-$B$85),$C$24:$R$24,"&lt;="&amp;(EOMONTH(Q$21,0)-$B$85))*(1-$E$84)*(1-$C$10)-Q$32</f>
        <v>2046.43044</v>
      </c>
      <c r="R117" s="93">
        <f>SUMIFS($C$23:$R$23,$C$24:$R$24,"&gt;="&amp;(R$21-$B$85),$C$24:$R$24,"&lt;="&amp;(EOMONTH(R$21,0)-$B$85))*(1-$E$84)*(1-$C$10)-R$32</f>
        <v>0</v>
      </c>
    </row>
    <row r="118">
      <c r="A118" s="73" t="inlineStr">
        <is>
          <t>Cenário atraso 0 d, glosa 20%: 342 acumulado</t>
        </is>
      </c>
      <c r="C118" s="93">
        <f>SUM($C117:C117)</f>
        <v>0</v>
      </c>
      <c r="D118" s="93">
        <f>SUM($C117:D117)</f>
        <v>-29525.98</v>
      </c>
      <c r="E118" s="93">
        <f>SUM($C117:E117)</f>
        <v>-308638.42</v>
      </c>
      <c r="F118" s="93">
        <f>SUM($C117:F117)</f>
        <v>-542642.56144</v>
      </c>
      <c r="G118" s="93">
        <f>SUM($C117:G117)</f>
        <v>-1023506.28144</v>
      </c>
      <c r="H118" s="93">
        <f>SUM($C117:H117)</f>
        <v>-1201910.68752</v>
      </c>
      <c r="I118" s="93">
        <f>SUM($C117:I117)</f>
        <v>-748250.06404</v>
      </c>
      <c r="J118" s="93">
        <f>SUM($C117:J117)</f>
        <v>-691432.55852</v>
      </c>
      <c r="K118" s="93">
        <f>SUM($C117:K117)</f>
        <v>-668491.43428</v>
      </c>
      <c r="L118" s="93">
        <f>SUM($C117:L117)</f>
        <v>-775596.155</v>
      </c>
      <c r="M118" s="93">
        <f>SUM($C117:M117)</f>
        <v>-709199.56156</v>
      </c>
      <c r="N118" s="93">
        <f>SUM($C117:N117)</f>
        <v>-835930.83876</v>
      </c>
      <c r="O118" s="93">
        <f>SUM($C117:O117)</f>
        <v>-829671.06876</v>
      </c>
      <c r="P118" s="93">
        <f>SUM($C117:P117)</f>
        <v>-829671.06876</v>
      </c>
      <c r="Q118" s="93">
        <f>SUM($C117:Q117)</f>
        <v>-827624.63832</v>
      </c>
      <c r="R118" s="93">
        <f>SUM($C117:R117)</f>
        <v>-827624.63832</v>
      </c>
    </row>
    <row r="119">
      <c r="A119" s="73" t="inlineStr">
        <is>
          <t>Cenário atraso 0 d, glosa 20%: 343 saldo do mês</t>
        </is>
      </c>
      <c r="C119" s="93">
        <f>SUMIFS($C$45:$R$45,$C$46:$R$46,"&gt;="&amp;(C$21-$B$85),$C$46:$R$46,"&lt;="&amp;(EOMONTH(C$21,0)-$B$85))*(1-$E$84)*(1-$D$10)-C$54</f>
        <v>-55670.76</v>
      </c>
      <c r="D119" s="93">
        <f>SUMIFS($C$45:$R$45,$C$46:$R$46,"&gt;="&amp;(D$21-$B$85),$C$46:$R$46,"&lt;="&amp;(EOMONTH(D$21,0)-$B$85))*(1-$E$84)*(1-$D$10)-D$54</f>
        <v>-764972.02</v>
      </c>
      <c r="E119" s="93">
        <f>SUMIFS($C$45:$R$45,$C$46:$R$46,"&gt;="&amp;(E$21-$B$85),$C$46:$R$46,"&lt;="&amp;(EOMONTH(E$21,0)-$B$85))*(1-$E$84)*(1-$D$10)-E$54</f>
        <v>-580682.84</v>
      </c>
      <c r="F119" s="93">
        <f>SUMIFS($C$45:$R$45,$C$46:$R$46,"&gt;="&amp;(F$21-$B$85),$C$46:$R$46,"&lt;="&amp;(EOMONTH(F$21,0)-$B$85))*(1-$E$84)*(1-$D$10)-F$54</f>
        <v>1074900.55536</v>
      </c>
      <c r="G119" s="93">
        <f>SUMIFS($C$45:$R$45,$C$46:$R$46,"&gt;="&amp;(G$21-$B$85),$C$46:$R$46,"&lt;="&amp;(EOMONTH(G$21,0)-$B$85))*(1-$E$84)*(1-$D$10)-G$54</f>
        <v>-388619.2</v>
      </c>
      <c r="H119" s="93">
        <f>SUMIFS($C$45:$R$45,$C$46:$R$46,"&gt;="&amp;(H$21-$B$85),$C$46:$R$46,"&lt;="&amp;(EOMONTH(H$21,0)-$B$85))*(1-$E$84)*(1-$D$10)-H$54</f>
        <v>115751.6884</v>
      </c>
      <c r="I119" s="93">
        <f>SUMIFS($C$45:$R$45,$C$46:$R$46,"&gt;="&amp;(I$21-$B$85),$C$46:$R$46,"&lt;="&amp;(EOMONTH(I$21,0)-$B$85))*(1-$E$84)*(1-$D$10)-I$54</f>
        <v>350119.4156</v>
      </c>
      <c r="J119" s="93">
        <f>SUMIFS($C$45:$R$45,$C$46:$R$46,"&gt;="&amp;(J$21-$B$85),$C$46:$R$46,"&lt;="&amp;(EOMONTH(J$21,0)-$B$85))*(1-$E$84)*(1-$D$10)-J$54</f>
        <v>-382352.07</v>
      </c>
      <c r="K119" s="93">
        <f>SUMIFS($C$45:$R$45,$C$46:$R$46,"&gt;="&amp;(K$21-$B$85),$C$46:$R$46,"&lt;="&amp;(EOMONTH(K$21,0)-$B$85))*(1-$E$84)*(1-$D$10)-K$54</f>
        <v>234150.31952</v>
      </c>
      <c r="L119" s="93">
        <f>SUMIFS($C$45:$R$45,$C$46:$R$46,"&gt;="&amp;(L$21-$B$85),$C$46:$R$46,"&lt;="&amp;(EOMONTH(L$21,0)-$B$85))*(1-$E$84)*(1-$D$10)-L$54</f>
        <v>398387.80116</v>
      </c>
      <c r="M119" s="93">
        <f>SUMIFS($C$45:$R$45,$C$46:$R$46,"&gt;="&amp;(M$21-$B$85),$C$46:$R$46,"&lt;="&amp;(EOMONTH(M$21,0)-$B$85))*(1-$E$84)*(1-$D$10)-M$54</f>
        <v>224665.52784</v>
      </c>
      <c r="N119" s="93">
        <f>SUMIFS($C$45:$R$45,$C$46:$R$46,"&gt;="&amp;(N$21-$B$85),$C$46:$R$46,"&lt;="&amp;(EOMONTH(N$21,0)-$B$85))*(1-$E$84)*(1-$D$10)-N$54</f>
        <v>0</v>
      </c>
      <c r="O119" s="93">
        <f>SUMIFS($C$45:$R$45,$C$46:$R$46,"&gt;="&amp;(O$21-$B$85),$C$46:$R$46,"&lt;="&amp;(EOMONTH(O$21,0)-$B$85))*(1-$E$84)*(1-$D$10)-O$54</f>
        <v>0</v>
      </c>
      <c r="P119" s="93">
        <f>SUMIFS($C$45:$R$45,$C$46:$R$46,"&gt;="&amp;(P$21-$B$85),$C$46:$R$46,"&lt;="&amp;(EOMONTH(P$21,0)-$B$85))*(1-$E$84)*(1-$D$10)-P$54</f>
        <v>0</v>
      </c>
      <c r="Q119" s="93">
        <f>SUMIFS($C$45:$R$45,$C$46:$R$46,"&gt;="&amp;(Q$21-$B$85),$C$46:$R$46,"&lt;="&amp;(EOMONTH(Q$21,0)-$B$85))*(1-$E$84)*(1-$D$10)-Q$54</f>
        <v>0</v>
      </c>
      <c r="R119" s="93">
        <f>SUMIFS($C$45:$R$45,$C$46:$R$46,"&gt;="&amp;(R$21-$B$85),$C$46:$R$46,"&lt;="&amp;(EOMONTH(R$21,0)-$B$85))*(1-$E$84)*(1-$D$10)-R$54</f>
        <v>0</v>
      </c>
    </row>
    <row r="120">
      <c r="A120" s="73" t="inlineStr">
        <is>
          <t>Cenário atraso 0 d, glosa 20%: 343 acumulado</t>
        </is>
      </c>
      <c r="C120" s="93">
        <f>SUM($C119:C119)</f>
        <v>-55670.76</v>
      </c>
      <c r="D120" s="93">
        <f>SUM($C119:D119)</f>
        <v>-820642.78</v>
      </c>
      <c r="E120" s="93">
        <f>SUM($C119:E119)</f>
        <v>-1401325.62</v>
      </c>
      <c r="F120" s="93">
        <f>SUM($C119:F119)</f>
        <v>-326425.06464</v>
      </c>
      <c r="G120" s="93">
        <f>SUM($C119:G119)</f>
        <v>-715044.26464</v>
      </c>
      <c r="H120" s="93">
        <f>SUM($C119:H119)</f>
        <v>-599292.57624</v>
      </c>
      <c r="I120" s="93">
        <f>SUM($C119:I119)</f>
        <v>-249173.160639999</v>
      </c>
      <c r="J120" s="93">
        <f>SUM($C119:J119)</f>
        <v>-631525.23064</v>
      </c>
      <c r="K120" s="93">
        <f>SUM($C119:K119)</f>
        <v>-397374.911119999</v>
      </c>
      <c r="L120" s="93">
        <f>SUM($C119:L119)</f>
        <v>1012.89004000061</v>
      </c>
      <c r="M120" s="93">
        <f>SUM($C119:M119)</f>
        <v>225678.417880001</v>
      </c>
      <c r="N120" s="93">
        <f>SUM($C119:N119)</f>
        <v>225678.417880001</v>
      </c>
      <c r="O120" s="93">
        <f>SUM($C119:O119)</f>
        <v>225678.417880001</v>
      </c>
      <c r="P120" s="93">
        <f>SUM($C119:P119)</f>
        <v>225678.417880001</v>
      </c>
      <c r="Q120" s="93">
        <f>SUM($C119:Q119)</f>
        <v>225678.417880001</v>
      </c>
      <c r="R120" s="93">
        <f>SUM($C119:R119)</f>
        <v>225678.417880001</v>
      </c>
    </row>
    <row r="121">
      <c r="A121" s="73" t="inlineStr">
        <is>
          <t>Cenário atraso 0 d, glosa 20%: empresa acumulado</t>
        </is>
      </c>
      <c r="C121" s="93">
        <f>C118+C120</f>
        <v>-55670.76</v>
      </c>
      <c r="D121" s="93">
        <f>D118+D120</f>
        <v>-850168.76</v>
      </c>
      <c r="E121" s="93">
        <f>E118+E120</f>
        <v>-1709964.04</v>
      </c>
      <c r="F121" s="93">
        <f>F118+F120</f>
        <v>-869067.62608</v>
      </c>
      <c r="G121" s="93">
        <f>G118+G120</f>
        <v>-1738550.54608</v>
      </c>
      <c r="H121" s="93">
        <f>H118+H120</f>
        <v>-1801203.26376</v>
      </c>
      <c r="I121" s="93">
        <f>I118+I120</f>
        <v>-997423.224679999</v>
      </c>
      <c r="J121" s="93">
        <f>J118+J120</f>
        <v>-1322957.78916</v>
      </c>
      <c r="K121" s="93">
        <f>K118+K120</f>
        <v>-1065866.3454</v>
      </c>
      <c r="L121" s="93">
        <f>L118+L120</f>
        <v>-774583.264959999</v>
      </c>
      <c r="M121" s="93">
        <f>M118+M120</f>
        <v>-483521.143679999</v>
      </c>
      <c r="N121" s="93">
        <f>N118+N120</f>
        <v>-610252.420879999</v>
      </c>
      <c r="O121" s="93">
        <f>O118+O120</f>
        <v>-603992.650879999</v>
      </c>
      <c r="P121" s="93">
        <f>P118+P120</f>
        <v>-603992.650879999</v>
      </c>
      <c r="Q121" s="93">
        <f>Q118+Q120</f>
        <v>-601946.220439999</v>
      </c>
      <c r="R121" s="93">
        <f>R118+R120</f>
        <v>-601946.220439999</v>
      </c>
    </row>
    <row r="122">
      <c r="A122" s="73" t="inlineStr">
        <is>
          <t>Cenário atraso 15 d, glosa 0%: 342 saldo do mês</t>
        </is>
      </c>
      <c r="C122" s="93">
        <f>SUMIFS($C$23:$R$23,$C$24:$R$24,"&gt;="&amp;(C$21-$B$86),$C$24:$R$24,"&lt;="&amp;(EOMONTH(C$21,0)-$B$86))*(1-$C$84)*(1-$C$10)-C$32</f>
        <v>0</v>
      </c>
      <c r="D122" s="93">
        <f>SUMIFS($C$23:$R$23,$C$24:$R$24,"&gt;="&amp;(D$21-$B$86),$C$24:$R$24,"&lt;="&amp;(EOMONTH(D$21,0)-$B$86))*(1-$C$84)*(1-$C$10)-D$32</f>
        <v>-29525.98</v>
      </c>
      <c r="E122" s="93">
        <f>SUMIFS($C$23:$R$23,$C$24:$R$24,"&gt;="&amp;(E$21-$B$86),$C$24:$R$24,"&lt;="&amp;(EOMONTH(E$21,0)-$B$86))*(1-$C$84)*(1-$C$10)-E$32</f>
        <v>-279112.44</v>
      </c>
      <c r="F122" s="93">
        <f>SUMIFS($C$23:$R$23,$C$24:$R$24,"&gt;="&amp;(F$21-$B$86),$C$24:$R$24,"&lt;="&amp;(EOMONTH(F$21,0)-$B$86))*(1-$C$84)*(1-$C$10)-F$32</f>
        <v>-371786.73</v>
      </c>
      <c r="G122" s="93">
        <f>SUMIFS($C$23:$R$23,$C$24:$R$24,"&gt;="&amp;(G$21-$B$86),$C$24:$R$24,"&lt;="&amp;(EOMONTH(G$21,0)-$B$86))*(1-$C$84)*(1-$C$10)-G$32</f>
        <v>-308635.4843</v>
      </c>
      <c r="H122" s="93">
        <f>SUMIFS($C$23:$R$23,$C$24:$R$24,"&gt;="&amp;(H$21-$B$86),$C$24:$R$24,"&lt;="&amp;(EOMONTH(H$21,0)-$B$86))*(1-$C$84)*(1-$C$10)-H$32</f>
        <v>-162081.2526</v>
      </c>
      <c r="I122" s="93">
        <f>SUMIFS($C$23:$R$23,$C$24:$R$24,"&gt;="&amp;(I$21-$B$86),$C$24:$R$24,"&lt;="&amp;(EOMONTH(I$21,0)-$B$86))*(1-$C$84)*(1-$C$10)-I$32</f>
        <v>615552.8069</v>
      </c>
      <c r="J122" s="93">
        <f>SUMIFS($C$23:$R$23,$C$24:$R$24,"&gt;="&amp;(J$21-$B$86),$C$24:$R$24,"&lt;="&amp;(EOMONTH(J$21,0)-$B$86))*(1-$C$84)*(1-$C$10)-J$32</f>
        <v>-156121.80505</v>
      </c>
      <c r="K122" s="93">
        <f>SUMIFS($C$23:$R$23,$C$24:$R$24,"&gt;="&amp;(K$21-$B$86),$C$24:$R$24,"&lt;="&amp;(EOMONTH(K$21,0)-$B$86))*(1-$C$84)*(1-$C$10)-K$32</f>
        <v>-352214.7281</v>
      </c>
      <c r="L122" s="93">
        <f>SUMIFS($C$23:$R$23,$C$24:$R$24,"&gt;="&amp;(L$21-$B$86),$C$24:$R$24,"&lt;="&amp;(EOMONTH(L$21,0)-$B$86))*(1-$C$84)*(1-$C$10)-L$32</f>
        <v>534402.5003</v>
      </c>
      <c r="M122" s="93">
        <f>SUMIFS($C$23:$R$23,$C$24:$R$24,"&gt;="&amp;(M$21-$B$86),$C$24:$R$24,"&lt;="&amp;(EOMONTH(M$21,0)-$B$86))*(1-$C$84)*(1-$C$10)-M$32</f>
        <v>-5548.66339999996</v>
      </c>
      <c r="N122" s="93">
        <f>SUMIFS($C$23:$R$23,$C$24:$R$24,"&gt;="&amp;(N$21-$B$86),$C$24:$R$24,"&lt;="&amp;(EOMONTH(N$21,0)-$B$86))*(1-$C$84)*(1-$C$10)-N$32</f>
        <v>216144.4768</v>
      </c>
      <c r="O122" s="93">
        <f>SUMIFS($C$23:$R$23,$C$24:$R$24,"&gt;="&amp;(O$21-$B$86),$C$24:$R$24,"&lt;="&amp;(EOMONTH(O$21,0)-$B$86))*(1-$C$84)*(1-$C$10)-O$32</f>
        <v>3714.606</v>
      </c>
      <c r="P122" s="93">
        <f>SUMIFS($C$23:$R$23,$C$24:$R$24,"&gt;="&amp;(P$21-$B$86),$C$24:$R$24,"&lt;="&amp;(EOMONTH(P$21,0)-$B$86))*(1-$C$84)*(1-$C$10)-P$32</f>
        <v>61238.6625</v>
      </c>
      <c r="Q122" s="93">
        <f>SUMIFS($C$23:$R$23,$C$24:$R$24,"&gt;="&amp;(Q$21-$B$86),$C$24:$R$24,"&lt;="&amp;(EOMONTH(Q$21,0)-$B$86))*(1-$C$84)*(1-$C$10)-Q$32</f>
        <v>2558.03805</v>
      </c>
      <c r="R122" s="93">
        <f>SUMIFS($C$23:$R$23,$C$24:$R$24,"&gt;="&amp;(R$21-$B$86),$C$24:$R$24,"&lt;="&amp;(EOMONTH(R$21,0)-$B$86))*(1-$C$84)*(1-$C$10)-R$32</f>
        <v>0</v>
      </c>
    </row>
    <row r="123">
      <c r="A123" s="73" t="inlineStr">
        <is>
          <t>Cenário atraso 15 d, glosa 0%: 342 acumulado</t>
        </is>
      </c>
      <c r="C123" s="93">
        <f>SUM($C122:C122)</f>
        <v>0</v>
      </c>
      <c r="D123" s="93">
        <f>SUM($C122:D122)</f>
        <v>-29525.98</v>
      </c>
      <c r="E123" s="93">
        <f>SUM($C122:E122)</f>
        <v>-308638.42</v>
      </c>
      <c r="F123" s="93">
        <f>SUM($C122:F122)</f>
        <v>-680425.15</v>
      </c>
      <c r="G123" s="93">
        <f>SUM($C122:G122)</f>
        <v>-989060.6343</v>
      </c>
      <c r="H123" s="93">
        <f>SUM($C122:H122)</f>
        <v>-1151141.8869</v>
      </c>
      <c r="I123" s="93">
        <f>SUM($C122:I122)</f>
        <v>-535589.08</v>
      </c>
      <c r="J123" s="93">
        <f>SUM($C122:J122)</f>
        <v>-691710.88505</v>
      </c>
      <c r="K123" s="93">
        <f>SUM($C122:K122)</f>
        <v>-1043925.61315</v>
      </c>
      <c r="L123" s="93">
        <f>SUM($C122:L122)</f>
        <v>-509523.11285</v>
      </c>
      <c r="M123" s="93">
        <f>SUM($C122:M122)</f>
        <v>-515071.77625</v>
      </c>
      <c r="N123" s="93">
        <f>SUM($C122:N122)</f>
        <v>-298927.29945</v>
      </c>
      <c r="O123" s="93">
        <f>SUM($C122:O122)</f>
        <v>-295212.69345</v>
      </c>
      <c r="P123" s="93">
        <f>SUM($C122:P122)</f>
        <v>-233974.03095</v>
      </c>
      <c r="Q123" s="93">
        <f>SUM($C122:Q122)</f>
        <v>-231415.9929</v>
      </c>
      <c r="R123" s="93">
        <f>SUM($C122:R122)</f>
        <v>-231415.9929</v>
      </c>
    </row>
    <row r="124">
      <c r="A124" s="73" t="inlineStr">
        <is>
          <t>Cenário atraso 15 d, glosa 0%: 343 saldo do mês</t>
        </is>
      </c>
      <c r="C124" s="93">
        <f>SUMIFS($C$45:$R$45,$C$46:$R$46,"&gt;="&amp;(C$21-$B$86),$C$46:$R$46,"&lt;="&amp;(EOMONTH(C$21,0)-$B$86))*(1-$C$84)*(1-$D$10)-C$54</f>
        <v>-55670.76</v>
      </c>
      <c r="D124" s="93">
        <f>SUMIFS($C$45:$R$45,$C$46:$R$46,"&gt;="&amp;(D$21-$B$86),$C$46:$R$46,"&lt;="&amp;(EOMONTH(D$21,0)-$B$86))*(1-$C$84)*(1-$D$10)-D$54</f>
        <v>-764972.02</v>
      </c>
      <c r="E124" s="93">
        <f>SUMIFS($C$45:$R$45,$C$46:$R$46,"&gt;="&amp;(E$21-$B$86),$C$46:$R$46,"&lt;="&amp;(EOMONTH(E$21,0)-$B$86))*(1-$C$84)*(1-$D$10)-E$54</f>
        <v>-580682.84</v>
      </c>
      <c r="F124" s="93">
        <f>SUMIFS($C$45:$R$45,$C$46:$R$46,"&gt;="&amp;(F$21-$B$86),$C$46:$R$46,"&lt;="&amp;(EOMONTH(F$21,0)-$B$86))*(1-$C$84)*(1-$D$10)-F$54</f>
        <v>641197.97235</v>
      </c>
      <c r="G124" s="93">
        <f>SUMIFS($C$45:$R$45,$C$46:$R$46,"&gt;="&amp;(G$21-$B$86),$C$46:$R$46,"&lt;="&amp;(EOMONTH(G$21,0)-$B$86))*(1-$C$84)*(1-$D$10)-G$54</f>
        <v>423819.26435</v>
      </c>
      <c r="H124" s="93">
        <f>SUMIFS($C$45:$R$45,$C$46:$R$46,"&gt;="&amp;(H$21-$B$86),$C$46:$R$46,"&lt;="&amp;(EOMONTH(H$21,0)-$B$86))*(1-$C$84)*(1-$D$10)-H$54</f>
        <v>232128.928</v>
      </c>
      <c r="I124" s="93">
        <f>SUMIFS($C$45:$R$45,$C$46:$R$46,"&gt;="&amp;(I$21-$B$86),$C$46:$R$46,"&lt;="&amp;(EOMONTH(I$21,0)-$B$86))*(1-$C$84)*(1-$D$10)-I$54</f>
        <v>84098.1807500001</v>
      </c>
      <c r="J124" s="93">
        <f>SUMIFS($C$45:$R$45,$C$46:$R$46,"&gt;="&amp;(J$21-$B$86),$C$46:$R$46,"&lt;="&amp;(EOMONTH(J$21,0)-$B$86))*(1-$C$84)*(1-$D$10)-J$54</f>
        <v>78069.29625</v>
      </c>
      <c r="K124" s="93">
        <f>SUMIFS($C$45:$R$45,$C$46:$R$46,"&gt;="&amp;(K$21-$B$86),$C$46:$R$46,"&lt;="&amp;(EOMONTH(K$21,0)-$B$86))*(1-$C$84)*(1-$D$10)-K$54</f>
        <v>346697.7644</v>
      </c>
      <c r="L124" s="93">
        <f>SUMIFS($C$45:$R$45,$C$46:$R$46,"&gt;="&amp;(L$21-$B$86),$C$46:$R$46,"&lt;="&amp;(EOMONTH(L$21,0)-$B$86))*(1-$C$84)*(1-$D$10)-L$54</f>
        <v>497984.75145</v>
      </c>
      <c r="M124" s="93">
        <f>SUMIFS($C$45:$R$45,$C$46:$R$46,"&gt;="&amp;(M$21-$B$86),$C$46:$R$46,"&lt;="&amp;(EOMONTH(M$21,0)-$B$86))*(1-$C$84)*(1-$D$10)-M$54</f>
        <v>280831.9098</v>
      </c>
      <c r="N124" s="93">
        <f>SUMIFS($C$45:$R$45,$C$46:$R$46,"&gt;="&amp;(N$21-$B$86),$C$46:$R$46,"&lt;="&amp;(EOMONTH(N$21,0)-$B$86))*(1-$C$84)*(1-$D$10)-N$54</f>
        <v>0</v>
      </c>
      <c r="O124" s="93">
        <f>SUMIFS($C$45:$R$45,$C$46:$R$46,"&gt;="&amp;(O$21-$B$86),$C$46:$R$46,"&lt;="&amp;(EOMONTH(O$21,0)-$B$86))*(1-$C$84)*(1-$D$10)-O$54</f>
        <v>0</v>
      </c>
      <c r="P124" s="93">
        <f>SUMIFS($C$45:$R$45,$C$46:$R$46,"&gt;="&amp;(P$21-$B$86),$C$46:$R$46,"&lt;="&amp;(EOMONTH(P$21,0)-$B$86))*(1-$C$84)*(1-$D$10)-P$54</f>
        <v>0</v>
      </c>
      <c r="Q124" s="93">
        <f>SUMIFS($C$45:$R$45,$C$46:$R$46,"&gt;="&amp;(Q$21-$B$86),$C$46:$R$46,"&lt;="&amp;(EOMONTH(Q$21,0)-$B$86))*(1-$C$84)*(1-$D$10)-Q$54</f>
        <v>0</v>
      </c>
      <c r="R124" s="93">
        <f>SUMIFS($C$45:$R$45,$C$46:$R$46,"&gt;="&amp;(R$21-$B$86),$C$46:$R$46,"&lt;="&amp;(EOMONTH(R$21,0)-$B$86))*(1-$C$84)*(1-$D$10)-R$54</f>
        <v>0</v>
      </c>
    </row>
    <row r="125">
      <c r="A125" s="73" t="inlineStr">
        <is>
          <t>Cenário atraso 15 d, glosa 0%: 343 acumulado</t>
        </is>
      </c>
      <c r="C125" s="93">
        <f>SUM($C124:C124)</f>
        <v>-55670.76</v>
      </c>
      <c r="D125" s="93">
        <f>SUM($C124:D124)</f>
        <v>-820642.78</v>
      </c>
      <c r="E125" s="93">
        <f>SUM($C124:E124)</f>
        <v>-1401325.62</v>
      </c>
      <c r="F125" s="93">
        <f>SUM($C124:F124)</f>
        <v>-760127.64765</v>
      </c>
      <c r="G125" s="93">
        <f>SUM($C124:G124)</f>
        <v>-336308.3833</v>
      </c>
      <c r="H125" s="93">
        <f>SUM($C124:H124)</f>
        <v>-104179.4553</v>
      </c>
      <c r="I125" s="93">
        <f>SUM($C124:I124)</f>
        <v>-20081.2745499997</v>
      </c>
      <c r="J125" s="93">
        <f>SUM($C124:J124)</f>
        <v>57988.0217000003</v>
      </c>
      <c r="K125" s="93">
        <f>SUM($C124:K124)</f>
        <v>404685.7861</v>
      </c>
      <c r="L125" s="93">
        <f>SUM($C124:L124)</f>
        <v>902670.53755</v>
      </c>
      <c r="M125" s="93">
        <f>SUM($C124:M124)</f>
        <v>1183502.44735</v>
      </c>
      <c r="N125" s="93">
        <f>SUM($C124:N124)</f>
        <v>1183502.44735</v>
      </c>
      <c r="O125" s="93">
        <f>SUM($C124:O124)</f>
        <v>1183502.44735</v>
      </c>
      <c r="P125" s="93">
        <f>SUM($C124:P124)</f>
        <v>1183502.44735</v>
      </c>
      <c r="Q125" s="93">
        <f>SUM($C124:Q124)</f>
        <v>1183502.44735</v>
      </c>
      <c r="R125" s="93">
        <f>SUM($C124:R124)</f>
        <v>1183502.44735</v>
      </c>
    </row>
    <row r="126">
      <c r="A126" s="73" t="inlineStr">
        <is>
          <t>Cenário atraso 15 d, glosa 0%: empresa acumulado</t>
        </is>
      </c>
      <c r="C126" s="93">
        <f>C123+C125</f>
        <v>-55670.76</v>
      </c>
      <c r="D126" s="93">
        <f>D123+D125</f>
        <v>-850168.76</v>
      </c>
      <c r="E126" s="93">
        <f>E123+E125</f>
        <v>-1709964.04</v>
      </c>
      <c r="F126" s="93">
        <f>F123+F125</f>
        <v>-1440552.79765</v>
      </c>
      <c r="G126" s="93">
        <f>G123+G125</f>
        <v>-1325369.0176</v>
      </c>
      <c r="H126" s="93">
        <f>H123+H125</f>
        <v>-1255321.3422</v>
      </c>
      <c r="I126" s="93">
        <f>I123+I125</f>
        <v>-555670.35455</v>
      </c>
      <c r="J126" s="93">
        <f>J123+J125</f>
        <v>-633722.86335</v>
      </c>
      <c r="K126" s="93">
        <f>K123+K125</f>
        <v>-639239.82705</v>
      </c>
      <c r="L126" s="93">
        <f>L123+L125</f>
        <v>393147.4247</v>
      </c>
      <c r="M126" s="93">
        <f>M123+M125</f>
        <v>668430.6711</v>
      </c>
      <c r="N126" s="93">
        <f>N123+N125</f>
        <v>884575.1479</v>
      </c>
      <c r="O126" s="93">
        <f>O123+O125</f>
        <v>888289.753900001</v>
      </c>
      <c r="P126" s="93">
        <f>P123+P125</f>
        <v>949528.416400001</v>
      </c>
      <c r="Q126" s="93">
        <f>Q123+Q125</f>
        <v>952086.45445</v>
      </c>
      <c r="R126" s="93">
        <f>R123+R125</f>
        <v>952086.45445</v>
      </c>
    </row>
    <row r="127">
      <c r="A127" s="73" t="inlineStr">
        <is>
          <t>Cenário atraso 15 d, glosa 10%: 342 saldo do mês</t>
        </is>
      </c>
      <c r="C127" s="93">
        <f>SUMIFS($C$23:$R$23,$C$24:$R$24,"&gt;="&amp;(C$21-$B$86),$C$24:$R$24,"&lt;="&amp;(EOMONTH(C$21,0)-$B$86))*(1-$D$84)*(1-$C$10)-C$32</f>
        <v>0</v>
      </c>
      <c r="D127" s="93">
        <f>SUMIFS($C$23:$R$23,$C$24:$R$24,"&gt;="&amp;(D$21-$B$86),$C$24:$R$24,"&lt;="&amp;(EOMONTH(D$21,0)-$B$86))*(1-$D$84)*(1-$C$10)-D$32</f>
        <v>-29525.98</v>
      </c>
      <c r="E127" s="93">
        <f>SUMIFS($C$23:$R$23,$C$24:$R$24,"&gt;="&amp;(E$21-$B$86),$C$24:$R$24,"&lt;="&amp;(EOMONTH(E$21,0)-$B$86))*(1-$D$84)*(1-$C$10)-E$32</f>
        <v>-279112.44</v>
      </c>
      <c r="F127" s="93">
        <f>SUMIFS($C$23:$R$23,$C$24:$R$24,"&gt;="&amp;(F$21-$B$86),$C$24:$R$24,"&lt;="&amp;(EOMONTH(F$21,0)-$B$86))*(1-$D$84)*(1-$C$10)-F$32</f>
        <v>-371786.73</v>
      </c>
      <c r="G127" s="93">
        <f>SUMIFS($C$23:$R$23,$C$24:$R$24,"&gt;="&amp;(G$21-$B$86),$C$24:$R$24,"&lt;="&amp;(EOMONTH(G$21,0)-$B$86))*(1-$D$84)*(1-$C$10)-G$32</f>
        <v>-325858.30787</v>
      </c>
      <c r="H127" s="93">
        <f>SUMIFS($C$23:$R$23,$C$24:$R$24,"&gt;="&amp;(H$21-$B$86),$C$24:$R$24,"&lt;="&amp;(EOMONTH(H$21,0)-$B$86))*(1-$D$84)*(1-$C$10)-H$32</f>
        <v>-170242.82934</v>
      </c>
      <c r="I127" s="93">
        <f>SUMIFS($C$23:$R$23,$C$24:$R$24,"&gt;="&amp;(I$21-$B$86),$C$24:$R$24,"&lt;="&amp;(EOMONTH(I$21,0)-$B$86))*(1-$D$84)*(1-$C$10)-I$32</f>
        <v>528076.34921</v>
      </c>
      <c r="J127" s="93">
        <f>SUMIFS($C$23:$R$23,$C$24:$R$24,"&gt;="&amp;(J$21-$B$86),$C$24:$R$24,"&lt;="&amp;(EOMONTH(J$21,0)-$B$86))*(1-$D$84)*(1-$C$10)-J$32</f>
        <v>-157754.396545</v>
      </c>
      <c r="K127" s="93">
        <f>SUMIFS($C$23:$R$23,$C$24:$R$24,"&gt;="&amp;(K$21-$B$86),$C$24:$R$24,"&lt;="&amp;(EOMONTH(K$21,0)-$B$86))*(1-$D$84)*(1-$C$10)-K$32</f>
        <v>-380872.88129</v>
      </c>
      <c r="L127" s="93">
        <f>SUMIFS($C$23:$R$23,$C$24:$R$24,"&gt;="&amp;(L$21-$B$86),$C$24:$R$24,"&lt;="&amp;(EOMONTH(L$21,0)-$B$86))*(1-$D$84)*(1-$C$10)-L$32</f>
        <v>451685.32727</v>
      </c>
      <c r="M127" s="93">
        <f>SUMIFS($C$23:$R$23,$C$24:$R$24,"&gt;="&amp;(M$21-$B$86),$C$24:$R$24,"&lt;="&amp;(EOMONTH(M$21,0)-$B$86))*(1-$D$84)*(1-$C$10)-M$32</f>
        <v>-28756.7270599999</v>
      </c>
      <c r="N127" s="93">
        <f>SUMIFS($C$23:$R$23,$C$24:$R$24,"&gt;="&amp;(N$21-$B$86),$C$24:$R$24,"&lt;="&amp;(EOMONTH(N$21,0)-$B$86))*(1-$D$84)*(1-$C$10)-N$32</f>
        <v>178141.24012</v>
      </c>
      <c r="O127" s="93">
        <f>SUMIFS($C$23:$R$23,$C$24:$R$24,"&gt;="&amp;(O$21-$B$86),$C$24:$R$24,"&lt;="&amp;(EOMONTH(O$21,0)-$B$86))*(1-$D$84)*(1-$C$10)-O$32</f>
        <v>-929.970600000001</v>
      </c>
      <c r="P127" s="93">
        <f>SUMIFS($C$23:$R$23,$C$24:$R$24,"&gt;="&amp;(P$21-$B$86),$C$24:$R$24,"&lt;="&amp;(EOMONTH(P$21,0)-$B$86))*(1-$D$84)*(1-$C$10)-P$32</f>
        <v>55114.79625</v>
      </c>
      <c r="Q127" s="93">
        <f>SUMIFS($C$23:$R$23,$C$24:$R$24,"&gt;="&amp;(Q$21-$B$86),$C$24:$R$24,"&lt;="&amp;(EOMONTH(Q$21,0)-$B$86))*(1-$D$84)*(1-$C$10)-Q$32</f>
        <v>2302.234245</v>
      </c>
      <c r="R127" s="93">
        <f>SUMIFS($C$23:$R$23,$C$24:$R$24,"&gt;="&amp;(R$21-$B$86),$C$24:$R$24,"&lt;="&amp;(EOMONTH(R$21,0)-$B$86))*(1-$D$84)*(1-$C$10)-R$32</f>
        <v>0</v>
      </c>
    </row>
    <row r="128">
      <c r="A128" s="73" t="inlineStr">
        <is>
          <t>Cenário atraso 15 d, glosa 10%: 342 acumulado</t>
        </is>
      </c>
      <c r="C128" s="93">
        <f>SUM($C127:C127)</f>
        <v>0</v>
      </c>
      <c r="D128" s="93">
        <f>SUM($C127:D127)</f>
        <v>-29525.98</v>
      </c>
      <c r="E128" s="93">
        <f>SUM($C127:E127)</f>
        <v>-308638.42</v>
      </c>
      <c r="F128" s="93">
        <f>SUM($C127:F127)</f>
        <v>-680425.15</v>
      </c>
      <c r="G128" s="93">
        <f>SUM($C127:G127)</f>
        <v>-1006283.45787</v>
      </c>
      <c r="H128" s="93">
        <f>SUM($C127:H127)</f>
        <v>-1176526.28721</v>
      </c>
      <c r="I128" s="93">
        <f>SUM($C127:I127)</f>
        <v>-648449.938</v>
      </c>
      <c r="J128" s="93">
        <f>SUM($C127:J127)</f>
        <v>-806204.334545</v>
      </c>
      <c r="K128" s="93">
        <f>SUM($C127:K127)</f>
        <v>-1187077.215835</v>
      </c>
      <c r="L128" s="93">
        <f>SUM($C127:L127)</f>
        <v>-735391.888565</v>
      </c>
      <c r="M128" s="93">
        <f>SUM($C127:M127)</f>
        <v>-764148.615625</v>
      </c>
      <c r="N128" s="93">
        <f>SUM($C127:N127)</f>
        <v>-586007.375505</v>
      </c>
      <c r="O128" s="93">
        <f>SUM($C127:O127)</f>
        <v>-586937.346105</v>
      </c>
      <c r="P128" s="93">
        <f>SUM($C127:P127)</f>
        <v>-531822.549855</v>
      </c>
      <c r="Q128" s="93">
        <f>SUM($C127:Q127)</f>
        <v>-529520.31561</v>
      </c>
      <c r="R128" s="93">
        <f>SUM($C127:R127)</f>
        <v>-529520.31561</v>
      </c>
    </row>
    <row r="129">
      <c r="A129" s="73" t="inlineStr">
        <is>
          <t>Cenário atraso 15 d, glosa 10%: 343 saldo do mês</t>
        </is>
      </c>
      <c r="C129" s="93">
        <f>SUMIFS($C$45:$R$45,$C$46:$R$46,"&gt;="&amp;(C$21-$B$86),$C$46:$R$46,"&lt;="&amp;(EOMONTH(C$21,0)-$B$86))*(1-$D$84)*(1-$D$10)-C$54</f>
        <v>-55670.76</v>
      </c>
      <c r="D129" s="93">
        <f>SUMIFS($C$45:$R$45,$C$46:$R$46,"&gt;="&amp;(D$21-$B$86),$C$46:$R$46,"&lt;="&amp;(EOMONTH(D$21,0)-$B$86))*(1-$D$84)*(1-$D$10)-D$54</f>
        <v>-764972.02</v>
      </c>
      <c r="E129" s="93">
        <f>SUMIFS($C$45:$R$45,$C$46:$R$46,"&gt;="&amp;(E$21-$B$86),$C$46:$R$46,"&lt;="&amp;(EOMONTH(E$21,0)-$B$86))*(1-$D$84)*(1-$D$10)-E$54</f>
        <v>-580682.84</v>
      </c>
      <c r="F129" s="93">
        <f>SUMIFS($C$45:$R$45,$C$46:$R$46,"&gt;="&amp;(F$21-$B$86),$C$46:$R$46,"&lt;="&amp;(EOMONTH(F$21,0)-$B$86))*(1-$D$84)*(1-$D$10)-F$54</f>
        <v>533073.878115</v>
      </c>
      <c r="G129" s="93">
        <f>SUMIFS($C$45:$R$45,$C$46:$R$46,"&gt;="&amp;(G$21-$B$86),$C$46:$R$46,"&lt;="&amp;(EOMONTH(G$21,0)-$B$86))*(1-$D$84)*(1-$D$10)-G$54</f>
        <v>342575.417915</v>
      </c>
      <c r="H129" s="93">
        <f>SUMIFS($C$45:$R$45,$C$46:$R$46,"&gt;="&amp;(H$21-$B$86),$C$46:$R$46,"&lt;="&amp;(EOMONTH(H$21,0)-$B$86))*(1-$D$84)*(1-$D$10)-H$54</f>
        <v>173940.3082</v>
      </c>
      <c r="I129" s="93">
        <f>SUMIFS($C$45:$R$45,$C$46:$R$46,"&gt;="&amp;(I$21-$B$86),$C$46:$R$46,"&lt;="&amp;(EOMONTH(I$21,0)-$B$86))*(1-$D$84)*(1-$D$10)-I$54</f>
        <v>32940.2516750001</v>
      </c>
      <c r="J129" s="93">
        <f>SUMIFS($C$45:$R$45,$C$46:$R$46,"&gt;="&amp;(J$21-$B$86),$C$46:$R$46,"&lt;="&amp;(EOMONTH(J$21,0)-$B$86))*(1-$D$84)*(1-$D$10)-J$54</f>
        <v>32027.159625</v>
      </c>
      <c r="K129" s="93">
        <f>SUMIFS($C$45:$R$45,$C$46:$R$46,"&gt;="&amp;(K$21-$B$86),$C$46:$R$46,"&lt;="&amp;(EOMONTH(K$21,0)-$B$86))*(1-$D$84)*(1-$D$10)-K$54</f>
        <v>290424.04196</v>
      </c>
      <c r="L129" s="93">
        <f>SUMIFS($C$45:$R$45,$C$46:$R$46,"&gt;="&amp;(L$21-$B$86),$C$46:$R$46,"&lt;="&amp;(EOMONTH(L$21,0)-$B$86))*(1-$D$84)*(1-$D$10)-L$54</f>
        <v>448186.276305</v>
      </c>
      <c r="M129" s="93">
        <f>SUMIFS($C$45:$R$45,$C$46:$R$46,"&gt;="&amp;(M$21-$B$86),$C$46:$R$46,"&lt;="&amp;(EOMONTH(M$21,0)-$B$86))*(1-$D$84)*(1-$D$10)-M$54</f>
        <v>252748.71882</v>
      </c>
      <c r="N129" s="93">
        <f>SUMIFS($C$45:$R$45,$C$46:$R$46,"&gt;="&amp;(N$21-$B$86),$C$46:$R$46,"&lt;="&amp;(EOMONTH(N$21,0)-$B$86))*(1-$D$84)*(1-$D$10)-N$54</f>
        <v>0</v>
      </c>
      <c r="O129" s="93">
        <f>SUMIFS($C$45:$R$45,$C$46:$R$46,"&gt;="&amp;(O$21-$B$86),$C$46:$R$46,"&lt;="&amp;(EOMONTH(O$21,0)-$B$86))*(1-$D$84)*(1-$D$10)-O$54</f>
        <v>0</v>
      </c>
      <c r="P129" s="93">
        <f>SUMIFS($C$45:$R$45,$C$46:$R$46,"&gt;="&amp;(P$21-$B$86),$C$46:$R$46,"&lt;="&amp;(EOMONTH(P$21,0)-$B$86))*(1-$D$84)*(1-$D$10)-P$54</f>
        <v>0</v>
      </c>
      <c r="Q129" s="93">
        <f>SUMIFS($C$45:$R$45,$C$46:$R$46,"&gt;="&amp;(Q$21-$B$86),$C$46:$R$46,"&lt;="&amp;(EOMONTH(Q$21,0)-$B$86))*(1-$D$84)*(1-$D$10)-Q$54</f>
        <v>0</v>
      </c>
      <c r="R129" s="93">
        <f>SUMIFS($C$45:$R$45,$C$46:$R$46,"&gt;="&amp;(R$21-$B$86),$C$46:$R$46,"&lt;="&amp;(EOMONTH(R$21,0)-$B$86))*(1-$D$84)*(1-$D$10)-R$54</f>
        <v>0</v>
      </c>
    </row>
    <row r="130">
      <c r="A130" s="73" t="inlineStr">
        <is>
          <t>Cenário atraso 15 d, glosa 10%: 343 acumulado</t>
        </is>
      </c>
      <c r="C130" s="93">
        <f>SUM($C129:C129)</f>
        <v>-55670.76</v>
      </c>
      <c r="D130" s="93">
        <f>SUM($C129:D129)</f>
        <v>-820642.78</v>
      </c>
      <c r="E130" s="93">
        <f>SUM($C129:E129)</f>
        <v>-1401325.62</v>
      </c>
      <c r="F130" s="93">
        <f>SUM($C129:F129)</f>
        <v>-868251.741885</v>
      </c>
      <c r="G130" s="93">
        <f>SUM($C129:G129)</f>
        <v>-525676.32397</v>
      </c>
      <c r="H130" s="93">
        <f>SUM($C129:H129)</f>
        <v>-351736.01577</v>
      </c>
      <c r="I130" s="93">
        <f>SUM($C129:I129)</f>
        <v>-318795.764095</v>
      </c>
      <c r="J130" s="93">
        <f>SUM($C129:J129)</f>
        <v>-286768.60447</v>
      </c>
      <c r="K130" s="93">
        <f>SUM($C129:K129)</f>
        <v>3655.43749000027</v>
      </c>
      <c r="L130" s="93">
        <f>SUM($C129:L129)</f>
        <v>451841.713795</v>
      </c>
      <c r="M130" s="93">
        <f>SUM($C129:M129)</f>
        <v>704590.432615</v>
      </c>
      <c r="N130" s="93">
        <f>SUM($C129:N129)</f>
        <v>704590.432615</v>
      </c>
      <c r="O130" s="93">
        <f>SUM($C129:O129)</f>
        <v>704590.432615</v>
      </c>
      <c r="P130" s="93">
        <f>SUM($C129:P129)</f>
        <v>704590.432615</v>
      </c>
      <c r="Q130" s="93">
        <f>SUM($C129:Q129)</f>
        <v>704590.432615</v>
      </c>
      <c r="R130" s="93">
        <f>SUM($C129:R129)</f>
        <v>704590.432615</v>
      </c>
    </row>
    <row r="131">
      <c r="A131" s="73" t="inlineStr">
        <is>
          <t>Cenário atraso 15 d, glosa 10%: empresa acumulado</t>
        </is>
      </c>
      <c r="C131" s="93">
        <f>C128+C130</f>
        <v>-55670.76</v>
      </c>
      <c r="D131" s="93">
        <f>D128+D130</f>
        <v>-850168.76</v>
      </c>
      <c r="E131" s="93">
        <f>E128+E130</f>
        <v>-1709964.04</v>
      </c>
      <c r="F131" s="93">
        <f>F128+F130</f>
        <v>-1548676.891885</v>
      </c>
      <c r="G131" s="93">
        <f>G128+G130</f>
        <v>-1531959.78184</v>
      </c>
      <c r="H131" s="93">
        <f>H128+H130</f>
        <v>-1528262.30298</v>
      </c>
      <c r="I131" s="93">
        <f>I128+I130</f>
        <v>-967245.702095</v>
      </c>
      <c r="J131" s="93">
        <f>J128+J130</f>
        <v>-1092972.939015</v>
      </c>
      <c r="K131" s="93">
        <f>K128+K130</f>
        <v>-1183421.778345</v>
      </c>
      <c r="L131" s="93">
        <f>L128+L130</f>
        <v>-283550.17477</v>
      </c>
      <c r="M131" s="93">
        <f>M128+M130</f>
        <v>-59558.1830099997</v>
      </c>
      <c r="N131" s="93">
        <f>N128+N130</f>
        <v>118583.05711</v>
      </c>
      <c r="O131" s="93">
        <f>O128+O130</f>
        <v>117653.08651</v>
      </c>
      <c r="P131" s="93">
        <f>P128+P130</f>
        <v>172767.88276</v>
      </c>
      <c r="Q131" s="93">
        <f>Q128+Q130</f>
        <v>175070.117005</v>
      </c>
      <c r="R131" s="93">
        <f>R128+R130</f>
        <v>175070.117005</v>
      </c>
    </row>
    <row r="132">
      <c r="A132" s="73" t="inlineStr">
        <is>
          <t>Cenário atraso 15 d, glosa 20%: 342 saldo do mês</t>
        </is>
      </c>
      <c r="C132" s="93">
        <f>SUMIFS($C$23:$R$23,$C$24:$R$24,"&gt;="&amp;(C$21-$B$86),$C$24:$R$24,"&lt;="&amp;(EOMONTH(C$21,0)-$B$86))*(1-$E$84)*(1-$C$10)-C$32</f>
        <v>0</v>
      </c>
      <c r="D132" s="93">
        <f>SUMIFS($C$23:$R$23,$C$24:$R$24,"&gt;="&amp;(D$21-$B$86),$C$24:$R$24,"&lt;="&amp;(EOMONTH(D$21,0)-$B$86))*(1-$E$84)*(1-$C$10)-D$32</f>
        <v>-29525.98</v>
      </c>
      <c r="E132" s="93">
        <f>SUMIFS($C$23:$R$23,$C$24:$R$24,"&gt;="&amp;(E$21-$B$86),$C$24:$R$24,"&lt;="&amp;(EOMONTH(E$21,0)-$B$86))*(1-$E$84)*(1-$C$10)-E$32</f>
        <v>-279112.44</v>
      </c>
      <c r="F132" s="93">
        <f>SUMIFS($C$23:$R$23,$C$24:$R$24,"&gt;="&amp;(F$21-$B$86),$C$24:$R$24,"&lt;="&amp;(EOMONTH(F$21,0)-$B$86))*(1-$E$84)*(1-$C$10)-F$32</f>
        <v>-371786.73</v>
      </c>
      <c r="G132" s="93">
        <f>SUMIFS($C$23:$R$23,$C$24:$R$24,"&gt;="&amp;(G$21-$B$86),$C$24:$R$24,"&lt;="&amp;(EOMONTH(G$21,0)-$B$86))*(1-$E$84)*(1-$C$10)-G$32</f>
        <v>-343081.13144</v>
      </c>
      <c r="H132" s="93">
        <f>SUMIFS($C$23:$R$23,$C$24:$R$24,"&gt;="&amp;(H$21-$B$86),$C$24:$R$24,"&lt;="&amp;(EOMONTH(H$21,0)-$B$86))*(1-$E$84)*(1-$C$10)-H$32</f>
        <v>-178404.40608</v>
      </c>
      <c r="I132" s="93">
        <f>SUMIFS($C$23:$R$23,$C$24:$R$24,"&gt;="&amp;(I$21-$B$86),$C$24:$R$24,"&lt;="&amp;(EOMONTH(I$21,0)-$B$86))*(1-$E$84)*(1-$C$10)-I$32</f>
        <v>440599.89152</v>
      </c>
      <c r="J132" s="93">
        <f>SUMIFS($C$23:$R$23,$C$24:$R$24,"&gt;="&amp;(J$21-$B$86),$C$24:$R$24,"&lt;="&amp;(EOMONTH(J$21,0)-$B$86))*(1-$E$84)*(1-$C$10)-J$32</f>
        <v>-159386.98804</v>
      </c>
      <c r="K132" s="93">
        <f>SUMIFS($C$23:$R$23,$C$24:$R$24,"&gt;="&amp;(K$21-$B$86),$C$24:$R$24,"&lt;="&amp;(EOMONTH(K$21,0)-$B$86))*(1-$E$84)*(1-$C$10)-K$32</f>
        <v>-409531.03448</v>
      </c>
      <c r="L132" s="93">
        <f>SUMIFS($C$23:$R$23,$C$24:$R$24,"&gt;="&amp;(L$21-$B$86),$C$24:$R$24,"&lt;="&amp;(EOMONTH(L$21,0)-$B$86))*(1-$E$84)*(1-$C$10)-L$32</f>
        <v>368968.15424</v>
      </c>
      <c r="M132" s="93">
        <f>SUMIFS($C$23:$R$23,$C$24:$R$24,"&gt;="&amp;(M$21-$B$86),$C$24:$R$24,"&lt;="&amp;(EOMONTH(M$21,0)-$B$86))*(1-$E$84)*(1-$C$10)-M$32</f>
        <v>-51964.79072</v>
      </c>
      <c r="N132" s="93">
        <f>SUMIFS($C$23:$R$23,$C$24:$R$24,"&gt;="&amp;(N$21-$B$86),$C$24:$R$24,"&lt;="&amp;(EOMONTH(N$21,0)-$B$86))*(1-$E$84)*(1-$C$10)-N$32</f>
        <v>140138.00344</v>
      </c>
      <c r="O132" s="93">
        <f>SUMIFS($C$23:$R$23,$C$24:$R$24,"&gt;="&amp;(O$21-$B$86),$C$24:$R$24,"&lt;="&amp;(EOMONTH(O$21,0)-$B$86))*(1-$E$84)*(1-$C$10)-O$32</f>
        <v>-5574.54719999999</v>
      </c>
      <c r="P132" s="93">
        <f>SUMIFS($C$23:$R$23,$C$24:$R$24,"&gt;="&amp;(P$21-$B$86),$C$24:$R$24,"&lt;="&amp;(EOMONTH(P$21,0)-$B$86))*(1-$E$84)*(1-$C$10)-P$32</f>
        <v>48990.93</v>
      </c>
      <c r="Q132" s="93">
        <f>SUMIFS($C$23:$R$23,$C$24:$R$24,"&gt;="&amp;(Q$21-$B$86),$C$24:$R$24,"&lt;="&amp;(EOMONTH(Q$21,0)-$B$86))*(1-$E$84)*(1-$C$10)-Q$32</f>
        <v>2046.43044</v>
      </c>
      <c r="R132" s="93">
        <f>SUMIFS($C$23:$R$23,$C$24:$R$24,"&gt;="&amp;(R$21-$B$86),$C$24:$R$24,"&lt;="&amp;(EOMONTH(R$21,0)-$B$86))*(1-$E$84)*(1-$C$10)-R$32</f>
        <v>0</v>
      </c>
    </row>
    <row r="133">
      <c r="A133" s="73" t="inlineStr">
        <is>
          <t>Cenário atraso 15 d, glosa 20%: 342 acumulado</t>
        </is>
      </c>
      <c r="C133" s="93">
        <f>SUM($C132:C132)</f>
        <v>0</v>
      </c>
      <c r="D133" s="93">
        <f>SUM($C132:D132)</f>
        <v>-29525.98</v>
      </c>
      <c r="E133" s="93">
        <f>SUM($C132:E132)</f>
        <v>-308638.42</v>
      </c>
      <c r="F133" s="93">
        <f>SUM($C132:F132)</f>
        <v>-680425.15</v>
      </c>
      <c r="G133" s="93">
        <f>SUM($C132:G132)</f>
        <v>-1023506.28144</v>
      </c>
      <c r="H133" s="93">
        <f>SUM($C132:H132)</f>
        <v>-1201910.68752</v>
      </c>
      <c r="I133" s="93">
        <f>SUM($C132:I132)</f>
        <v>-761310.796</v>
      </c>
      <c r="J133" s="93">
        <f>SUM($C132:J132)</f>
        <v>-920697.78404</v>
      </c>
      <c r="K133" s="93">
        <f>SUM($C132:K132)</f>
        <v>-1330228.81852</v>
      </c>
      <c r="L133" s="93">
        <f>SUM($C132:L132)</f>
        <v>-961260.66428</v>
      </c>
      <c r="M133" s="93">
        <f>SUM($C132:M132)</f>
        <v>-1013225.455</v>
      </c>
      <c r="N133" s="93">
        <f>SUM($C132:N132)</f>
        <v>-873087.45156</v>
      </c>
      <c r="O133" s="93">
        <f>SUM($C132:O132)</f>
        <v>-878661.99876</v>
      </c>
      <c r="P133" s="93">
        <f>SUM($C132:P132)</f>
        <v>-829671.06876</v>
      </c>
      <c r="Q133" s="93">
        <f>SUM($C132:Q132)</f>
        <v>-827624.63832</v>
      </c>
      <c r="R133" s="93">
        <f>SUM($C132:R132)</f>
        <v>-827624.63832</v>
      </c>
    </row>
    <row r="134">
      <c r="A134" s="73" t="inlineStr">
        <is>
          <t>Cenário atraso 15 d, glosa 20%: 343 saldo do mês</t>
        </is>
      </c>
      <c r="C134" s="93">
        <f>SUMIFS($C$45:$R$45,$C$46:$R$46,"&gt;="&amp;(C$21-$B$86),$C$46:$R$46,"&lt;="&amp;(EOMONTH(C$21,0)-$B$86))*(1-$E$84)*(1-$D$10)-C$54</f>
        <v>-55670.76</v>
      </c>
      <c r="D134" s="93">
        <f>SUMIFS($C$45:$R$45,$C$46:$R$46,"&gt;="&amp;(D$21-$B$86),$C$46:$R$46,"&lt;="&amp;(EOMONTH(D$21,0)-$B$86))*(1-$E$84)*(1-$D$10)-D$54</f>
        <v>-764972.02</v>
      </c>
      <c r="E134" s="93">
        <f>SUMIFS($C$45:$R$45,$C$46:$R$46,"&gt;="&amp;(E$21-$B$86),$C$46:$R$46,"&lt;="&amp;(EOMONTH(E$21,0)-$B$86))*(1-$E$84)*(1-$D$10)-E$54</f>
        <v>-580682.84</v>
      </c>
      <c r="F134" s="93">
        <f>SUMIFS($C$45:$R$45,$C$46:$R$46,"&gt;="&amp;(F$21-$B$86),$C$46:$R$46,"&lt;="&amp;(EOMONTH(F$21,0)-$B$86))*(1-$E$84)*(1-$D$10)-F$54</f>
        <v>424949.78388</v>
      </c>
      <c r="G134" s="93">
        <f>SUMIFS($C$45:$R$45,$C$46:$R$46,"&gt;="&amp;(G$21-$B$86),$C$46:$R$46,"&lt;="&amp;(EOMONTH(G$21,0)-$B$86))*(1-$E$84)*(1-$D$10)-G$54</f>
        <v>261331.57148</v>
      </c>
      <c r="H134" s="93">
        <f>SUMIFS($C$45:$R$45,$C$46:$R$46,"&gt;="&amp;(H$21-$B$86),$C$46:$R$46,"&lt;="&amp;(EOMONTH(H$21,0)-$B$86))*(1-$E$84)*(1-$D$10)-H$54</f>
        <v>115751.6884</v>
      </c>
      <c r="I134" s="93">
        <f>SUMIFS($C$45:$R$45,$C$46:$R$46,"&gt;="&amp;(I$21-$B$86),$C$46:$R$46,"&lt;="&amp;(EOMONTH(I$21,0)-$B$86))*(1-$E$84)*(1-$D$10)-I$54</f>
        <v>-18217.6773999999</v>
      </c>
      <c r="J134" s="93">
        <f>SUMIFS($C$45:$R$45,$C$46:$R$46,"&gt;="&amp;(J$21-$B$86),$C$46:$R$46,"&lt;="&amp;(EOMONTH(J$21,0)-$B$86))*(1-$E$84)*(1-$D$10)-J$54</f>
        <v>-14014.977</v>
      </c>
      <c r="K134" s="93">
        <f>SUMIFS($C$45:$R$45,$C$46:$R$46,"&gt;="&amp;(K$21-$B$86),$C$46:$R$46,"&lt;="&amp;(EOMONTH(K$21,0)-$B$86))*(1-$E$84)*(1-$D$10)-K$54</f>
        <v>234150.31952</v>
      </c>
      <c r="L134" s="93">
        <f>SUMIFS($C$45:$R$45,$C$46:$R$46,"&gt;="&amp;(L$21-$B$86),$C$46:$R$46,"&lt;="&amp;(EOMONTH(L$21,0)-$B$86))*(1-$E$84)*(1-$D$10)-L$54</f>
        <v>398387.80116</v>
      </c>
      <c r="M134" s="93">
        <f>SUMIFS($C$45:$R$45,$C$46:$R$46,"&gt;="&amp;(M$21-$B$86),$C$46:$R$46,"&lt;="&amp;(EOMONTH(M$21,0)-$B$86))*(1-$E$84)*(1-$D$10)-M$54</f>
        <v>224665.52784</v>
      </c>
      <c r="N134" s="93">
        <f>SUMIFS($C$45:$R$45,$C$46:$R$46,"&gt;="&amp;(N$21-$B$86),$C$46:$R$46,"&lt;="&amp;(EOMONTH(N$21,0)-$B$86))*(1-$E$84)*(1-$D$10)-N$54</f>
        <v>0</v>
      </c>
      <c r="O134" s="93">
        <f>SUMIFS($C$45:$R$45,$C$46:$R$46,"&gt;="&amp;(O$21-$B$86),$C$46:$R$46,"&lt;="&amp;(EOMONTH(O$21,0)-$B$86))*(1-$E$84)*(1-$D$10)-O$54</f>
        <v>0</v>
      </c>
      <c r="P134" s="93">
        <f>SUMIFS($C$45:$R$45,$C$46:$R$46,"&gt;="&amp;(P$21-$B$86),$C$46:$R$46,"&lt;="&amp;(EOMONTH(P$21,0)-$B$86))*(1-$E$84)*(1-$D$10)-P$54</f>
        <v>0</v>
      </c>
      <c r="Q134" s="93">
        <f>SUMIFS($C$45:$R$45,$C$46:$R$46,"&gt;="&amp;(Q$21-$B$86),$C$46:$R$46,"&lt;="&amp;(EOMONTH(Q$21,0)-$B$86))*(1-$E$84)*(1-$D$10)-Q$54</f>
        <v>0</v>
      </c>
      <c r="R134" s="93">
        <f>SUMIFS($C$45:$R$45,$C$46:$R$46,"&gt;="&amp;(R$21-$B$86),$C$46:$R$46,"&lt;="&amp;(EOMONTH(R$21,0)-$B$86))*(1-$E$84)*(1-$D$10)-R$54</f>
        <v>0</v>
      </c>
    </row>
    <row r="135">
      <c r="A135" s="73" t="inlineStr">
        <is>
          <t>Cenário atraso 15 d, glosa 20%: 343 acumulado</t>
        </is>
      </c>
      <c r="C135" s="93">
        <f>SUM($C134:C134)</f>
        <v>-55670.76</v>
      </c>
      <c r="D135" s="93">
        <f>SUM($C134:D134)</f>
        <v>-820642.78</v>
      </c>
      <c r="E135" s="93">
        <f>SUM($C134:E134)</f>
        <v>-1401325.62</v>
      </c>
      <c r="F135" s="93">
        <f>SUM($C134:F134)</f>
        <v>-976375.83612</v>
      </c>
      <c r="G135" s="93">
        <f>SUM($C134:G134)</f>
        <v>-715044.26464</v>
      </c>
      <c r="H135" s="93">
        <f>SUM($C134:H134)</f>
        <v>-599292.57624</v>
      </c>
      <c r="I135" s="93">
        <f>SUM($C134:I134)</f>
        <v>-617510.25364</v>
      </c>
      <c r="J135" s="93">
        <f>SUM($C134:J134)</f>
        <v>-631525.23064</v>
      </c>
      <c r="K135" s="93">
        <f>SUM($C134:K134)</f>
        <v>-397374.91112</v>
      </c>
      <c r="L135" s="93">
        <f>SUM($C134:L134)</f>
        <v>1012.89004000038</v>
      </c>
      <c r="M135" s="93">
        <f>SUM($C134:M134)</f>
        <v>225678.41788</v>
      </c>
      <c r="N135" s="93">
        <f>SUM($C134:N134)</f>
        <v>225678.41788</v>
      </c>
      <c r="O135" s="93">
        <f>SUM($C134:O134)</f>
        <v>225678.41788</v>
      </c>
      <c r="P135" s="93">
        <f>SUM($C134:P134)</f>
        <v>225678.41788</v>
      </c>
      <c r="Q135" s="93">
        <f>SUM($C134:Q134)</f>
        <v>225678.41788</v>
      </c>
      <c r="R135" s="93">
        <f>SUM($C134:R134)</f>
        <v>225678.41788</v>
      </c>
    </row>
    <row r="136">
      <c r="A136" s="73" t="inlineStr">
        <is>
          <t>Cenário atraso 15 d, glosa 20%: empresa acumulado</t>
        </is>
      </c>
      <c r="C136" s="93">
        <f>C133+C135</f>
        <v>-55670.76</v>
      </c>
      <c r="D136" s="93">
        <f>D133+D135</f>
        <v>-850168.76</v>
      </c>
      <c r="E136" s="93">
        <f>E133+E135</f>
        <v>-1709964.04</v>
      </c>
      <c r="F136" s="93">
        <f>F133+F135</f>
        <v>-1656800.98612</v>
      </c>
      <c r="G136" s="93">
        <f>G133+G135</f>
        <v>-1738550.54608</v>
      </c>
      <c r="H136" s="93">
        <f>H133+H135</f>
        <v>-1801203.26376</v>
      </c>
      <c r="I136" s="93">
        <f>I133+I135</f>
        <v>-1378821.04964</v>
      </c>
      <c r="J136" s="93">
        <f>J133+J135</f>
        <v>-1552223.01468</v>
      </c>
      <c r="K136" s="93">
        <f>K133+K135</f>
        <v>-1727603.72964</v>
      </c>
      <c r="L136" s="93">
        <f>L133+L135</f>
        <v>-960247.77424</v>
      </c>
      <c r="M136" s="93">
        <f>M133+M135</f>
        <v>-787547.037119999</v>
      </c>
      <c r="N136" s="93">
        <f>N133+N135</f>
        <v>-647409.033679999</v>
      </c>
      <c r="O136" s="93">
        <f>O133+O135</f>
        <v>-652983.580879999</v>
      </c>
      <c r="P136" s="93">
        <f>P133+P135</f>
        <v>-603992.650879999</v>
      </c>
      <c r="Q136" s="93">
        <f>Q133+Q135</f>
        <v>-601946.220439999</v>
      </c>
      <c r="R136" s="93">
        <f>R133+R135</f>
        <v>-601946.220439999</v>
      </c>
    </row>
    <row r="137">
      <c r="A137" s="73" t="inlineStr">
        <is>
          <t>Cenário atraso 30 d, glosa 0%: 342 saldo do mês</t>
        </is>
      </c>
      <c r="C137" s="93">
        <f>SUMIFS($C$23:$R$23,$C$24:$R$24,"&gt;="&amp;(C$21-$B$87),$C$24:$R$24,"&lt;="&amp;(EOMONTH(C$21,0)-$B$87))*(1-$C$84)*(1-$C$10)-C$32</f>
        <v>0</v>
      </c>
      <c r="D137" s="93">
        <f>SUMIFS($C$23:$R$23,$C$24:$R$24,"&gt;="&amp;(D$21-$B$87),$C$24:$R$24,"&lt;="&amp;(EOMONTH(D$21,0)-$B$87))*(1-$C$84)*(1-$C$10)-D$32</f>
        <v>-29525.98</v>
      </c>
      <c r="E137" s="93">
        <f>SUMIFS($C$23:$R$23,$C$24:$R$24,"&gt;="&amp;(E$21-$B$87),$C$24:$R$24,"&lt;="&amp;(EOMONTH(E$21,0)-$B$87))*(1-$C$84)*(1-$C$10)-E$32</f>
        <v>-279112.44</v>
      </c>
      <c r="F137" s="93">
        <f>SUMIFS($C$23:$R$23,$C$24:$R$24,"&gt;="&amp;(F$21-$B$87),$C$24:$R$24,"&lt;="&amp;(EOMONTH(F$21,0)-$B$87))*(1-$C$84)*(1-$C$10)-F$32</f>
        <v>-371786.73</v>
      </c>
      <c r="G137" s="93">
        <f>SUMIFS($C$23:$R$23,$C$24:$R$24,"&gt;="&amp;(G$21-$B$87),$C$24:$R$24,"&lt;="&amp;(EOMONTH(G$21,0)-$B$87))*(1-$C$84)*(1-$C$10)-G$32</f>
        <v>-308635.4843</v>
      </c>
      <c r="H137" s="93">
        <f>SUMIFS($C$23:$R$23,$C$24:$R$24,"&gt;="&amp;(H$21-$B$87),$C$24:$R$24,"&lt;="&amp;(EOMONTH(H$21,0)-$B$87))*(1-$C$84)*(1-$C$10)-H$32</f>
        <v>-243697.02</v>
      </c>
      <c r="I137" s="93">
        <f>SUMIFS($C$23:$R$23,$C$24:$R$24,"&gt;="&amp;(I$21-$B$87),$C$24:$R$24,"&lt;="&amp;(EOMONTH(I$21,0)-$B$87))*(1-$C$84)*(1-$C$10)-I$32</f>
        <v>697168.5743</v>
      </c>
      <c r="J137" s="93">
        <f>SUMIFS($C$23:$R$23,$C$24:$R$24,"&gt;="&amp;(J$21-$B$87),$C$24:$R$24,"&lt;="&amp;(EOMONTH(J$21,0)-$B$87))*(1-$C$84)*(1-$C$10)-J$32</f>
        <v>-156121.80505</v>
      </c>
      <c r="K137" s="93">
        <f>SUMIFS($C$23:$R$23,$C$24:$R$24,"&gt;="&amp;(K$21-$B$87),$C$24:$R$24,"&lt;="&amp;(EOMONTH(K$21,0)-$B$87))*(1-$C$84)*(1-$C$10)-K$32</f>
        <v>-352214.7281</v>
      </c>
      <c r="L137" s="93">
        <f>SUMIFS($C$23:$R$23,$C$24:$R$24,"&gt;="&amp;(L$21-$B$87),$C$24:$R$24,"&lt;="&amp;(EOMONTH(L$21,0)-$B$87))*(1-$C$84)*(1-$C$10)-L$32</f>
        <v>534402.5003</v>
      </c>
      <c r="M137" s="93">
        <f>SUMIFS($C$23:$R$23,$C$24:$R$24,"&gt;="&amp;(M$21-$B$87),$C$24:$R$24,"&lt;="&amp;(EOMONTH(M$21,0)-$B$87))*(1-$C$84)*(1-$C$10)-M$32</f>
        <v>-5548.66339999996</v>
      </c>
      <c r="N137" s="93">
        <f>SUMIFS($C$23:$R$23,$C$24:$R$24,"&gt;="&amp;(N$21-$B$87),$C$24:$R$24,"&lt;="&amp;(EOMONTH(N$21,0)-$B$87))*(1-$C$84)*(1-$C$10)-N$32</f>
        <v>216144.4768</v>
      </c>
      <c r="O137" s="93">
        <f>SUMIFS($C$23:$R$23,$C$24:$R$24,"&gt;="&amp;(O$21-$B$87),$C$24:$R$24,"&lt;="&amp;(EOMONTH(O$21,0)-$B$87))*(1-$C$84)*(1-$C$10)-O$32</f>
        <v>3714.606</v>
      </c>
      <c r="P137" s="93">
        <f>SUMIFS($C$23:$R$23,$C$24:$R$24,"&gt;="&amp;(P$21-$B$87),$C$24:$R$24,"&lt;="&amp;(EOMONTH(P$21,0)-$B$87))*(1-$C$84)*(1-$C$10)-P$32</f>
        <v>61238.6625</v>
      </c>
      <c r="Q137" s="93">
        <f>SUMIFS($C$23:$R$23,$C$24:$R$24,"&gt;="&amp;(Q$21-$B$87),$C$24:$R$24,"&lt;="&amp;(EOMONTH(Q$21,0)-$B$87))*(1-$C$84)*(1-$C$10)-Q$32</f>
        <v>0</v>
      </c>
      <c r="R137" s="93">
        <f>SUMIFS($C$23:$R$23,$C$24:$R$24,"&gt;="&amp;(R$21-$B$87),$C$24:$R$24,"&lt;="&amp;(EOMONTH(R$21,0)-$B$87))*(1-$C$84)*(1-$C$10)-R$32</f>
        <v>2558.03805</v>
      </c>
    </row>
    <row r="138">
      <c r="A138" s="73" t="inlineStr">
        <is>
          <t>Cenário atraso 30 d, glosa 0%: 342 acumulado</t>
        </is>
      </c>
      <c r="C138" s="93">
        <f>SUM($C137:C137)</f>
        <v>0</v>
      </c>
      <c r="D138" s="93">
        <f>SUM($C137:D137)</f>
        <v>-29525.98</v>
      </c>
      <c r="E138" s="93">
        <f>SUM($C137:E137)</f>
        <v>-308638.42</v>
      </c>
      <c r="F138" s="93">
        <f>SUM($C137:F137)</f>
        <v>-680425.15</v>
      </c>
      <c r="G138" s="93">
        <f>SUM($C137:G137)</f>
        <v>-989060.6343</v>
      </c>
      <c r="H138" s="93">
        <f>SUM($C137:H137)</f>
        <v>-1232757.6543</v>
      </c>
      <c r="I138" s="93">
        <f>SUM($C137:I137)</f>
        <v>-535589.08</v>
      </c>
      <c r="J138" s="93">
        <f>SUM($C137:J137)</f>
        <v>-691710.88505</v>
      </c>
      <c r="K138" s="93">
        <f>SUM($C137:K137)</f>
        <v>-1043925.61315</v>
      </c>
      <c r="L138" s="93">
        <f>SUM($C137:L137)</f>
        <v>-509523.11285</v>
      </c>
      <c r="M138" s="93">
        <f>SUM($C137:M137)</f>
        <v>-515071.77625</v>
      </c>
      <c r="N138" s="93">
        <f>SUM($C137:N137)</f>
        <v>-298927.29945</v>
      </c>
      <c r="O138" s="93">
        <f>SUM($C137:O137)</f>
        <v>-295212.69345</v>
      </c>
      <c r="P138" s="93">
        <f>SUM($C137:P137)</f>
        <v>-233974.03095</v>
      </c>
      <c r="Q138" s="93">
        <f>SUM($C137:Q137)</f>
        <v>-233974.03095</v>
      </c>
      <c r="R138" s="93">
        <f>SUM($C137:R137)</f>
        <v>-231415.9929</v>
      </c>
    </row>
    <row r="139">
      <c r="A139" s="73" t="inlineStr">
        <is>
          <t>Cenário atraso 30 d, glosa 0%: 343 saldo do mês</t>
        </is>
      </c>
      <c r="C139" s="93">
        <f>SUMIFS($C$45:$R$45,$C$46:$R$46,"&gt;="&amp;(C$21-$B$87),$C$46:$R$46,"&lt;="&amp;(EOMONTH(C$21,0)-$B$87))*(1-$C$84)*(1-$D$10)-C$54</f>
        <v>-55670.76</v>
      </c>
      <c r="D139" s="93">
        <f>SUMIFS($C$45:$R$45,$C$46:$R$46,"&gt;="&amp;(D$21-$B$87),$C$46:$R$46,"&lt;="&amp;(EOMONTH(D$21,0)-$B$87))*(1-$C$84)*(1-$D$10)-D$54</f>
        <v>-764972.02</v>
      </c>
      <c r="E139" s="93">
        <f>SUMIFS($C$45:$R$45,$C$46:$R$46,"&gt;="&amp;(E$21-$B$87),$C$46:$R$46,"&lt;="&amp;(EOMONTH(E$21,0)-$B$87))*(1-$C$84)*(1-$D$10)-E$54</f>
        <v>-580682.84</v>
      </c>
      <c r="F139" s="93">
        <f>SUMIFS($C$45:$R$45,$C$46:$R$46,"&gt;="&amp;(F$21-$B$87),$C$46:$R$46,"&lt;="&amp;(EOMONTH(F$21,0)-$B$87))*(1-$C$84)*(1-$D$10)-F$54</f>
        <v>-440042.97</v>
      </c>
      <c r="G139" s="93">
        <f>SUMIFS($C$45:$R$45,$C$46:$R$46,"&gt;="&amp;(G$21-$B$87),$C$46:$R$46,"&lt;="&amp;(EOMONTH(G$21,0)-$B$87))*(1-$C$84)*(1-$D$10)-G$54</f>
        <v>1505060.2067</v>
      </c>
      <c r="H139" s="93">
        <f>SUMIFS($C$45:$R$45,$C$46:$R$46,"&gt;="&amp;(H$21-$B$87),$C$46:$R$46,"&lt;="&amp;(EOMONTH(H$21,0)-$B$87))*(1-$C$84)*(1-$D$10)-H$54</f>
        <v>-349757.27</v>
      </c>
      <c r="I139" s="93">
        <f>SUMIFS($C$45:$R$45,$C$46:$R$46,"&gt;="&amp;(I$21-$B$87),$C$46:$R$46,"&lt;="&amp;(EOMONTH(I$21,0)-$B$87))*(1-$C$84)*(1-$D$10)-I$54</f>
        <v>154405.088</v>
      </c>
      <c r="J139" s="93">
        <f>SUMIFS($C$45:$R$45,$C$46:$R$46,"&gt;="&amp;(J$21-$B$87),$C$46:$R$46,"&lt;="&amp;(EOMONTH(J$21,0)-$B$87))*(1-$C$84)*(1-$D$10)-J$54</f>
        <v>589648.587</v>
      </c>
      <c r="K139" s="93">
        <f>SUMIFS($C$45:$R$45,$C$46:$R$46,"&gt;="&amp;(K$21-$B$87),$C$46:$R$46,"&lt;="&amp;(EOMONTH(K$21,0)-$B$87))*(1-$C$84)*(1-$D$10)-K$54</f>
        <v>-216039.46</v>
      </c>
      <c r="L139" s="93">
        <f>SUMIFS($C$45:$R$45,$C$46:$R$46,"&gt;="&amp;(L$21-$B$87),$C$46:$R$46,"&lt;="&amp;(EOMONTH(L$21,0)-$B$87))*(1-$C$84)*(1-$D$10)-L$54</f>
        <v>562737.2244</v>
      </c>
      <c r="M139" s="93">
        <f>SUMIFS($C$45:$R$45,$C$46:$R$46,"&gt;="&amp;(M$21-$B$87),$C$46:$R$46,"&lt;="&amp;(EOMONTH(M$21,0)-$B$87))*(1-$C$84)*(1-$D$10)-M$54</f>
        <v>778816.66125</v>
      </c>
      <c r="N139" s="93">
        <f>SUMIFS($C$45:$R$45,$C$46:$R$46,"&gt;="&amp;(N$21-$B$87),$C$46:$R$46,"&lt;="&amp;(EOMONTH(N$21,0)-$B$87))*(1-$C$84)*(1-$D$10)-N$54</f>
        <v>0</v>
      </c>
      <c r="O139" s="93">
        <f>SUMIFS($C$45:$R$45,$C$46:$R$46,"&gt;="&amp;(O$21-$B$87),$C$46:$R$46,"&lt;="&amp;(EOMONTH(O$21,0)-$B$87))*(1-$C$84)*(1-$D$10)-O$54</f>
        <v>0</v>
      </c>
      <c r="P139" s="93">
        <f>SUMIFS($C$45:$R$45,$C$46:$R$46,"&gt;="&amp;(P$21-$B$87),$C$46:$R$46,"&lt;="&amp;(EOMONTH(P$21,0)-$B$87))*(1-$C$84)*(1-$D$10)-P$54</f>
        <v>0</v>
      </c>
      <c r="Q139" s="93">
        <f>SUMIFS($C$45:$R$45,$C$46:$R$46,"&gt;="&amp;(Q$21-$B$87),$C$46:$R$46,"&lt;="&amp;(EOMONTH(Q$21,0)-$B$87))*(1-$C$84)*(1-$D$10)-Q$54</f>
        <v>0</v>
      </c>
      <c r="R139" s="93">
        <f>SUMIFS($C$45:$R$45,$C$46:$R$46,"&gt;="&amp;(R$21-$B$87),$C$46:$R$46,"&lt;="&amp;(EOMONTH(R$21,0)-$B$87))*(1-$C$84)*(1-$D$10)-R$54</f>
        <v>0</v>
      </c>
    </row>
    <row r="140">
      <c r="A140" s="73" t="inlineStr">
        <is>
          <t>Cenário atraso 30 d, glosa 0%: 343 acumulado</t>
        </is>
      </c>
      <c r="C140" s="93">
        <f>SUM($C139:C139)</f>
        <v>-55670.76</v>
      </c>
      <c r="D140" s="93">
        <f>SUM($C139:D139)</f>
        <v>-820642.78</v>
      </c>
      <c r="E140" s="93">
        <f>SUM($C139:E139)</f>
        <v>-1401325.62</v>
      </c>
      <c r="F140" s="93">
        <f>SUM($C139:F139)</f>
        <v>-1841368.59</v>
      </c>
      <c r="G140" s="93">
        <f>SUM($C139:G139)</f>
        <v>-336308.3833</v>
      </c>
      <c r="H140" s="93">
        <f>SUM($C139:H139)</f>
        <v>-686065.6533</v>
      </c>
      <c r="I140" s="93">
        <f>SUM($C139:I139)</f>
        <v>-531660.5653</v>
      </c>
      <c r="J140" s="93">
        <f>SUM($C139:J139)</f>
        <v>57988.0217000003</v>
      </c>
      <c r="K140" s="93">
        <f>SUM($C139:K139)</f>
        <v>-158051.4383</v>
      </c>
      <c r="L140" s="93">
        <f>SUM($C139:L139)</f>
        <v>404685.7861</v>
      </c>
      <c r="M140" s="93">
        <f>SUM($C139:M139)</f>
        <v>1183502.44735</v>
      </c>
      <c r="N140" s="93">
        <f>SUM($C139:N139)</f>
        <v>1183502.44735</v>
      </c>
      <c r="O140" s="93">
        <f>SUM($C139:O139)</f>
        <v>1183502.44735</v>
      </c>
      <c r="P140" s="93">
        <f>SUM($C139:P139)</f>
        <v>1183502.44735</v>
      </c>
      <c r="Q140" s="93">
        <f>SUM($C139:Q139)</f>
        <v>1183502.44735</v>
      </c>
      <c r="R140" s="93">
        <f>SUM($C139:R139)</f>
        <v>1183502.44735</v>
      </c>
    </row>
    <row r="141">
      <c r="A141" s="73" t="inlineStr">
        <is>
          <t>Cenário atraso 30 d, glosa 0%: empresa acumulado</t>
        </is>
      </c>
      <c r="C141" s="93">
        <f>C138+C140</f>
        <v>-55670.76</v>
      </c>
      <c r="D141" s="93">
        <f>D138+D140</f>
        <v>-850168.76</v>
      </c>
      <c r="E141" s="93">
        <f>E138+E140</f>
        <v>-1709964.04</v>
      </c>
      <c r="F141" s="93">
        <f>F138+F140</f>
        <v>-2521793.74</v>
      </c>
      <c r="G141" s="93">
        <f>G138+G140</f>
        <v>-1325369.0176</v>
      </c>
      <c r="H141" s="93">
        <f>H138+H140</f>
        <v>-1918823.3076</v>
      </c>
      <c r="I141" s="93">
        <f>I138+I140</f>
        <v>-1067249.6453</v>
      </c>
      <c r="J141" s="93">
        <f>J138+J140</f>
        <v>-633722.86335</v>
      </c>
      <c r="K141" s="93">
        <f>K138+K140</f>
        <v>-1201977.05145</v>
      </c>
      <c r="L141" s="93">
        <f>L138+L140</f>
        <v>-104837.32675</v>
      </c>
      <c r="M141" s="93">
        <f>M138+M140</f>
        <v>668430.6711</v>
      </c>
      <c r="N141" s="93">
        <f>N138+N140</f>
        <v>884575.1479</v>
      </c>
      <c r="O141" s="93">
        <f>O138+O140</f>
        <v>888289.7539</v>
      </c>
      <c r="P141" s="93">
        <f>P138+P140</f>
        <v>949528.4164</v>
      </c>
      <c r="Q141" s="93">
        <f>Q138+Q140</f>
        <v>949528.4164</v>
      </c>
      <c r="R141" s="93">
        <f>R138+R140</f>
        <v>952086.45445</v>
      </c>
    </row>
    <row r="142">
      <c r="A142" s="73" t="inlineStr">
        <is>
          <t>Cenário atraso 30 d, glosa 10%: 342 saldo do mês</t>
        </is>
      </c>
      <c r="C142" s="93">
        <f>SUMIFS($C$23:$R$23,$C$24:$R$24,"&gt;="&amp;(C$21-$B$87),$C$24:$R$24,"&lt;="&amp;(EOMONTH(C$21,0)-$B$87))*(1-$D$84)*(1-$C$10)-C$32</f>
        <v>0</v>
      </c>
      <c r="D142" s="93">
        <f>SUMIFS($C$23:$R$23,$C$24:$R$24,"&gt;="&amp;(D$21-$B$87),$C$24:$R$24,"&lt;="&amp;(EOMONTH(D$21,0)-$B$87))*(1-$D$84)*(1-$C$10)-D$32</f>
        <v>-29525.98</v>
      </c>
      <c r="E142" s="93">
        <f>SUMIFS($C$23:$R$23,$C$24:$R$24,"&gt;="&amp;(E$21-$B$87),$C$24:$R$24,"&lt;="&amp;(EOMONTH(E$21,0)-$B$87))*(1-$D$84)*(1-$C$10)-E$32</f>
        <v>-279112.44</v>
      </c>
      <c r="F142" s="93">
        <f>SUMIFS($C$23:$R$23,$C$24:$R$24,"&gt;="&amp;(F$21-$B$87),$C$24:$R$24,"&lt;="&amp;(EOMONTH(F$21,0)-$B$87))*(1-$D$84)*(1-$C$10)-F$32</f>
        <v>-371786.73</v>
      </c>
      <c r="G142" s="93">
        <f>SUMIFS($C$23:$R$23,$C$24:$R$24,"&gt;="&amp;(G$21-$B$87),$C$24:$R$24,"&lt;="&amp;(EOMONTH(G$21,0)-$B$87))*(1-$D$84)*(1-$C$10)-G$32</f>
        <v>-325858.30787</v>
      </c>
      <c r="H142" s="93">
        <f>SUMIFS($C$23:$R$23,$C$24:$R$24,"&gt;="&amp;(H$21-$B$87),$C$24:$R$24,"&lt;="&amp;(EOMONTH(H$21,0)-$B$87))*(1-$D$84)*(1-$C$10)-H$32</f>
        <v>-243697.02</v>
      </c>
      <c r="I142" s="93">
        <f>SUMIFS($C$23:$R$23,$C$24:$R$24,"&gt;="&amp;(I$21-$B$87),$C$24:$R$24,"&lt;="&amp;(EOMONTH(I$21,0)-$B$87))*(1-$D$84)*(1-$C$10)-I$32</f>
        <v>601530.53987</v>
      </c>
      <c r="J142" s="93">
        <f>SUMIFS($C$23:$R$23,$C$24:$R$24,"&gt;="&amp;(J$21-$B$87),$C$24:$R$24,"&lt;="&amp;(EOMONTH(J$21,0)-$B$87))*(1-$D$84)*(1-$C$10)-J$32</f>
        <v>-157754.396545</v>
      </c>
      <c r="K142" s="93">
        <f>SUMIFS($C$23:$R$23,$C$24:$R$24,"&gt;="&amp;(K$21-$B$87),$C$24:$R$24,"&lt;="&amp;(EOMONTH(K$21,0)-$B$87))*(1-$D$84)*(1-$C$10)-K$32</f>
        <v>-380872.88129</v>
      </c>
      <c r="L142" s="93">
        <f>SUMIFS($C$23:$R$23,$C$24:$R$24,"&gt;="&amp;(L$21-$B$87),$C$24:$R$24,"&lt;="&amp;(EOMONTH(L$21,0)-$B$87))*(1-$D$84)*(1-$C$10)-L$32</f>
        <v>451685.32727</v>
      </c>
      <c r="M142" s="93">
        <f>SUMIFS($C$23:$R$23,$C$24:$R$24,"&gt;="&amp;(M$21-$B$87),$C$24:$R$24,"&lt;="&amp;(EOMONTH(M$21,0)-$B$87))*(1-$D$84)*(1-$C$10)-M$32</f>
        <v>-28756.7270599999</v>
      </c>
      <c r="N142" s="93">
        <f>SUMIFS($C$23:$R$23,$C$24:$R$24,"&gt;="&amp;(N$21-$B$87),$C$24:$R$24,"&lt;="&amp;(EOMONTH(N$21,0)-$B$87))*(1-$D$84)*(1-$C$10)-N$32</f>
        <v>178141.24012</v>
      </c>
      <c r="O142" s="93">
        <f>SUMIFS($C$23:$R$23,$C$24:$R$24,"&gt;="&amp;(O$21-$B$87),$C$24:$R$24,"&lt;="&amp;(EOMONTH(O$21,0)-$B$87))*(1-$D$84)*(1-$C$10)-O$32</f>
        <v>-929.970600000001</v>
      </c>
      <c r="P142" s="93">
        <f>SUMIFS($C$23:$R$23,$C$24:$R$24,"&gt;="&amp;(P$21-$B$87),$C$24:$R$24,"&lt;="&amp;(EOMONTH(P$21,0)-$B$87))*(1-$D$84)*(1-$C$10)-P$32</f>
        <v>55114.79625</v>
      </c>
      <c r="Q142" s="93">
        <f>SUMIFS($C$23:$R$23,$C$24:$R$24,"&gt;="&amp;(Q$21-$B$87),$C$24:$R$24,"&lt;="&amp;(EOMONTH(Q$21,0)-$B$87))*(1-$D$84)*(1-$C$10)-Q$32</f>
        <v>0</v>
      </c>
      <c r="R142" s="93">
        <f>SUMIFS($C$23:$R$23,$C$24:$R$24,"&gt;="&amp;(R$21-$B$87),$C$24:$R$24,"&lt;="&amp;(EOMONTH(R$21,0)-$B$87))*(1-$D$84)*(1-$C$10)-R$32</f>
        <v>2302.234245</v>
      </c>
    </row>
    <row r="143">
      <c r="A143" s="73" t="inlineStr">
        <is>
          <t>Cenário atraso 30 d, glosa 10%: 342 acumulado</t>
        </is>
      </c>
      <c r="C143" s="93">
        <f>SUM($C142:C142)</f>
        <v>0</v>
      </c>
      <c r="D143" s="93">
        <f>SUM($C142:D142)</f>
        <v>-29525.98</v>
      </c>
      <c r="E143" s="93">
        <f>SUM($C142:E142)</f>
        <v>-308638.42</v>
      </c>
      <c r="F143" s="93">
        <f>SUM($C142:F142)</f>
        <v>-680425.15</v>
      </c>
      <c r="G143" s="93">
        <f>SUM($C142:G142)</f>
        <v>-1006283.45787</v>
      </c>
      <c r="H143" s="93">
        <f>SUM($C142:H142)</f>
        <v>-1249980.47787</v>
      </c>
      <c r="I143" s="93">
        <f>SUM($C142:I142)</f>
        <v>-648449.938</v>
      </c>
      <c r="J143" s="93">
        <f>SUM($C142:J142)</f>
        <v>-806204.334545</v>
      </c>
      <c r="K143" s="93">
        <f>SUM($C142:K142)</f>
        <v>-1187077.215835</v>
      </c>
      <c r="L143" s="93">
        <f>SUM($C142:L142)</f>
        <v>-735391.888565</v>
      </c>
      <c r="M143" s="93">
        <f>SUM($C142:M142)</f>
        <v>-764148.615625</v>
      </c>
      <c r="N143" s="93">
        <f>SUM($C142:N142)</f>
        <v>-586007.375505</v>
      </c>
      <c r="O143" s="93">
        <f>SUM($C142:O142)</f>
        <v>-586937.346105</v>
      </c>
      <c r="P143" s="93">
        <f>SUM($C142:P142)</f>
        <v>-531822.549855</v>
      </c>
      <c r="Q143" s="93">
        <f>SUM($C142:Q142)</f>
        <v>-531822.549855</v>
      </c>
      <c r="R143" s="93">
        <f>SUM($C142:R142)</f>
        <v>-529520.31561</v>
      </c>
    </row>
    <row r="144">
      <c r="A144" s="73" t="inlineStr">
        <is>
          <t>Cenário atraso 30 d, glosa 10%: 343 saldo do mês</t>
        </is>
      </c>
      <c r="C144" s="93">
        <f>SUMIFS($C$45:$R$45,$C$46:$R$46,"&gt;="&amp;(C$21-$B$87),$C$46:$R$46,"&lt;="&amp;(EOMONTH(C$21,0)-$B$87))*(1-$D$84)*(1-$D$10)-C$54</f>
        <v>-55670.76</v>
      </c>
      <c r="D144" s="93">
        <f>SUMIFS($C$45:$R$45,$C$46:$R$46,"&gt;="&amp;(D$21-$B$87),$C$46:$R$46,"&lt;="&amp;(EOMONTH(D$21,0)-$B$87))*(1-$D$84)*(1-$D$10)-D$54</f>
        <v>-764972.02</v>
      </c>
      <c r="E144" s="93">
        <f>SUMIFS($C$45:$R$45,$C$46:$R$46,"&gt;="&amp;(E$21-$B$87),$C$46:$R$46,"&lt;="&amp;(EOMONTH(E$21,0)-$B$87))*(1-$D$84)*(1-$D$10)-E$54</f>
        <v>-580682.84</v>
      </c>
      <c r="F144" s="93">
        <f>SUMIFS($C$45:$R$45,$C$46:$R$46,"&gt;="&amp;(F$21-$B$87),$C$46:$R$46,"&lt;="&amp;(EOMONTH(F$21,0)-$B$87))*(1-$D$84)*(1-$D$10)-F$54</f>
        <v>-440042.97</v>
      </c>
      <c r="G144" s="93">
        <f>SUMIFS($C$45:$R$45,$C$46:$R$46,"&gt;="&amp;(G$21-$B$87),$C$46:$R$46,"&lt;="&amp;(EOMONTH(G$21,0)-$B$87))*(1-$D$84)*(1-$D$10)-G$54</f>
        <v>1315692.26603</v>
      </c>
      <c r="H144" s="93">
        <f>SUMIFS($C$45:$R$45,$C$46:$R$46,"&gt;="&amp;(H$21-$B$87),$C$46:$R$46,"&lt;="&amp;(EOMONTH(H$21,0)-$B$87))*(1-$D$84)*(1-$D$10)-H$54</f>
        <v>-349757.27</v>
      </c>
      <c r="I144" s="93">
        <f>SUMIFS($C$45:$R$45,$C$46:$R$46,"&gt;="&amp;(I$21-$B$87),$C$46:$R$46,"&lt;="&amp;(EOMONTH(I$21,0)-$B$87))*(1-$D$84)*(1-$D$10)-I$54</f>
        <v>96216.4682</v>
      </c>
      <c r="J144" s="93">
        <f>SUMIFS($C$45:$R$45,$C$46:$R$46,"&gt;="&amp;(J$21-$B$87),$C$46:$R$46,"&lt;="&amp;(EOMONTH(J$21,0)-$B$87))*(1-$D$84)*(1-$D$10)-J$54</f>
        <v>492448.5213</v>
      </c>
      <c r="K144" s="93">
        <f>SUMIFS($C$45:$R$45,$C$46:$R$46,"&gt;="&amp;(K$21-$B$87),$C$46:$R$46,"&lt;="&amp;(EOMONTH(K$21,0)-$B$87))*(1-$D$84)*(1-$D$10)-K$54</f>
        <v>-216039.46</v>
      </c>
      <c r="L144" s="93">
        <f>SUMIFS($C$45:$R$45,$C$46:$R$46,"&gt;="&amp;(L$21-$B$87),$C$46:$R$46,"&lt;="&amp;(EOMONTH(L$21,0)-$B$87))*(1-$D$84)*(1-$D$10)-L$54</f>
        <v>506463.50196</v>
      </c>
      <c r="M144" s="93">
        <f>SUMIFS($C$45:$R$45,$C$46:$R$46,"&gt;="&amp;(M$21-$B$87),$C$46:$R$46,"&lt;="&amp;(EOMONTH(M$21,0)-$B$87))*(1-$D$84)*(1-$D$10)-M$54</f>
        <v>700934.995125</v>
      </c>
      <c r="N144" s="93">
        <f>SUMIFS($C$45:$R$45,$C$46:$R$46,"&gt;="&amp;(N$21-$B$87),$C$46:$R$46,"&lt;="&amp;(EOMONTH(N$21,0)-$B$87))*(1-$D$84)*(1-$D$10)-N$54</f>
        <v>0</v>
      </c>
      <c r="O144" s="93">
        <f>SUMIFS($C$45:$R$45,$C$46:$R$46,"&gt;="&amp;(O$21-$B$87),$C$46:$R$46,"&lt;="&amp;(EOMONTH(O$21,0)-$B$87))*(1-$D$84)*(1-$D$10)-O$54</f>
        <v>0</v>
      </c>
      <c r="P144" s="93">
        <f>SUMIFS($C$45:$R$45,$C$46:$R$46,"&gt;="&amp;(P$21-$B$87),$C$46:$R$46,"&lt;="&amp;(EOMONTH(P$21,0)-$B$87))*(1-$D$84)*(1-$D$10)-P$54</f>
        <v>0</v>
      </c>
      <c r="Q144" s="93">
        <f>SUMIFS($C$45:$R$45,$C$46:$R$46,"&gt;="&amp;(Q$21-$B$87),$C$46:$R$46,"&lt;="&amp;(EOMONTH(Q$21,0)-$B$87))*(1-$D$84)*(1-$D$10)-Q$54</f>
        <v>0</v>
      </c>
      <c r="R144" s="93">
        <f>SUMIFS($C$45:$R$45,$C$46:$R$46,"&gt;="&amp;(R$21-$B$87),$C$46:$R$46,"&lt;="&amp;(EOMONTH(R$21,0)-$B$87))*(1-$D$84)*(1-$D$10)-R$54</f>
        <v>0</v>
      </c>
    </row>
    <row r="145">
      <c r="A145" s="73" t="inlineStr">
        <is>
          <t>Cenário atraso 30 d, glosa 10%: 343 acumulado</t>
        </is>
      </c>
      <c r="C145" s="93">
        <f>SUM($C144:C144)</f>
        <v>-55670.76</v>
      </c>
      <c r="D145" s="93">
        <f>SUM($C144:D144)</f>
        <v>-820642.78</v>
      </c>
      <c r="E145" s="93">
        <f>SUM($C144:E144)</f>
        <v>-1401325.62</v>
      </c>
      <c r="F145" s="93">
        <f>SUM($C144:F144)</f>
        <v>-1841368.59</v>
      </c>
      <c r="G145" s="93">
        <f>SUM($C144:G144)</f>
        <v>-525676.32397</v>
      </c>
      <c r="H145" s="93">
        <f>SUM($C144:H144)</f>
        <v>-875433.59397</v>
      </c>
      <c r="I145" s="93">
        <f>SUM($C144:I144)</f>
        <v>-779217.12577</v>
      </c>
      <c r="J145" s="93">
        <f>SUM($C144:J144)</f>
        <v>-286768.60447</v>
      </c>
      <c r="K145" s="93">
        <f>SUM($C144:K144)</f>
        <v>-502808.06447</v>
      </c>
      <c r="L145" s="93">
        <f>SUM($C144:L144)</f>
        <v>3655.43749000039</v>
      </c>
      <c r="M145" s="93">
        <f>SUM($C144:M144)</f>
        <v>704590.432615</v>
      </c>
      <c r="N145" s="93">
        <f>SUM($C144:N144)</f>
        <v>704590.432615</v>
      </c>
      <c r="O145" s="93">
        <f>SUM($C144:O144)</f>
        <v>704590.432615</v>
      </c>
      <c r="P145" s="93">
        <f>SUM($C144:P144)</f>
        <v>704590.432615</v>
      </c>
      <c r="Q145" s="93">
        <f>SUM($C144:Q144)</f>
        <v>704590.432615</v>
      </c>
      <c r="R145" s="93">
        <f>SUM($C144:R144)</f>
        <v>704590.432615</v>
      </c>
    </row>
    <row r="146">
      <c r="A146" s="73" t="inlineStr">
        <is>
          <t>Cenário atraso 30 d, glosa 10%: empresa acumulado</t>
        </is>
      </c>
      <c r="C146" s="93">
        <f>C143+C145</f>
        <v>-55670.76</v>
      </c>
      <c r="D146" s="93">
        <f>D143+D145</f>
        <v>-850168.76</v>
      </c>
      <c r="E146" s="93">
        <f>E143+E145</f>
        <v>-1709964.04</v>
      </c>
      <c r="F146" s="93">
        <f>F143+F145</f>
        <v>-2521793.74</v>
      </c>
      <c r="G146" s="93">
        <f>G143+G145</f>
        <v>-1531959.78184</v>
      </c>
      <c r="H146" s="93">
        <f>H143+H145</f>
        <v>-2125414.07184</v>
      </c>
      <c r="I146" s="93">
        <f>I143+I145</f>
        <v>-1427667.06377</v>
      </c>
      <c r="J146" s="93">
        <f>J143+J145</f>
        <v>-1092972.939015</v>
      </c>
      <c r="K146" s="93">
        <f>K143+K145</f>
        <v>-1689885.280305</v>
      </c>
      <c r="L146" s="93">
        <f>L143+L145</f>
        <v>-731736.451075</v>
      </c>
      <c r="M146" s="93">
        <f>M143+M145</f>
        <v>-59558.1830099996</v>
      </c>
      <c r="N146" s="93">
        <f>N143+N145</f>
        <v>118583.05711</v>
      </c>
      <c r="O146" s="93">
        <f>O143+O145</f>
        <v>117653.08651</v>
      </c>
      <c r="P146" s="93">
        <f>P143+P145</f>
        <v>172767.88276</v>
      </c>
      <c r="Q146" s="93">
        <f>Q143+Q145</f>
        <v>172767.88276</v>
      </c>
      <c r="R146" s="93">
        <f>R143+R145</f>
        <v>175070.117005</v>
      </c>
    </row>
    <row r="147">
      <c r="A147" s="73" t="inlineStr">
        <is>
          <t>Cenário atraso 30 d, glosa 20%: 342 saldo do mês</t>
        </is>
      </c>
      <c r="C147" s="93">
        <f>SUMIFS($C$23:$R$23,$C$24:$R$24,"&gt;="&amp;(C$21-$B$87),$C$24:$R$24,"&lt;="&amp;(EOMONTH(C$21,0)-$B$87))*(1-$E$84)*(1-$C$10)-C$32</f>
        <v>0</v>
      </c>
      <c r="D147" s="93">
        <f>SUMIFS($C$23:$R$23,$C$24:$R$24,"&gt;="&amp;(D$21-$B$87),$C$24:$R$24,"&lt;="&amp;(EOMONTH(D$21,0)-$B$87))*(1-$E$84)*(1-$C$10)-D$32</f>
        <v>-29525.98</v>
      </c>
      <c r="E147" s="93">
        <f>SUMIFS($C$23:$R$23,$C$24:$R$24,"&gt;="&amp;(E$21-$B$87),$C$24:$R$24,"&lt;="&amp;(EOMONTH(E$21,0)-$B$87))*(1-$E$84)*(1-$C$10)-E$32</f>
        <v>-279112.44</v>
      </c>
      <c r="F147" s="93">
        <f>SUMIFS($C$23:$R$23,$C$24:$R$24,"&gt;="&amp;(F$21-$B$87),$C$24:$R$24,"&lt;="&amp;(EOMONTH(F$21,0)-$B$87))*(1-$E$84)*(1-$C$10)-F$32</f>
        <v>-371786.73</v>
      </c>
      <c r="G147" s="93">
        <f>SUMIFS($C$23:$R$23,$C$24:$R$24,"&gt;="&amp;(G$21-$B$87),$C$24:$R$24,"&lt;="&amp;(EOMONTH(G$21,0)-$B$87))*(1-$E$84)*(1-$C$10)-G$32</f>
        <v>-343081.13144</v>
      </c>
      <c r="H147" s="93">
        <f>SUMIFS($C$23:$R$23,$C$24:$R$24,"&gt;="&amp;(H$21-$B$87),$C$24:$R$24,"&lt;="&amp;(EOMONTH(H$21,0)-$B$87))*(1-$E$84)*(1-$C$10)-H$32</f>
        <v>-243697.02</v>
      </c>
      <c r="I147" s="93">
        <f>SUMIFS($C$23:$R$23,$C$24:$R$24,"&gt;="&amp;(I$21-$B$87),$C$24:$R$24,"&lt;="&amp;(EOMONTH(I$21,0)-$B$87))*(1-$E$84)*(1-$C$10)-I$32</f>
        <v>505892.50544</v>
      </c>
      <c r="J147" s="93">
        <f>SUMIFS($C$23:$R$23,$C$24:$R$24,"&gt;="&amp;(J$21-$B$87),$C$24:$R$24,"&lt;="&amp;(EOMONTH(J$21,0)-$B$87))*(1-$E$84)*(1-$C$10)-J$32</f>
        <v>-159386.98804</v>
      </c>
      <c r="K147" s="93">
        <f>SUMIFS($C$23:$R$23,$C$24:$R$24,"&gt;="&amp;(K$21-$B$87),$C$24:$R$24,"&lt;="&amp;(EOMONTH(K$21,0)-$B$87))*(1-$E$84)*(1-$C$10)-K$32</f>
        <v>-409531.03448</v>
      </c>
      <c r="L147" s="93">
        <f>SUMIFS($C$23:$R$23,$C$24:$R$24,"&gt;="&amp;(L$21-$B$87),$C$24:$R$24,"&lt;="&amp;(EOMONTH(L$21,0)-$B$87))*(1-$E$84)*(1-$C$10)-L$32</f>
        <v>368968.15424</v>
      </c>
      <c r="M147" s="93">
        <f>SUMIFS($C$23:$R$23,$C$24:$R$24,"&gt;="&amp;(M$21-$B$87),$C$24:$R$24,"&lt;="&amp;(EOMONTH(M$21,0)-$B$87))*(1-$E$84)*(1-$C$10)-M$32</f>
        <v>-51964.79072</v>
      </c>
      <c r="N147" s="93">
        <f>SUMIFS($C$23:$R$23,$C$24:$R$24,"&gt;="&amp;(N$21-$B$87),$C$24:$R$24,"&lt;="&amp;(EOMONTH(N$21,0)-$B$87))*(1-$E$84)*(1-$C$10)-N$32</f>
        <v>140138.00344</v>
      </c>
      <c r="O147" s="93">
        <f>SUMIFS($C$23:$R$23,$C$24:$R$24,"&gt;="&amp;(O$21-$B$87),$C$24:$R$24,"&lt;="&amp;(EOMONTH(O$21,0)-$B$87))*(1-$E$84)*(1-$C$10)-O$32</f>
        <v>-5574.54719999999</v>
      </c>
      <c r="P147" s="93">
        <f>SUMIFS($C$23:$R$23,$C$24:$R$24,"&gt;="&amp;(P$21-$B$87),$C$24:$R$24,"&lt;="&amp;(EOMONTH(P$21,0)-$B$87))*(1-$E$84)*(1-$C$10)-P$32</f>
        <v>48990.93</v>
      </c>
      <c r="Q147" s="93">
        <f>SUMIFS($C$23:$R$23,$C$24:$R$24,"&gt;="&amp;(Q$21-$B$87),$C$24:$R$24,"&lt;="&amp;(EOMONTH(Q$21,0)-$B$87))*(1-$E$84)*(1-$C$10)-Q$32</f>
        <v>0</v>
      </c>
      <c r="R147" s="93">
        <f>SUMIFS($C$23:$R$23,$C$24:$R$24,"&gt;="&amp;(R$21-$B$87),$C$24:$R$24,"&lt;="&amp;(EOMONTH(R$21,0)-$B$87))*(1-$E$84)*(1-$C$10)-R$32</f>
        <v>2046.43044</v>
      </c>
    </row>
    <row r="148">
      <c r="A148" s="73" t="inlineStr">
        <is>
          <t>Cenário atraso 30 d, glosa 20%: 342 acumulado</t>
        </is>
      </c>
      <c r="C148" s="93">
        <f>SUM($C147:C147)</f>
        <v>0</v>
      </c>
      <c r="D148" s="93">
        <f>SUM($C147:D147)</f>
        <v>-29525.98</v>
      </c>
      <c r="E148" s="93">
        <f>SUM($C147:E147)</f>
        <v>-308638.42</v>
      </c>
      <c r="F148" s="93">
        <f>SUM($C147:F147)</f>
        <v>-680425.15</v>
      </c>
      <c r="G148" s="93">
        <f>SUM($C147:G147)</f>
        <v>-1023506.28144</v>
      </c>
      <c r="H148" s="93">
        <f>SUM($C147:H147)</f>
        <v>-1267203.30144</v>
      </c>
      <c r="I148" s="93">
        <f>SUM($C147:I147)</f>
        <v>-761310.796</v>
      </c>
      <c r="J148" s="93">
        <f>SUM($C147:J147)</f>
        <v>-920697.78404</v>
      </c>
      <c r="K148" s="93">
        <f>SUM($C147:K147)</f>
        <v>-1330228.81852</v>
      </c>
      <c r="L148" s="93">
        <f>SUM($C147:L147)</f>
        <v>-961260.66428</v>
      </c>
      <c r="M148" s="93">
        <f>SUM($C147:M147)</f>
        <v>-1013225.455</v>
      </c>
      <c r="N148" s="93">
        <f>SUM($C147:N147)</f>
        <v>-873087.45156</v>
      </c>
      <c r="O148" s="93">
        <f>SUM($C147:O147)</f>
        <v>-878661.99876</v>
      </c>
      <c r="P148" s="93">
        <f>SUM($C147:P147)</f>
        <v>-829671.06876</v>
      </c>
      <c r="Q148" s="93">
        <f>SUM($C147:Q147)</f>
        <v>-829671.06876</v>
      </c>
      <c r="R148" s="93">
        <f>SUM($C147:R147)</f>
        <v>-827624.63832</v>
      </c>
    </row>
    <row r="149">
      <c r="A149" s="73" t="inlineStr">
        <is>
          <t>Cenário atraso 30 d, glosa 20%: 343 saldo do mês</t>
        </is>
      </c>
      <c r="C149" s="93">
        <f>SUMIFS($C$45:$R$45,$C$46:$R$46,"&gt;="&amp;(C$21-$B$87),$C$46:$R$46,"&lt;="&amp;(EOMONTH(C$21,0)-$B$87))*(1-$E$84)*(1-$D$10)-C$54</f>
        <v>-55670.76</v>
      </c>
      <c r="D149" s="93">
        <f>SUMIFS($C$45:$R$45,$C$46:$R$46,"&gt;="&amp;(D$21-$B$87),$C$46:$R$46,"&lt;="&amp;(EOMONTH(D$21,0)-$B$87))*(1-$E$84)*(1-$D$10)-D$54</f>
        <v>-764972.02</v>
      </c>
      <c r="E149" s="93">
        <f>SUMIFS($C$45:$R$45,$C$46:$R$46,"&gt;="&amp;(E$21-$B$87),$C$46:$R$46,"&lt;="&amp;(EOMONTH(E$21,0)-$B$87))*(1-$E$84)*(1-$D$10)-E$54</f>
        <v>-580682.84</v>
      </c>
      <c r="F149" s="93">
        <f>SUMIFS($C$45:$R$45,$C$46:$R$46,"&gt;="&amp;(F$21-$B$87),$C$46:$R$46,"&lt;="&amp;(EOMONTH(F$21,0)-$B$87))*(1-$E$84)*(1-$D$10)-F$54</f>
        <v>-440042.97</v>
      </c>
      <c r="G149" s="93">
        <f>SUMIFS($C$45:$R$45,$C$46:$R$46,"&gt;="&amp;(G$21-$B$87),$C$46:$R$46,"&lt;="&amp;(EOMONTH(G$21,0)-$B$87))*(1-$E$84)*(1-$D$10)-G$54</f>
        <v>1126324.32536</v>
      </c>
      <c r="H149" s="93">
        <f>SUMIFS($C$45:$R$45,$C$46:$R$46,"&gt;="&amp;(H$21-$B$87),$C$46:$R$46,"&lt;="&amp;(EOMONTH(H$21,0)-$B$87))*(1-$E$84)*(1-$D$10)-H$54</f>
        <v>-349757.27</v>
      </c>
      <c r="I149" s="93">
        <f>SUMIFS($C$45:$R$45,$C$46:$R$46,"&gt;="&amp;(I$21-$B$87),$C$46:$R$46,"&lt;="&amp;(EOMONTH(I$21,0)-$B$87))*(1-$E$84)*(1-$D$10)-I$54</f>
        <v>38027.8484</v>
      </c>
      <c r="J149" s="93">
        <f>SUMIFS($C$45:$R$45,$C$46:$R$46,"&gt;="&amp;(J$21-$B$87),$C$46:$R$46,"&lt;="&amp;(EOMONTH(J$21,0)-$B$87))*(1-$E$84)*(1-$D$10)-J$54</f>
        <v>395248.4556</v>
      </c>
      <c r="K149" s="93">
        <f>SUMIFS($C$45:$R$45,$C$46:$R$46,"&gt;="&amp;(K$21-$B$87),$C$46:$R$46,"&lt;="&amp;(EOMONTH(K$21,0)-$B$87))*(1-$E$84)*(1-$D$10)-K$54</f>
        <v>-216039.46</v>
      </c>
      <c r="L149" s="93">
        <f>SUMIFS($C$45:$R$45,$C$46:$R$46,"&gt;="&amp;(L$21-$B$87),$C$46:$R$46,"&lt;="&amp;(EOMONTH(L$21,0)-$B$87))*(1-$E$84)*(1-$D$10)-L$54</f>
        <v>450189.77952</v>
      </c>
      <c r="M149" s="93">
        <f>SUMIFS($C$45:$R$45,$C$46:$R$46,"&gt;="&amp;(M$21-$B$87),$C$46:$R$46,"&lt;="&amp;(EOMONTH(M$21,0)-$B$87))*(1-$E$84)*(1-$D$10)-M$54</f>
        <v>623053.329</v>
      </c>
      <c r="N149" s="93">
        <f>SUMIFS($C$45:$R$45,$C$46:$R$46,"&gt;="&amp;(N$21-$B$87),$C$46:$R$46,"&lt;="&amp;(EOMONTH(N$21,0)-$B$87))*(1-$E$84)*(1-$D$10)-N$54</f>
        <v>0</v>
      </c>
      <c r="O149" s="93">
        <f>SUMIFS($C$45:$R$45,$C$46:$R$46,"&gt;="&amp;(O$21-$B$87),$C$46:$R$46,"&lt;="&amp;(EOMONTH(O$21,0)-$B$87))*(1-$E$84)*(1-$D$10)-O$54</f>
        <v>0</v>
      </c>
      <c r="P149" s="93">
        <f>SUMIFS($C$45:$R$45,$C$46:$R$46,"&gt;="&amp;(P$21-$B$87),$C$46:$R$46,"&lt;="&amp;(EOMONTH(P$21,0)-$B$87))*(1-$E$84)*(1-$D$10)-P$54</f>
        <v>0</v>
      </c>
      <c r="Q149" s="93">
        <f>SUMIFS($C$45:$R$45,$C$46:$R$46,"&gt;="&amp;(Q$21-$B$87),$C$46:$R$46,"&lt;="&amp;(EOMONTH(Q$21,0)-$B$87))*(1-$E$84)*(1-$D$10)-Q$54</f>
        <v>0</v>
      </c>
      <c r="R149" s="93">
        <f>SUMIFS($C$45:$R$45,$C$46:$R$46,"&gt;="&amp;(R$21-$B$87),$C$46:$R$46,"&lt;="&amp;(EOMONTH(R$21,0)-$B$87))*(1-$E$84)*(1-$D$10)-R$54</f>
        <v>0</v>
      </c>
    </row>
    <row r="150">
      <c r="A150" s="73" t="inlineStr">
        <is>
          <t>Cenário atraso 30 d, glosa 20%: 343 acumulado</t>
        </is>
      </c>
      <c r="C150" s="93">
        <f>SUM($C149:C149)</f>
        <v>-55670.76</v>
      </c>
      <c r="D150" s="93">
        <f>SUM($C149:D149)</f>
        <v>-820642.78</v>
      </c>
      <c r="E150" s="93">
        <f>SUM($C149:E149)</f>
        <v>-1401325.62</v>
      </c>
      <c r="F150" s="93">
        <f>SUM($C149:F149)</f>
        <v>-1841368.59</v>
      </c>
      <c r="G150" s="93">
        <f>SUM($C149:G149)</f>
        <v>-715044.26464</v>
      </c>
      <c r="H150" s="93">
        <f>SUM($C149:H149)</f>
        <v>-1064801.53464</v>
      </c>
      <c r="I150" s="93">
        <f>SUM($C149:I149)</f>
        <v>-1026773.68624</v>
      </c>
      <c r="J150" s="93">
        <f>SUM($C149:J149)</f>
        <v>-631525.23064</v>
      </c>
      <c r="K150" s="93">
        <f>SUM($C149:K149)</f>
        <v>-847564.69064</v>
      </c>
      <c r="L150" s="93">
        <f>SUM($C149:L149)</f>
        <v>-397374.911119999</v>
      </c>
      <c r="M150" s="93">
        <f>SUM($C149:M149)</f>
        <v>225678.417880001</v>
      </c>
      <c r="N150" s="93">
        <f>SUM($C149:N149)</f>
        <v>225678.417880001</v>
      </c>
      <c r="O150" s="93">
        <f>SUM($C149:O149)</f>
        <v>225678.417880001</v>
      </c>
      <c r="P150" s="93">
        <f>SUM($C149:P149)</f>
        <v>225678.417880001</v>
      </c>
      <c r="Q150" s="93">
        <f>SUM($C149:Q149)</f>
        <v>225678.417880001</v>
      </c>
      <c r="R150" s="93">
        <f>SUM($C149:R149)</f>
        <v>225678.417880001</v>
      </c>
    </row>
    <row r="151">
      <c r="A151" s="73" t="inlineStr">
        <is>
          <t>Cenário atraso 30 d, glosa 20%: empresa acumulado</t>
        </is>
      </c>
      <c r="C151" s="93">
        <f>C148+C150</f>
        <v>-55670.76</v>
      </c>
      <c r="D151" s="93">
        <f>D148+D150</f>
        <v>-850168.76</v>
      </c>
      <c r="E151" s="93">
        <f>E148+E150</f>
        <v>-1709964.04</v>
      </c>
      <c r="F151" s="93">
        <f>F148+F150</f>
        <v>-2521793.74</v>
      </c>
      <c r="G151" s="93">
        <f>G148+G150</f>
        <v>-1738550.54608</v>
      </c>
      <c r="H151" s="93">
        <f>H148+H150</f>
        <v>-2332004.83608</v>
      </c>
      <c r="I151" s="93">
        <f>I148+I150</f>
        <v>-1788084.48224</v>
      </c>
      <c r="J151" s="93">
        <f>J148+J150</f>
        <v>-1552223.01468</v>
      </c>
      <c r="K151" s="93">
        <f>K148+K150</f>
        <v>-2177793.50916</v>
      </c>
      <c r="L151" s="93">
        <f>L148+L150</f>
        <v>-1358635.5754</v>
      </c>
      <c r="M151" s="93">
        <f>M148+M150</f>
        <v>-787547.037119999</v>
      </c>
      <c r="N151" s="93">
        <f>N148+N150</f>
        <v>-647409.033679999</v>
      </c>
      <c r="O151" s="93">
        <f>O148+O150</f>
        <v>-652983.580879999</v>
      </c>
      <c r="P151" s="93">
        <f>P148+P150</f>
        <v>-603992.650879999</v>
      </c>
      <c r="Q151" s="93">
        <f>Q148+Q150</f>
        <v>-603992.650879999</v>
      </c>
      <c r="R151" s="93">
        <f>R148+R150</f>
        <v>-601946.220439999</v>
      </c>
    </row>
    <row r="152">
      <c r="C152" s="93" t="n"/>
      <c r="D152" s="93" t="n"/>
      <c r="E152" s="93" t="n"/>
      <c r="F152" s="93" t="n"/>
      <c r="G152" s="93" t="n"/>
      <c r="H152" s="93" t="n"/>
      <c r="I152" s="93" t="n"/>
      <c r="J152" s="93" t="n"/>
      <c r="K152" s="93" t="n"/>
      <c r="L152" s="93" t="n"/>
      <c r="M152" s="93" t="n"/>
      <c r="N152" s="93" t="n"/>
      <c r="O152" s="93" t="n"/>
      <c r="P152" s="93" t="n"/>
      <c r="Q152" s="93" t="n"/>
      <c r="R152" s="93" t="n"/>
    </row>
  </sheetData>
  <mergeCells count="2">
    <mergeCell ref="A4:S4"/>
    <mergeCell ref="A3:S3"/>
  </mergeCells>
  <dataValidations count="1">
    <dataValidation sqref="C11" showDropDown="0" showInputMessage="0" showErrorMessage="0" allowBlank="1" type="list">
      <formula1>"SIM,NÃO"</formula1>
    </dataValidation>
  </dataValidations>
  <pageMargins left="0.3888888888888889" right="0.3888888888888889" top="0.3888888888888889" bottom="0.3888888888888889" header="0.31496062" footer="0.31496062"/>
  <pageSetup orientation="landscape" paperSize="8" scale="66" fitToHeight="0"/>
  <drawing xmlns:r="http://schemas.openxmlformats.org/officeDocument/2006/relationships" r:id="rIdDrw1"/>
</worksheet>
</file>

<file path=xl/worksheets/sheet7.xml><?xml version="1.0" encoding="utf-8"?>
<worksheet xmlns="http://schemas.openxmlformats.org/spreadsheetml/2006/main">
  <sheetPr>
    <tabColor rgb="FF2E8B99"/>
    <outlinePr summaryBelow="1" summaryRight="1"/>
    <pageSetUpPr fitToPage="1"/>
  </sheetPr>
  <dimension ref="A1:W86"/>
  <sheetViews>
    <sheetView showGridLines="0" workbookViewId="0">
      <selection activeCell="A1" sqref="A1"/>
    </sheetView>
  </sheetViews>
  <sheetFormatPr baseColWidth="8" defaultRowHeight="12.75"/>
  <cols>
    <col width="17.7109375" customWidth="1" style="73" min="1" max="8"/>
    <col width="13.7109375" customWidth="1" style="73" min="9" max="17"/>
    <col width="70.7109375" customWidth="1" style="73" min="18" max="18"/>
    <col width="11.7109375" customWidth="1" style="73" min="19" max="19"/>
    <col width="12.7109375" customWidth="1" style="73" min="20" max="20"/>
    <col width="7.7109375" customWidth="1" style="73" min="21" max="21"/>
    <col width="48.7109375" customWidth="1" style="73" min="22" max="22"/>
    <col width="14.7109375" customWidth="1" style="73" min="23" max="23"/>
    <col width="9.140625" customWidth="1" style="73" min="24" max="16384"/>
  </cols>
  <sheetData>
    <row r="1" ht="24" customHeight="1" s="71"/>
    <row r="2" ht="20.25" customHeight="1" s="71">
      <c r="A2" s="74" t="inlineStr">
        <is>
          <t>DASHBOARD BI TAF: 342 SANEAGO e 343 CAESB</t>
        </is>
      </c>
    </row>
    <row r="3" ht="26.1" customHeight="1" s="71">
      <c r="A3" s="78" t="inlineStr">
        <is>
          <t>Escolha a obra e o mês nas células amarelas: números e gráficos mudam sozinhos. Previsto = estudo e cronograma; real = 06, 08 e 05 (vazios hoje). Onde não há lançamento aparece 'sem lançamento', nunca zero. Caixa: cenário ativo da aba FLUXO PROJETADO TAF.</t>
        </is>
      </c>
    </row>
    <row r="4"/>
    <row r="5">
      <c r="A5" s="81" t="inlineStr">
        <is>
          <t>Obra</t>
        </is>
      </c>
      <c r="C5" s="178" t="inlineStr">
        <is>
          <t>342 e 343</t>
        </is>
      </c>
      <c r="E5" s="81" t="inlineStr">
        <is>
          <t>Mês</t>
        </is>
      </c>
      <c r="F5" s="179">
        <f>DATE(YEAR(DATA_GESTAO),MONTH(DATA_GESTAO),1)</f>
        <v>46296.0</v>
      </c>
      <c r="H5" s="180" t="str">
        <f>$C$5&amp;""</f>
        <v>342 e 343</v>
      </c>
    </row>
    <row r="6">
      <c r="A6" s="167" t="inlineStr">
        <is>
          <t>Mudar a obra ou o mês: clique na célula amarela e escolha na lista. (H5 guarda a obra como texto, não editar.)</t>
        </is>
      </c>
    </row>
    <row r="7"/>
    <row r="8" ht="44.1" customHeight="1" s="71">
      <c r="A8" s="181" t="inlineStr">
        <is>
          <t>Valor do contrato (R$)</t>
        </is>
      </c>
      <c r="B8" s="181" t="inlineStr">
        <is>
          <t>Medição prevista no mês (R$)</t>
        </is>
      </c>
      <c r="C8" s="181" t="inlineStr">
        <is>
          <t>Medido no mês (R$, 06)</t>
        </is>
      </c>
      <c r="D8" s="181" t="inlineStr">
        <is>
          <t>Previsto acum. até o mês (%)</t>
        </is>
      </c>
      <c r="E8" s="181" t="inlineStr">
        <is>
          <t>Medido acum. até o mês (%)</t>
        </is>
      </c>
      <c r="F8" s="181" t="inlineStr">
        <is>
          <t>Custo previsto no mês (R$, estudo)</t>
        </is>
      </c>
      <c r="G8" s="181" t="inlineStr">
        <is>
          <t>Custo lançado no mês (R$, 08)</t>
        </is>
      </c>
      <c r="H8" s="181" t="inlineStr">
        <is>
          <t>Pior saldo de caixa (R$)</t>
        </is>
      </c>
      <c r="R8" s="80" t="inlineStr">
        <is>
          <t>PONTOS DE ATENÇÃO (CHECKS DA OPERAÇÃO TAF)</t>
        </is>
      </c>
      <c r="S8" s="80" t="n"/>
      <c r="T8" s="80" t="n"/>
    </row>
    <row r="9" ht="33.95" customHeight="1" s="71">
      <c r="A9" s="182">
        <f>IF($H$5="342 e 343",'03. CONTRATOS'!$B$8+'03. CONTRATOS'!$D$8,IF($H$5="342",'03. CONTRATOS'!$B$8,'03. CONTRATOS'!$D$8))</f>
        <v>8484634.03</v>
      </c>
      <c r="B9" s="183">
        <f>INDEX($B$71:$B$86,MATCH($F$5,$A$71:$A$86,0))</f>
        <v>1181684.09</v>
      </c>
      <c r="C9" s="182" t="str">
        <f>IF(INDEX($D$71:$D$86,MATCH($F$5,$A$71:$A$86,0))="","sem lançamento",INDEX($D$71:$D$86,MATCH($F$5,$A$71:$A$86,0)))</f>
        <v>sem lançamento</v>
      </c>
      <c r="D9" s="184">
        <f>IFERROR(INDEX($M$71:$M$86,MATCH($F$5,$A$71:$A$86,0)),"")</f>
        <v>0.139152922563425</v>
      </c>
      <c r="E9" s="184" t="str">
        <f>IF(INDEX($E$71:$E$86,MATCH($F$5,$A$71:$A$86,0))="","sem lançamento",INDEX($E$71:$E$86,MATCH($F$5,$A$71:$A$86,0))/SUM($B$71:$B$86))</f>
        <v>sem lançamento</v>
      </c>
      <c r="F9" s="183">
        <f>INDEX($H$71:$H$86,MATCH($F$5,$A$71:$A$86,0))</f>
        <v>794498</v>
      </c>
      <c r="G9" s="182" t="str">
        <f>IF(INDEX($I$71:$I$86,MATCH($F$5,$A$71:$A$86,0))="","sem lançamento",INDEX($I$71:$I$86,MATCH($F$5,$A$71:$A$86,0)))</f>
        <v>sem lançamento</v>
      </c>
      <c r="H9" s="183">
        <f>IF($H$5="342 e 343",'FLUXO PROJETADO TAF'!$E$14,IF($H$5="342",'FLUXO PROJETADO TAF'!$C$14,'FLUXO PROJETADO TAF'!$D$14))</f>
        <v>-1709964.04</v>
      </c>
      <c r="R9" s="81" t="inlineStr">
        <is>
          <t>Conferência</t>
        </is>
      </c>
      <c r="S9" s="81" t="inlineStr">
        <is>
          <t>Valor</t>
        </is>
      </c>
      <c r="T9" s="81" t="inlineStr">
        <is>
          <t>Resultado</t>
        </is>
      </c>
    </row>
    <row r="10">
      <c r="R10" s="76" t="str">
        <f>'CHECKS DA OPERAÇÃO TAF'!B6</f>
        <v>Etapas sem data de início ou fim</v>
      </c>
      <c r="S10" s="174">
        <f>'CHECKS DA OPERAÇÃO TAF'!C6</f>
        <v>0</v>
      </c>
      <c r="T10" s="175" t="str">
        <f>'CHECKS DA OPERAÇÃO TAF'!D6</f>
        <v>OK</v>
      </c>
    </row>
    <row r="11">
      <c r="R11" s="76" t="str">
        <f>'CHECKS DA OPERAÇÃO TAF'!B7</f>
        <v>Predecessora abaixo da tarefa (ordem errada)</v>
      </c>
      <c r="S11" s="174">
        <f>'CHECKS DA OPERAÇÃO TAF'!C7</f>
        <v>0</v>
      </c>
      <c r="T11" s="175" t="str">
        <f>'CHECKS DA OPERAÇÃO TAF'!D7</f>
        <v>OK</v>
      </c>
    </row>
    <row r="12">
      <c r="R12" s="76" t="str">
        <f>'CHECKS DA OPERAÇÃO TAF'!B8</f>
        <v>Predecessora inexistente (ID que não está na lista)</v>
      </c>
      <c r="S12" s="174">
        <f>'CHECKS DA OPERAÇÃO TAF'!C8</f>
        <v>0</v>
      </c>
      <c r="T12" s="175" t="str">
        <f>'CHECKS DA OPERAÇÃO TAF'!D8</f>
        <v>OK</v>
      </c>
    </row>
    <row r="13">
      <c r="R13" s="76" t="str">
        <f>'CHECKS DA OPERAÇÃO TAF'!B9</f>
        <v>Etapas sem nenhuma predecessora (rede não definida)</v>
      </c>
      <c r="S13" s="174">
        <f>'CHECKS DA OPERAÇÃO TAF'!C9</f>
        <v>21</v>
      </c>
      <c r="T13" s="175" t="str">
        <f>'CHECKS DA OPERAÇÃO TAF'!D9</f>
        <v>PENDENTE</v>
      </c>
    </row>
    <row r="14">
      <c r="R14" s="76" t="str">
        <f>'CHECKS DA OPERAÇÃO TAF'!B10</f>
        <v>343: cronograma da CAESB difere do contrato (R$)</v>
      </c>
      <c r="S14" s="174">
        <f>'CHECKS DA OPERAÇÃO TAF'!C10</f>
        <v>52794.31</v>
      </c>
      <c r="T14" s="175" t="str">
        <f>'CHECKS DA OPERAÇÃO TAF'!D10</f>
        <v>CONFERIR</v>
      </c>
    </row>
    <row r="15">
      <c r="R15" s="76" t="str">
        <f>'CHECKS DA OPERAÇÃO TAF'!B11</f>
        <v>342: o estudo interno estima resultado negativo após tributos (R$)</v>
      </c>
      <c r="S15" s="174">
        <f>'CHECKS DA OPERAÇÃO TAF'!C11</f>
        <v>231415.9929</v>
      </c>
      <c r="T15" s="175" t="str">
        <f>'CHECKS DA OPERAÇÃO TAF'!D11</f>
        <v>PENDENTE</v>
      </c>
    </row>
    <row r="16">
      <c r="R16" s="76" t="str">
        <f>'CHECKS DA OPERAÇÃO TAF'!B12</f>
        <v>342: fim do cronograma passa do fim do prazo (dias)</v>
      </c>
      <c r="S16" s="174">
        <f>'CHECKS DA OPERAÇÃO TAF'!C12</f>
        <v>1</v>
      </c>
      <c r="T16" s="175" t="str">
        <f>'CHECKS DA OPERAÇÃO TAF'!D12</f>
        <v>CONFERIR</v>
      </c>
    </row>
    <row r="17">
      <c r="R17" s="76" t="str">
        <f>'CHECKS DA OPERAÇÃO TAF'!B13</f>
        <v>343: fim do cronograma passa do fim do prazo (dias)</v>
      </c>
      <c r="S17" s="174">
        <f>'CHECKS DA OPERAÇÃO TAF'!C13</f>
        <v>3</v>
      </c>
      <c r="T17" s="175" t="str">
        <f>'CHECKS DA OPERAÇÃO TAF'!D13</f>
        <v>CONFERIR</v>
      </c>
    </row>
    <row r="18">
      <c r="R18" s="76" t="str">
        <f>'CHECKS DA OPERAÇÃO TAF'!B14</f>
        <v>Data de corte (02. PARÂMETROS) atrasada em relação a hoje (dias)</v>
      </c>
      <c r="S18" s="174">
        <f>'CHECKS DA OPERAÇÃO TAF'!C14</f>
        <v>0</v>
      </c>
      <c r="T18" s="175" t="str">
        <f>'CHECKS DA OPERAÇÃO TAF'!D14</f>
        <v>OK</v>
      </c>
    </row>
    <row r="19">
      <c r="R19" s="76" t="str">
        <f>'CHECKS DA OPERAÇÃO TAF'!B15</f>
        <v>Itens de custo e resultado pendentes ou a decidir no MASTER CHECK (13, itens 8 a 15)</v>
      </c>
      <c r="S19" s="174">
        <f>'CHECKS DA OPERAÇÃO TAF'!C15</f>
        <v>5</v>
      </c>
      <c r="T19" s="175" t="str">
        <f>'CHECKS DA OPERAÇÃO TAF'!D15</f>
        <v>PENDENTE</v>
      </c>
    </row>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c r="A69" s="81" t="inlineStr">
        <is>
          <t>AUXILIAR DOS GRÁFICOS (não editar)</t>
        </is>
      </c>
    </row>
    <row r="70" ht="42" customHeight="1" s="71">
      <c r="A70" s="88" t="inlineStr">
        <is>
          <t>Mês</t>
        </is>
      </c>
      <c r="B70" s="88" t="inlineStr">
        <is>
          <t>Medição prevista (R$)</t>
        </is>
      </c>
      <c r="C70" s="88" t="inlineStr">
        <is>
          <t>Prevista acumulada (R$)</t>
        </is>
      </c>
      <c r="D70" s="88" t="inlineStr">
        <is>
          <t>Medição real (R$)</t>
        </is>
      </c>
      <c r="E70" s="88" t="inlineStr">
        <is>
          <t>Medida acumulada (R$)</t>
        </is>
      </c>
      <c r="F70" s="88" t="inlineStr">
        <is>
          <t>Pico previsto (pessoas)</t>
        </is>
      </c>
      <c r="G70" s="88" t="inlineStr">
        <is>
          <t>Realizado considerado (pessoas)</t>
        </is>
      </c>
      <c r="H70" s="88" t="inlineStr">
        <is>
          <t>Custo previsto (R$)</t>
        </is>
      </c>
      <c r="I70" s="88" t="inlineStr">
        <is>
          <t>Custo lançado (R$)</t>
        </is>
      </c>
      <c r="J70" s="88" t="inlineStr">
        <is>
          <t>Entrada líquida (R$)</t>
        </is>
      </c>
      <c r="K70" s="88" t="inlineStr">
        <is>
          <t>Saldo do mês (R$)</t>
        </is>
      </c>
      <c r="L70" s="88" t="inlineStr">
        <is>
          <t>Saldo acumulado (R$)</t>
        </is>
      </c>
      <c r="M70" s="88" t="inlineStr">
        <is>
          <t>Prevista acumulada (% do total)</t>
        </is>
      </c>
      <c r="U70" s="88" t="inlineStr">
        <is>
          <t>Linha</t>
        </is>
      </c>
      <c r="V70" s="88" t="inlineStr">
        <is>
          <t>Etapa</t>
        </is>
      </c>
      <c r="W70" s="88" t="inlineStr">
        <is>
          <t>Valor (R$)</t>
        </is>
      </c>
    </row>
    <row r="71">
      <c r="A71" s="110">
        <f>'FLUXO PROJETADO TAF'!C$21</f>
        <v>46266.0</v>
      </c>
      <c r="B71" s="101">
        <f>IF($H$5="342 e 343",'FLUXO PROJETADO TAF'!C23+'FLUXO PROJETADO TAF'!C45,IF($H$5="342",'FLUXO PROJETADO TAF'!C23,'FLUXO PROJETADO TAF'!C45))</f>
        <v>0</v>
      </c>
      <c r="C71" s="101">
        <f>SUM(B$71:B71)</f>
        <v>0</v>
      </c>
      <c r="D71" s="101">
        <f>IF($H$5="342 e 343",IF(AND(ISTEXT('FLUXO PROJETADO TAF'!C36),ISTEXT('FLUXO PROJETADO TAF'!C58)),"",N('FLUXO PROJETADO TAF'!C36)+N('FLUXO PROJETADO TAF'!C58)),IF($H$5="342",IF(ISTEXT('FLUXO PROJETADO TAF'!C36),"",'FLUXO PROJETADO TAF'!C36),IF(ISTEXT('FLUXO PROJETADO TAF'!C58),"",'FLUXO PROJETADO TAF'!C58)))</f>
      </c>
      <c r="E71" s="101">
        <f>IF(COUNT(D$71:D71)=0,"",SUM(D$71:D71))</f>
      </c>
      <c r="F71" s="114">
        <f>IF($H$5="342 e 343",'HISTOGRAMA PLANEJADO'!B8+'HISTOGRAMA PLANEJADO'!B29,IF($H$5="342",'HISTOGRAMA PLANEJADO'!B8,'HISTOGRAMA PLANEJADO'!B29))</f>
        <v>5</v>
      </c>
      <c r="G71" s="114">
        <f>IF($H$5="342 e 343",IF(AND('HISTOGRAMA PLANEJADO'!I8="",'HISTOGRAMA PLANEJADO'!I29=""),"",N('HISTOGRAMA PLANEJADO'!I8)+N('HISTOGRAMA PLANEJADO'!I29)),IF($H$5="342",'HISTOGRAMA PLANEJADO'!I8,'HISTOGRAMA PLANEJADO'!I29))</f>
      </c>
      <c r="H71" s="101">
        <f>IF($H$5="342 e 343",'FLUXO PROJETADO TAF'!C32+'FLUXO PROJETADO TAF'!C54,IF($H$5="342",'FLUXO PROJETADO TAF'!C32,'FLUXO PROJETADO TAF'!C54))</f>
        <v>55670.76</v>
      </c>
      <c r="I71" s="101">
        <f>IF($H$5="342 e 343",IF(AND(ISTEXT('FLUXO PROJETADO TAF'!C41),ISTEXT('FLUXO PROJETADO TAF'!C63)),"",N('FLUXO PROJETADO TAF'!C41)+N('FLUXO PROJETADO TAF'!C63)),IF($H$5="342",IF(ISTEXT('FLUXO PROJETADO TAF'!C41),"",'FLUXO PROJETADO TAF'!C41),IF(ISTEXT('FLUXO PROJETADO TAF'!C63),"",'FLUXO PROJETADO TAF'!C63)))</f>
      </c>
      <c r="J71" s="101">
        <f>IF($H$5="342 e 343",'FLUXO PROJETADO TAF'!C27+'FLUXO PROJETADO TAF'!C49,IF($H$5="342",'FLUXO PROJETADO TAF'!C27,'FLUXO PROJETADO TAF'!C49))</f>
        <v>0</v>
      </c>
      <c r="K71" s="101">
        <f>IF($H$5="342 e 343",'FLUXO PROJETADO TAF'!C33+'FLUXO PROJETADO TAF'!C55,IF($H$5="342",'FLUXO PROJETADO TAF'!C33,'FLUXO PROJETADO TAF'!C55))</f>
        <v>-55670.76</v>
      </c>
      <c r="L71" s="101">
        <f>IF($H$5="342 e 343",'FLUXO PROJETADO TAF'!C34+'FLUXO PROJETADO TAF'!C56,IF($H$5="342",'FLUXO PROJETADO TAF'!C34,'FLUXO PROJETADO TAF'!C56))</f>
        <v>-55670.76</v>
      </c>
      <c r="M71" s="142">
        <f>IF(SUM(B$71:B$86)=0,"",C71/SUM(B$71:B$86))</f>
        <v>0</v>
      </c>
      <c r="U71" s="73">
        <f>IFERROR(_xlfn.AGGREGATE(15,6,(ROW('CRONOGRAMA PROJECT'!$A$7:$A$27)-6)/(('CRONOGRAMA PROJECT'!$BV$7:$BV$27="Contrato")*((('CRONOGRAMA PROJECT'!$B$7:$B$27&amp;"")=$H$5)+($H$5="342 e 343")&gt;0)),ROWS(U$71:U71)),"")</f>
        <v>1</v>
      </c>
      <c r="V71" s="73" t="str">
        <f>IF(U71="","",INDEX('CRONOGRAMA PROJECT'!$A$7:$A$27,U71)&amp;" "&amp;LEFT(INDEX('CRONOGRAMA PROJECT'!$C$7:$C$27,U71),40))</f>
        <v>342-01 CANTEIRO DE OBRAS</v>
      </c>
      <c r="W71" s="117">
        <f>IF(U71="","",INDEX('CRONOGRAMA PROJECT'!$K$7:$K$27,U71))</f>
        <v>122394</v>
      </c>
    </row>
    <row r="72">
      <c r="A72" s="110">
        <f>'FLUXO PROJETADO TAF'!D$21</f>
        <v>46296.0</v>
      </c>
      <c r="B72" s="101">
        <f>IF($H$5="342 e 343",'FLUXO PROJETADO TAF'!D23+'FLUXO PROJETADO TAF'!D45,IF($H$5="342",'FLUXO PROJETADO TAF'!D23,'FLUXO PROJETADO TAF'!D45))</f>
        <v>1181684.09</v>
      </c>
      <c r="C72" s="101">
        <f>SUM(B$71:B72)</f>
        <v>1181684.09</v>
      </c>
      <c r="D72" s="101">
        <f>IF($H$5="342 e 343",IF(AND(ISTEXT('FLUXO PROJETADO TAF'!D36),ISTEXT('FLUXO PROJETADO TAF'!D58)),"",N('FLUXO PROJETADO TAF'!D36)+N('FLUXO PROJETADO TAF'!D58)),IF($H$5="342",IF(ISTEXT('FLUXO PROJETADO TAF'!D36),"",'FLUXO PROJETADO TAF'!D36),IF(ISTEXT('FLUXO PROJETADO TAF'!D58),"",'FLUXO PROJETADO TAF'!D58)))</f>
      </c>
      <c r="E72" s="101">
        <f>IF(COUNT(D$71:D72)=0,"",SUM(D$71:D72))</f>
      </c>
      <c r="F72" s="114">
        <f>IF($H$5="342 e 343",'HISTOGRAMA PLANEJADO'!B9+'HISTOGRAMA PLANEJADO'!B30,IF($H$5="342",'HISTOGRAMA PLANEJADO'!B9,'HISTOGRAMA PLANEJADO'!B30))</f>
        <v>34.3108</v>
      </c>
      <c r="G72" s="114">
        <f>IF($H$5="342 e 343",IF(AND('HISTOGRAMA PLANEJADO'!I9="",'HISTOGRAMA PLANEJADO'!I30=""),"",N('HISTOGRAMA PLANEJADO'!I9)+N('HISTOGRAMA PLANEJADO'!I30)),IF($H$5="342",'HISTOGRAMA PLANEJADO'!I9,'HISTOGRAMA PLANEJADO'!I30))</f>
      </c>
      <c r="H72" s="101">
        <f>IF($H$5="342 e 343",'FLUXO PROJETADO TAF'!D32+'FLUXO PROJETADO TAF'!D54,IF($H$5="342",'FLUXO PROJETADO TAF'!D32,'FLUXO PROJETADO TAF'!D54))</f>
        <v>794498</v>
      </c>
      <c r="I72" s="101">
        <f>IF($H$5="342 e 343",IF(AND(ISTEXT('FLUXO PROJETADO TAF'!D41),ISTEXT('FLUXO PROJETADO TAF'!D63)),"",N('FLUXO PROJETADO TAF'!D41)+N('FLUXO PROJETADO TAF'!D63)),IF($H$5="342",IF(ISTEXT('FLUXO PROJETADO TAF'!D41),"",'FLUXO PROJETADO TAF'!D41),IF(ISTEXT('FLUXO PROJETADO TAF'!D63),"",'FLUXO PROJETADO TAF'!D63)))</f>
      </c>
      <c r="J72" s="101">
        <f>IF($H$5="342 e 343",'FLUXO PROJETADO TAF'!D27+'FLUXO PROJETADO TAF'!D49,IF($H$5="342",'FLUXO PROJETADO TAF'!D27,'FLUXO PROJETADO TAF'!D49))</f>
        <v>0</v>
      </c>
      <c r="K72" s="101">
        <f>IF($H$5="342 e 343",'FLUXO PROJETADO TAF'!D33+'FLUXO PROJETADO TAF'!D55,IF($H$5="342",'FLUXO PROJETADO TAF'!D33,'FLUXO PROJETADO TAF'!D55))</f>
        <v>-794498</v>
      </c>
      <c r="L72" s="101">
        <f>IF($H$5="342 e 343",'FLUXO PROJETADO TAF'!D34+'FLUXO PROJETADO TAF'!D56,IF($H$5="342",'FLUXO PROJETADO TAF'!D34,'FLUXO PROJETADO TAF'!D56))</f>
        <v>-850168.76</v>
      </c>
      <c r="M72" s="142">
        <f>IF(SUM(B$71:B$86)=0,"",C72/SUM(B$71:B$86))</f>
        <v>0.139152922563425</v>
      </c>
      <c r="U72" s="73">
        <f>IFERROR(_xlfn.AGGREGATE(15,6,(ROW('CRONOGRAMA PROJECT'!$A$7:$A$27)-6)/(('CRONOGRAMA PROJECT'!$BV$7:$BV$27="Contrato")*((('CRONOGRAMA PROJECT'!$B$7:$B$27&amp;"")=$H$5)+($H$5="342 e 343")&gt;0)),ROWS(U$71:U72)),"")</f>
        <v>2</v>
      </c>
      <c r="V72" s="73" t="str">
        <f>IF(U72="","",INDEX('CRONOGRAMA PROJECT'!$A$7:$A$27,U72)&amp;" "&amp;LEFT(INDEX('CRONOGRAMA PROJECT'!$C$7:$C$27,U72),40))</f>
        <v>342-02 ADMINISTRAÇÃO LOCAL</v>
      </c>
      <c r="W72" s="117">
        <f>IF(U72="","",INDEX('CRONOGRAMA PROJECT'!$K$7:$K$27,U72))</f>
        <v>479911</v>
      </c>
    </row>
    <row r="73">
      <c r="A73" s="110">
        <f>'FLUXO PROJETADO TAF'!E$21</f>
        <v>46327.0</v>
      </c>
      <c r="B73" s="101">
        <f>IF($H$5="342 e 343",'FLUXO PROJETADO TAF'!E23+'FLUXO PROJETADO TAF'!E45,IF($H$5="342",'FLUXO PROJETADO TAF'!E23,'FLUXO PROJETADO TAF'!E45))</f>
        <v>1076138.47</v>
      </c>
      <c r="C73" s="101">
        <f>SUM(B$71:B73)</f>
        <v>2257822.56</v>
      </c>
      <c r="D73" s="101">
        <f>IF($H$5="342 e 343",IF(AND(ISTEXT('FLUXO PROJETADO TAF'!E36),ISTEXT('FLUXO PROJETADO TAF'!E58)),"",N('FLUXO PROJETADO TAF'!E36)+N('FLUXO PROJETADO TAF'!E58)),IF($H$5="342",IF(ISTEXT('FLUXO PROJETADO TAF'!E36),"",'FLUXO PROJETADO TAF'!E36),IF(ISTEXT('FLUXO PROJETADO TAF'!E58),"",'FLUXO PROJETADO TAF'!E58)))</f>
      </c>
      <c r="E73" s="101">
        <f>IF(COUNT(D$71:D73)=0,"",SUM(D$71:D73))</f>
      </c>
      <c r="F73" s="114">
        <f>IF($H$5="342 e 343",'HISTOGRAMA PLANEJADO'!B10+'HISTOGRAMA PLANEJADO'!B31,IF($H$5="342",'HISTOGRAMA PLANEJADO'!B10,'HISTOGRAMA PLANEJADO'!B31))</f>
        <v>34.3108</v>
      </c>
      <c r="G73" s="114">
        <f>IF($H$5="342 e 343",IF(AND('HISTOGRAMA PLANEJADO'!I10="",'HISTOGRAMA PLANEJADO'!I31=""),"",N('HISTOGRAMA PLANEJADO'!I10)+N('HISTOGRAMA PLANEJADO'!I31)),IF($H$5="342",'HISTOGRAMA PLANEJADO'!I10,'HISTOGRAMA PLANEJADO'!I31))</f>
      </c>
      <c r="H73" s="101">
        <f>IF($H$5="342 e 343",'FLUXO PROJETADO TAF'!E32+'FLUXO PROJETADO TAF'!E54,IF($H$5="342",'FLUXO PROJETADO TAF'!E32,'FLUXO PROJETADO TAF'!E54))</f>
        <v>859795.28</v>
      </c>
      <c r="I73" s="101">
        <f>IF($H$5="342 e 343",IF(AND(ISTEXT('FLUXO PROJETADO TAF'!E41),ISTEXT('FLUXO PROJETADO TAF'!E63)),"",N('FLUXO PROJETADO TAF'!E41)+N('FLUXO PROJETADO TAF'!E63)),IF($H$5="342",IF(ISTEXT('FLUXO PROJETADO TAF'!E41),"",'FLUXO PROJETADO TAF'!E41),IF(ISTEXT('FLUXO PROJETADO TAF'!E63),"",'FLUXO PROJETADO TAF'!E63)))</f>
      </c>
      <c r="J73" s="101">
        <f>IF($H$5="342 e 343",'FLUXO PROJETADO TAF'!E27+'FLUXO PROJETADO TAF'!E49,IF($H$5="342",'FLUXO PROJETADO TAF'!E27,'FLUXO PROJETADO TAF'!E49))</f>
        <v>0</v>
      </c>
      <c r="K73" s="101">
        <f>IF($H$5="342 e 343",'FLUXO PROJETADO TAF'!E33+'FLUXO PROJETADO TAF'!E55,IF($H$5="342",'FLUXO PROJETADO TAF'!E33,'FLUXO PROJETADO TAF'!E55))</f>
        <v>-859795.28</v>
      </c>
      <c r="L73" s="101">
        <f>IF($H$5="342 e 343",'FLUXO PROJETADO TAF'!E34+'FLUXO PROJETADO TAF'!E56,IF($H$5="342",'FLUXO PROJETADO TAF'!E34,'FLUXO PROJETADO TAF'!E56))</f>
        <v>-1709964.04</v>
      </c>
      <c r="M73" s="142">
        <f>IF(SUM(B$71:B$86)=0,"",C73/SUM(B$71:B$86))</f>
        <v>0.265876989046737</v>
      </c>
      <c r="U73" s="73">
        <f>IFERROR(_xlfn.AGGREGATE(15,6,(ROW('CRONOGRAMA PROJECT'!$A$7:$A$27)-6)/(('CRONOGRAMA PROJECT'!$BV$7:$BV$27="Contrato")*((('CRONOGRAMA PROJECT'!$B$7:$B$27&amp;"")=$H$5)+($H$5="342 e 343")&gt;0)),ROWS(U$71:U73)),"")</f>
        <v>3</v>
      </c>
      <c r="V73" s="73" t="str">
        <f>IF(U73="","",INDEX('CRONOGRAMA PROJECT'!$A$7:$A$27,U73)&amp;" "&amp;LEFT(INDEX('CRONOGRAMA PROJECT'!$C$7:$C$27,U73),40))</f>
        <v>342-03 TERRAPLANAGEM E DESVIO DE TUBULAÇÃO</v>
      </c>
      <c r="W73" s="117">
        <f>IF(U73="","",INDEX('CRONOGRAMA PROJECT'!$K$7:$K$27,U73))</f>
        <v>131545.55</v>
      </c>
    </row>
    <row r="74">
      <c r="A74" s="110">
        <f>'FLUXO PROJETADO TAF'!F$21</f>
        <v>46357.0</v>
      </c>
      <c r="B74" s="101">
        <f>IF($H$5="342 e 343",'FLUXO PROJETADO TAF'!F23+'FLUXO PROJETADO TAF'!F45,IF($H$5="342",'FLUXO PROJETADO TAF'!F23,'FLUXO PROJETADO TAF'!F45))</f>
        <v>725138.76</v>
      </c>
      <c r="C74" s="101">
        <f>SUM(B$71:B74)</f>
        <v>2982961.32</v>
      </c>
      <c r="D74" s="101">
        <f>IF($H$5="342 e 343",IF(AND(ISTEXT('FLUXO PROJETADO TAF'!F36),ISTEXT('FLUXO PROJETADO TAF'!F58)),"",N('FLUXO PROJETADO TAF'!F36)+N('FLUXO PROJETADO TAF'!F58)),IF($H$5="342",IF(ISTEXT('FLUXO PROJETADO TAF'!F36),"",'FLUXO PROJETADO TAF'!F36),IF(ISTEXT('FLUXO PROJETADO TAF'!F58),"",'FLUXO PROJETADO TAF'!F58)))</f>
      </c>
      <c r="E74" s="101">
        <f>IF(COUNT(D$71:D74)=0,"",SUM(D$71:D74))</f>
      </c>
      <c r="F74" s="114">
        <f>IF($H$5="342 e 343",'HISTOGRAMA PLANEJADO'!B11+'HISTOGRAMA PLANEJADO'!B32,IF($H$5="342",'HISTOGRAMA PLANEJADO'!B11,'HISTOGRAMA PLANEJADO'!B32))</f>
        <v>54.3108</v>
      </c>
      <c r="G74" s="114">
        <f>IF($H$5="342 e 343",IF(AND('HISTOGRAMA PLANEJADO'!I11="",'HISTOGRAMA PLANEJADO'!I32=""),"",N('HISTOGRAMA PLANEJADO'!I11)+N('HISTOGRAMA PLANEJADO'!I32)),IF($H$5="342",'HISTOGRAMA PLANEJADO'!I11,'HISTOGRAMA PLANEJADO'!I32))</f>
      </c>
      <c r="H74" s="101">
        <f>IF($H$5="342 e 343",'FLUXO PROJETADO TAF'!F32+'FLUXO PROJETADO TAF'!F54,IF($H$5="342",'FLUXO PROJETADO TAF'!F32,'FLUXO PROJETADO TAF'!F54))</f>
        <v>811829.7</v>
      </c>
      <c r="I74" s="101">
        <f>IF($H$5="342 e 343",IF(AND(ISTEXT('FLUXO PROJETADO TAF'!F41),ISTEXT('FLUXO PROJETADO TAF'!F63)),"",N('FLUXO PROJETADO TAF'!F41)+N('FLUXO PROJETADO TAF'!F63)),IF($H$5="342",IF(ISTEXT('FLUXO PROJETADO TAF'!F41),"",'FLUXO PROJETADO TAF'!F41),IF(ISTEXT('FLUXO PROJETADO TAF'!F63),"",'FLUXO PROJETADO TAF'!F63)))</f>
      </c>
      <c r="J74" s="101">
        <f>IF($H$5="342 e 343",'FLUXO PROJETADO TAF'!F27+'FLUXO PROJETADO TAF'!F49,IF($H$5="342",'FLUXO PROJETADO TAF'!F27,'FLUXO PROJETADO TAF'!F49))</f>
        <v>2065907.6424</v>
      </c>
      <c r="K74" s="101">
        <f>IF($H$5="342 e 343",'FLUXO PROJETADO TAF'!F33+'FLUXO PROJETADO TAF'!F55,IF($H$5="342",'FLUXO PROJETADO TAF'!F33,'FLUXO PROJETADO TAF'!F55))</f>
        <v>1254077.9424</v>
      </c>
      <c r="L74" s="101">
        <f>IF($H$5="342 e 343",'FLUXO PROJETADO TAF'!F34+'FLUXO PROJETADO TAF'!F56,IF($H$5="342",'FLUXO PROJETADO TAF'!F34,'FLUXO PROJETADO TAF'!F56))</f>
        <v>-455886.0976</v>
      </c>
      <c r="M74" s="142">
        <f>IF(SUM(B$71:B$86)=0,"",C74/SUM(B$71:B$86))</f>
        <v>0.351267981928784</v>
      </c>
      <c r="U74" s="73">
        <f>IFERROR(_xlfn.AGGREGATE(15,6,(ROW('CRONOGRAMA PROJECT'!$A$7:$A$27)-6)/(('CRONOGRAMA PROJECT'!$BV$7:$BV$27="Contrato")*((('CRONOGRAMA PROJECT'!$B$7:$B$27&amp;"")=$H$5)+($H$5="342 e 343")&gt;0)),ROWS(U$71:U74)),"")</f>
        <v>4</v>
      </c>
      <c r="V74" s="73" t="str">
        <f>IF(U74="","",INDEX('CRONOGRAMA PROJECT'!$A$7:$A$27,U74)&amp;" "&amp;LEFT(INDEX('CRONOGRAMA PROJECT'!$C$7:$C$27,U74),40))</f>
        <v>342-04 INTERLIGAÇÕES ETA × UTR</v>
      </c>
      <c r="W74" s="117">
        <f>IF(U74="","",INDEX('CRONOGRAMA PROJECT'!$K$7:$K$27,U74))</f>
        <v>334559.95</v>
      </c>
    </row>
    <row r="75">
      <c r="A75" s="110">
        <f>'FLUXO PROJETADO TAF'!G$21</f>
        <v>46388.0</v>
      </c>
      <c r="B75" s="101">
        <f>IF($H$5="342 e 343",'FLUXO PROJETADO TAF'!G23+'FLUXO PROJETADO TAF'!G45,IF($H$5="342",'FLUXO PROJETADO TAF'!G23,'FLUXO PROJETADO TAF'!G45))</f>
        <v>1515129.91</v>
      </c>
      <c r="C75" s="101">
        <f>SUM(B$71:B75)</f>
        <v>4498091.23</v>
      </c>
      <c r="D75" s="101">
        <f>IF($H$5="342 e 343",IF(AND(ISTEXT('FLUXO PROJETADO TAF'!G36),ISTEXT('FLUXO PROJETADO TAF'!G58)),"",N('FLUXO PROJETADO TAF'!G36)+N('FLUXO PROJETADO TAF'!G58)),IF($H$5="342",IF(ISTEXT('FLUXO PROJETADO TAF'!G36),"",'FLUXO PROJETADO TAF'!G36),IF(ISTEXT('FLUXO PROJETADO TAF'!G58),"",'FLUXO PROJETADO TAF'!G58)))</f>
      </c>
      <c r="E75" s="101">
        <f>IF(COUNT(D$71:D75)=0,"",SUM(D$71:D75))</f>
      </c>
      <c r="F75" s="114">
        <f>IF($H$5="342 e 343",'HISTOGRAMA PLANEJADO'!B12+'HISTOGRAMA PLANEJADO'!B33,IF($H$5="342",'HISTOGRAMA PLANEJADO'!B12,'HISTOGRAMA PLANEJADO'!B33))</f>
        <v>34.3108</v>
      </c>
      <c r="G75" s="114">
        <f>IF($H$5="342 e 343",IF(AND('HISTOGRAMA PLANEJADO'!I12="",'HISTOGRAMA PLANEJADO'!I33=""),"",N('HISTOGRAMA PLANEJADO'!I12)+N('HISTOGRAMA PLANEJADO'!I33)),IF($H$5="342",'HISTOGRAMA PLANEJADO'!I12,'HISTOGRAMA PLANEJADO'!I33))</f>
      </c>
      <c r="H75" s="101">
        <f>IF($H$5="342 e 343",'FLUXO PROJETADO TAF'!G32+'FLUXO PROJETADO TAF'!G54,IF($H$5="342",'FLUXO PROJETADO TAF'!G32,'FLUXO PROJETADO TAF'!G54))</f>
        <v>869482.92</v>
      </c>
      <c r="I75" s="101">
        <f>IF($H$5="342 e 343",IF(AND(ISTEXT('FLUXO PROJETADO TAF'!G41),ISTEXT('FLUXO PROJETADO TAF'!G63)),"",N('FLUXO PROJETADO TAF'!G41)+N('FLUXO PROJETADO TAF'!G63)),IF($H$5="342",IF(ISTEXT('FLUXO PROJETADO TAF'!G41),"",'FLUXO PROJETADO TAF'!G41),IF(ISTEXT('FLUXO PROJETADO TAF'!G63),"",'FLUXO PROJETADO TAF'!G63)))</f>
      </c>
      <c r="J75" s="101">
        <f>IF($H$5="342 e 343",'FLUXO PROJETADO TAF'!G27+'FLUXO PROJETADO TAF'!G49,IF($H$5="342",'FLUXO PROJETADO TAF'!G27,'FLUXO PROJETADO TAF'!G49))</f>
        <v>0</v>
      </c>
      <c r="K75" s="101">
        <f>IF($H$5="342 e 343",'FLUXO PROJETADO TAF'!G33+'FLUXO PROJETADO TAF'!G55,IF($H$5="342",'FLUXO PROJETADO TAF'!G33,'FLUXO PROJETADO TAF'!G55))</f>
        <v>-869482.92</v>
      </c>
      <c r="L75" s="101">
        <f>IF($H$5="342 e 343",'FLUXO PROJETADO TAF'!G34+'FLUXO PROJETADO TAF'!G56,IF($H$5="342",'FLUXO PROJETADO TAF'!G34,'FLUXO PROJETADO TAF'!G56))</f>
        <v>-1325369.0176</v>
      </c>
      <c r="M75" s="142">
        <f>IF(SUM(B$71:B$86)=0,"",C75/SUM(B$71:B$86))</f>
        <v>0.529686864626746</v>
      </c>
      <c r="U75" s="73">
        <f>IFERROR(_xlfn.AGGREGATE(15,6,(ROW('CRONOGRAMA PROJECT'!$A$7:$A$27)-6)/(('CRONOGRAMA PROJECT'!$BV$7:$BV$27="Contrato")*((('CRONOGRAMA PROJECT'!$B$7:$B$27&amp;"")=$H$5)+($H$5="342 e 343")&gt;0)),ROWS(U$71:U75)),"")</f>
        <v>5</v>
      </c>
      <c r="V75" s="73" t="str">
        <f>IF(U75="","",INDEX('CRONOGRAMA PROJECT'!$A$7:$A$27,U75)&amp;" "&amp;LEFT(INDEX('CRONOGRAMA PROJECT'!$C$7:$C$27,U75),40))</f>
        <v>342-05 INTERLIGAÇÕES LINHA DE RECALQUE UTR × ET</v>
      </c>
      <c r="W75" s="117">
        <f>IF(U75="","",INDEX('CRONOGRAMA PROJECT'!$K$7:$K$27,U75))</f>
        <v>54857.68</v>
      </c>
    </row>
    <row r="76">
      <c r="A76" s="110">
        <f>'FLUXO PROJETADO TAF'!H$21</f>
        <v>46419.0</v>
      </c>
      <c r="B76" s="101">
        <f>IF($H$5="342 e 343",'FLUXO PROJETADO TAF'!H23+'FLUXO PROJETADO TAF'!H45,IF($H$5="342",'FLUXO PROJETADO TAF'!H23,'FLUXO PROJETADO TAF'!H45))</f>
        <v>521035.28</v>
      </c>
      <c r="C76" s="101">
        <f>SUM(B$71:B76)</f>
        <v>5019126.51</v>
      </c>
      <c r="D76" s="101">
        <f>IF($H$5="342 e 343",IF(AND(ISTEXT('FLUXO PROJETADO TAF'!H36),ISTEXT('FLUXO PROJETADO TAF'!H58)),"",N('FLUXO PROJETADO TAF'!H36)+N('FLUXO PROJETADO TAF'!H58)),IF($H$5="342",IF(ISTEXT('FLUXO PROJETADO TAF'!H36),"",'FLUXO PROJETADO TAF'!H36),IF(ISTEXT('FLUXO PROJETADO TAF'!H58),"",'FLUXO PROJETADO TAF'!H58)))</f>
      </c>
      <c r="E76" s="101">
        <f>IF(COUNT(D$71:D76)=0,"",SUM(D$71:D76))</f>
      </c>
      <c r="F76" s="114">
        <f>IF($H$5="342 e 343",'HISTOGRAMA PLANEJADO'!B13+'HISTOGRAMA PLANEJADO'!B34,IF($H$5="342",'HISTOGRAMA PLANEJADO'!B13,'HISTOGRAMA PLANEJADO'!B34))</f>
        <v>34.3108</v>
      </c>
      <c r="G76" s="114">
        <f>IF($H$5="342 e 343",IF(AND('HISTOGRAMA PLANEJADO'!I13="",'HISTOGRAMA PLANEJADO'!I34=""),"",N('HISTOGRAMA PLANEJADO'!I13)+N('HISTOGRAMA PLANEJADO'!I34)),IF($H$5="342",'HISTOGRAMA PLANEJADO'!I13,'HISTOGRAMA PLANEJADO'!I34))</f>
      </c>
      <c r="H76" s="101">
        <f>IF($H$5="342 e 343",'FLUXO PROJETADO TAF'!H32+'FLUXO PROJETADO TAF'!H54,IF($H$5="342",'FLUXO PROJETADO TAF'!H32,'FLUXO PROJETADO TAF'!H54))</f>
        <v>593454.29</v>
      </c>
      <c r="I76" s="101">
        <f>IF($H$5="342 e 343",IF(AND(ISTEXT('FLUXO PROJETADO TAF'!H41),ISTEXT('FLUXO PROJETADO TAF'!H63)),"",N('FLUXO PROJETADO TAF'!H41)+N('FLUXO PROJETADO TAF'!H63)),IF($H$5="342",IF(ISTEXT('FLUXO PROJETADO TAF'!H41),"",'FLUXO PROJETADO TAF'!H41),IF(ISTEXT('FLUXO PROJETADO TAF'!H63),"",'FLUXO PROJETADO TAF'!H63)))</f>
      </c>
      <c r="J76" s="101">
        <f>IF($H$5="342 e 343",'FLUXO PROJETADO TAF'!H27+'FLUXO PROJETADO TAF'!H49,IF($H$5="342",'FLUXO PROJETADO TAF'!H27,'FLUXO PROJETADO TAF'!H49))</f>
        <v>663501.9654</v>
      </c>
      <c r="K76" s="101">
        <f>IF($H$5="342 e 343",'FLUXO PROJETADO TAF'!H33+'FLUXO PROJETADO TAF'!H55,IF($H$5="342",'FLUXO PROJETADO TAF'!H33,'FLUXO PROJETADO TAF'!H55))</f>
        <v>70047.6754</v>
      </c>
      <c r="L76" s="101">
        <f>IF($H$5="342 e 343",'FLUXO PROJETADO TAF'!H34+'FLUXO PROJETADO TAF'!H56,IF($H$5="342",'FLUXO PROJETADO TAF'!H34,'FLUXO PROJETADO TAF'!H56))</f>
        <v>-1255321.3422</v>
      </c>
      <c r="M76" s="142">
        <f>IF(SUM(B$71:B$86)=0,"",C76/SUM(B$71:B$86))</f>
        <v>0.591043010981101</v>
      </c>
      <c r="U76" s="73">
        <f>IFERROR(_xlfn.AGGREGATE(15,6,(ROW('CRONOGRAMA PROJECT'!$A$7:$A$27)-6)/(('CRONOGRAMA PROJECT'!$BV$7:$BV$27="Contrato")*((('CRONOGRAMA PROJECT'!$B$7:$B$27&amp;"")=$H$5)+($H$5="342 e 343")&gt;0)),ROWS(U$71:U76)),"")</f>
        <v>6</v>
      </c>
      <c r="V76" s="73" t="str">
        <f>IF(U76="","",INDEX('CRONOGRAMA PROJECT'!$A$7:$A$27,U76)&amp;" "&amp;LEFT(INDEX('CRONOGRAMA PROJECT'!$C$7:$C$27,U76),40))</f>
        <v>342-06 DRENAGENS, ESGOTAMENTO E CAIXA DE CHEGAD</v>
      </c>
      <c r="W76" s="117">
        <f>IF(U76="","",INDEX('CRONOGRAMA PROJECT'!$K$7:$K$27,U76))</f>
        <v>72003.88</v>
      </c>
    </row>
    <row r="77">
      <c r="A77" s="110">
        <f>'FLUXO PROJETADO TAF'!I$21</f>
        <v>46447.0</v>
      </c>
      <c r="B77" s="101">
        <f>IF($H$5="342 e 343",'FLUXO PROJETADO TAF'!I23+'FLUXO PROJETADO TAF'!I45,IF($H$5="342",'FLUXO PROJETADO TAF'!I23,'FLUXO PROJETADO TAF'!I45))</f>
        <v>928217.22</v>
      </c>
      <c r="C77" s="101">
        <f>SUM(B$71:B77)</f>
        <v>5947343.73</v>
      </c>
      <c r="D77" s="101">
        <f>IF($H$5="342 e 343",IF(AND(ISTEXT('FLUXO PROJETADO TAF'!I36),ISTEXT('FLUXO PROJETADO TAF'!I58)),"",N('FLUXO PROJETADO TAF'!I36)+N('FLUXO PROJETADO TAF'!I58)),IF($H$5="342",IF(ISTEXT('FLUXO PROJETADO TAF'!I36),"",'FLUXO PROJETADO TAF'!I36),IF(ISTEXT('FLUXO PROJETADO TAF'!I58),"",'FLUXO PROJETADO TAF'!I58)))</f>
      </c>
      <c r="E77" s="101">
        <f>IF(COUNT(D$71:D77)=0,"",SUM(D$71:D77))</f>
      </c>
      <c r="F77" s="114">
        <f>IF($H$5="342 e 343",'HISTOGRAMA PLANEJADO'!B14+'HISTOGRAMA PLANEJADO'!B35,IF($H$5="342",'HISTOGRAMA PLANEJADO'!B14,'HISTOGRAMA PLANEJADO'!B35))</f>
        <v>50.3108</v>
      </c>
      <c r="G77" s="114">
        <f>IF($H$5="342 e 343",IF(AND('HISTOGRAMA PLANEJADO'!I14="",'HISTOGRAMA PLANEJADO'!I35=""),"",N('HISTOGRAMA PLANEJADO'!I14)+N('HISTOGRAMA PLANEJADO'!I35)),IF($H$5="342",'HISTOGRAMA PLANEJADO'!I14,'HISTOGRAMA PLANEJADO'!I35))</f>
      </c>
      <c r="H77" s="101">
        <f>IF($H$5="342 e 343",'FLUXO PROJETADO TAF'!I32+'FLUXO PROJETADO TAF'!I54,IF($H$5="342",'FLUXO PROJETADO TAF'!I32,'FLUXO PROJETADO TAF'!I54))</f>
        <v>686692.88</v>
      </c>
      <c r="I77" s="101">
        <f>IF($H$5="342 e 343",IF(AND(ISTEXT('FLUXO PROJETADO TAF'!I41),ISTEXT('FLUXO PROJETADO TAF'!I63)),"",N('FLUXO PROJETADO TAF'!I41)+N('FLUXO PROJETADO TAF'!I63)),IF($H$5="342",IF(ISTEXT('FLUXO PROJETADO TAF'!I41),"",'FLUXO PROJETADO TAF'!I41),IF(ISTEXT('FLUXO PROJETADO TAF'!I63),"",'FLUXO PROJETADO TAF'!I63)))</f>
      </c>
      <c r="J77" s="101">
        <f>IF($H$5="342 e 343",'FLUXO PROJETADO TAF'!I27+'FLUXO PROJETADO TAF'!I49,IF($H$5="342",'FLUXO PROJETADO TAF'!I27,'FLUXO PROJETADO TAF'!I49))</f>
        <v>1863091.14885</v>
      </c>
      <c r="K77" s="101">
        <f>IF($H$5="342 e 343",'FLUXO PROJETADO TAF'!I33+'FLUXO PROJETADO TAF'!I55,IF($H$5="342",'FLUXO PROJETADO TAF'!I33,'FLUXO PROJETADO TAF'!I55))</f>
        <v>1176398.26885</v>
      </c>
      <c r="L77" s="101">
        <f>IF($H$5="342 e 343",'FLUXO PROJETADO TAF'!I34+'FLUXO PROJETADO TAF'!I56,IF($H$5="342",'FLUXO PROJETADO TAF'!I34,'FLUXO PROJETADO TAF'!I56))</f>
        <v>-78923.0733500001</v>
      </c>
      <c r="M77" s="142">
        <f>IF(SUM(B$71:B$86)=0,"",C77/SUM(B$71:B$86))</f>
        <v>0.700348145940392</v>
      </c>
      <c r="U77" s="73">
        <f>IFERROR(_xlfn.AGGREGATE(15,6,(ROW('CRONOGRAMA PROJECT'!$A$7:$A$27)-6)/(('CRONOGRAMA PROJECT'!$BV$7:$BV$27="Contrato")*((('CRONOGRAMA PROJECT'!$B$7:$B$27&amp;"")=$H$5)+($H$5="342 e 343")&gt;0)),ROWS(U$71:U77)),"")</f>
        <v>7</v>
      </c>
      <c r="V77" s="73" t="str">
        <f>IF(U77="","",INDEX('CRONOGRAMA PROJECT'!$A$7:$A$27,U77)&amp;" "&amp;LEFT(INDEX('CRONOGRAMA PROJECT'!$C$7:$C$27,U77),40))</f>
        <v>342-07 TANQUE DE LODO</v>
      </c>
      <c r="W77" s="117">
        <f>IF(U77="","",INDEX('CRONOGRAMA PROJECT'!$K$7:$K$27,U77))</f>
        <v>1180517.8</v>
      </c>
    </row>
    <row r="78">
      <c r="A78" s="110">
        <f>'FLUXO PROJETADO TAF'!J$21</f>
        <v>46478.0</v>
      </c>
      <c r="B78" s="101">
        <f>IF($H$5="342 e 343",'FLUXO PROJETADO TAF'!J23+'FLUXO PROJETADO TAF'!J45,IF($H$5="342",'FLUXO PROJETADO TAF'!J23,'FLUXO PROJETADO TAF'!J45))</f>
        <v>1448258.45</v>
      </c>
      <c r="C78" s="101">
        <f>SUM(B$71:B78)</f>
        <v>7395602.18</v>
      </c>
      <c r="D78" s="101">
        <f>IF($H$5="342 e 343",IF(AND(ISTEXT('FLUXO PROJETADO TAF'!J36),ISTEXT('FLUXO PROJETADO TAF'!J58)),"",N('FLUXO PROJETADO TAF'!J36)+N('FLUXO PROJETADO TAF'!J58)),IF($H$5="342",IF(ISTEXT('FLUXO PROJETADO TAF'!J36),"",'FLUXO PROJETADO TAF'!J36),IF(ISTEXT('FLUXO PROJETADO TAF'!J58),"",'FLUXO PROJETADO TAF'!J58)))</f>
      </c>
      <c r="E78" s="101">
        <f>IF(COUNT(D$71:D78)=0,"",SUM(D$71:D78))</f>
      </c>
      <c r="F78" s="114">
        <f>IF($H$5="342 e 343",'HISTOGRAMA PLANEJADO'!B15+'HISTOGRAMA PLANEJADO'!B36,IF($H$5="342",'HISTOGRAMA PLANEJADO'!B15,'HISTOGRAMA PLANEJADO'!B36))</f>
        <v>41.8108</v>
      </c>
      <c r="G78" s="114">
        <f>IF($H$5="342 e 343",IF(AND('HISTOGRAMA PLANEJADO'!I15="",'HISTOGRAMA PLANEJADO'!I36=""),"",N('HISTOGRAMA PLANEJADO'!I15)+N('HISTOGRAMA PLANEJADO'!I36)),IF($H$5="342",'HISTOGRAMA PLANEJADO'!I15,'HISTOGRAMA PLANEJADO'!I36))</f>
      </c>
      <c r="H78" s="101">
        <f>IF($H$5="342 e 343",'FLUXO PROJETADO TAF'!J32+'FLUXO PROJETADO TAF'!J54,IF($H$5="342",'FLUXO PROJETADO TAF'!J32,'FLUXO PROJETADO TAF'!J54))</f>
        <v>554799.79</v>
      </c>
      <c r="I78" s="101">
        <f>IF($H$5="342 e 343",IF(AND(ISTEXT('FLUXO PROJETADO TAF'!J41),ISTEXT('FLUXO PROJETADO TAF'!J63)),"",N('FLUXO PROJETADO TAF'!J41)+N('FLUXO PROJETADO TAF'!J63)),IF($H$5="342",IF(ISTEXT('FLUXO PROJETADO TAF'!J41),"",'FLUXO PROJETADO TAF'!J41),IF(ISTEXT('FLUXO PROJETADO TAF'!J63),"",'FLUXO PROJETADO TAF'!J63)))</f>
      </c>
      <c r="J78" s="101">
        <f>IF($H$5="342 e 343",'FLUXO PROJETADO TAF'!J27+'FLUXO PROJETADO TAF'!J49,IF($H$5="342",'FLUXO PROJETADO TAF'!J27,'FLUXO PROJETADO TAF'!J49))</f>
        <v>286581.5319</v>
      </c>
      <c r="K78" s="101">
        <f>IF($H$5="342 e 343",'FLUXO PROJETADO TAF'!J33+'FLUXO PROJETADO TAF'!J55,IF($H$5="342",'FLUXO PROJETADO TAF'!J33,'FLUXO PROJETADO TAF'!J55))</f>
        <v>-268218.2581</v>
      </c>
      <c r="L78" s="101">
        <f>IF($H$5="342 e 343",'FLUXO PROJETADO TAF'!J34+'FLUXO PROJETADO TAF'!J56,IF($H$5="342",'FLUXO PROJETADO TAF'!J34,'FLUXO PROJETADO TAF'!J56))</f>
        <v>-347141.33145</v>
      </c>
      <c r="M78" s="142">
        <f>IF(SUM(B$71:B$86)=0,"",C78/SUM(B$71:B$86))</f>
        <v>0.870892369773241</v>
      </c>
      <c r="U78" s="73">
        <f>IFERROR(_xlfn.AGGREGATE(15,6,(ROW('CRONOGRAMA PROJECT'!$A$7:$A$27)-6)/(('CRONOGRAMA PROJECT'!$BV$7:$BV$27="Contrato")*((('CRONOGRAMA PROJECT'!$B$7:$B$27&amp;"")=$H$5)+($H$5="342 e 343")&gt;0)),ROWS(U$71:U78)),"")</f>
        <v>8</v>
      </c>
      <c r="V78" s="73" t="str">
        <f>IF(U78="","",INDEX('CRONOGRAMA PROJECT'!$A$7:$A$27,U78)&amp;" "&amp;LEFT(INDEX('CRONOGRAMA PROJECT'!$C$7:$C$27,U78),40))</f>
        <v>342-08 ESTAÇÃO ELEVATÓRIA DE RECIRCULAÇÃO DE LO</v>
      </c>
      <c r="W78" s="117">
        <f>IF(U78="","",INDEX('CRONOGRAMA PROJECT'!$K$7:$K$27,U78))</f>
        <v>530787.26</v>
      </c>
    </row>
    <row r="79">
      <c r="A79" s="110">
        <f>'FLUXO PROJETADO TAF'!K$21</f>
        <v>46508.0</v>
      </c>
      <c r="B79" s="101">
        <f>IF($H$5="342 e 343",'FLUXO PROJETADO TAF'!K23+'FLUXO PROJETADO TAF'!K45,IF($H$5="342",'FLUXO PROJETADO TAF'!K23,'FLUXO PROJETADO TAF'!K45))</f>
        <v>560560.16</v>
      </c>
      <c r="C79" s="101">
        <f>SUM(B$71:B79)</f>
        <v>7956162.34</v>
      </c>
      <c r="D79" s="101">
        <f>IF($H$5="342 e 343",IF(AND(ISTEXT('FLUXO PROJETADO TAF'!K36),ISTEXT('FLUXO PROJETADO TAF'!K58)),"",N('FLUXO PROJETADO TAF'!K36)+N('FLUXO PROJETADO TAF'!K58)),IF($H$5="342",IF(ISTEXT('FLUXO PROJETADO TAF'!K36),"",'FLUXO PROJETADO TAF'!K36),IF(ISTEXT('FLUXO PROJETADO TAF'!K58),"",'FLUXO PROJETADO TAF'!K58)))</f>
      </c>
      <c r="E79" s="101">
        <f>IF(COUNT(D$71:D79)=0,"",SUM(D$71:D79))</f>
      </c>
      <c r="F79" s="114">
        <f>IF($H$5="342 e 343",'HISTOGRAMA PLANEJADO'!B16+'HISTOGRAMA PLANEJADO'!B37,IF($H$5="342",'HISTOGRAMA PLANEJADO'!B16,'HISTOGRAMA PLANEJADO'!B37))</f>
        <v>33.5</v>
      </c>
      <c r="G79" s="114">
        <f>IF($H$5="342 e 343",IF(AND('HISTOGRAMA PLANEJADO'!I16="",'HISTOGRAMA PLANEJADO'!I37=""),"",N('HISTOGRAMA PLANEJADO'!I16)+N('HISTOGRAMA PLANEJADO'!I37)),IF($H$5="342",'HISTOGRAMA PLANEJADO'!I16,'HISTOGRAMA PLANEJADO'!I37))</f>
      </c>
      <c r="H79" s="101">
        <f>IF($H$5="342 e 343",'FLUXO PROJETADO TAF'!K32+'FLUXO PROJETADO TAF'!K54,IF($H$5="342",'FLUXO PROJETADO TAF'!K32,'FLUXO PROJETADO TAF'!K54))</f>
        <v>854835.72</v>
      </c>
      <c r="I79" s="101">
        <f>IF($H$5="342 e 343",IF(AND(ISTEXT('FLUXO PROJETADO TAF'!K41),ISTEXT('FLUXO PROJETADO TAF'!K63)),"",N('FLUXO PROJETADO TAF'!K41)+N('FLUXO PROJETADO TAF'!K63)),IF($H$5="342",IF(ISTEXT('FLUXO PROJETADO TAF'!K41),"",'FLUXO PROJETADO TAF'!K41),IF(ISTEXT('FLUXO PROJETADO TAF'!K63),"",'FLUXO PROJETADO TAF'!K63)))</f>
      </c>
      <c r="J79" s="101">
        <f>IF($H$5="342 e 343",'FLUXO PROJETADO TAF'!K27+'FLUXO PROJETADO TAF'!K49,IF($H$5="342",'FLUXO PROJETADO TAF'!K27,'FLUXO PROJETADO TAF'!K49))</f>
        <v>1389908.9547</v>
      </c>
      <c r="K79" s="101">
        <f>IF($H$5="342 e 343",'FLUXO PROJETADO TAF'!K33+'FLUXO PROJETADO TAF'!K55,IF($H$5="342",'FLUXO PROJETADO TAF'!K33,'FLUXO PROJETADO TAF'!K55))</f>
        <v>535073.2347</v>
      </c>
      <c r="L79" s="101">
        <f>IF($H$5="342 e 343",'FLUXO PROJETADO TAF'!K34+'FLUXO PROJETADO TAF'!K56,IF($H$5="342",'FLUXO PROJETADO TAF'!K34,'FLUXO PROJETADO TAF'!K56))</f>
        <v>187931.90325</v>
      </c>
      <c r="M79" s="142">
        <f>IF(SUM(B$71:B$86)=0,"",C79/SUM(B$71:B$86))</f>
        <v>0.936902892548935</v>
      </c>
      <c r="U79" s="73">
        <f>IFERROR(_xlfn.AGGREGATE(15,6,(ROW('CRONOGRAMA PROJECT'!$A$7:$A$27)-6)/(('CRONOGRAMA PROJECT'!$BV$7:$BV$27="Contrato")*((('CRONOGRAMA PROJECT'!$B$7:$B$27&amp;"")=$H$5)+($H$5="342 e 343")&gt;0)),ROWS(U$71:U79)),"")</f>
        <v>9</v>
      </c>
      <c r="V79" s="73" t="str">
        <f>IF(U79="","",INDEX('CRONOGRAMA PROJECT'!$A$7:$A$27,U79)&amp;" "&amp;LEFT(INDEX('CRONOGRAMA PROJECT'!$C$7:$C$27,U79),40))</f>
        <v>342-09 URBANIZAÇÃO, CANALETAS, CAIXAS E SERVIÇO</v>
      </c>
      <c r="W79" s="117">
        <f>IF(U79="","",INDEX('CRONOGRAMA PROJECT'!$K$7:$K$27,U79))</f>
        <v>218637.74</v>
      </c>
    </row>
    <row r="80">
      <c r="A80" s="110">
        <f>'FLUXO PROJETADO TAF'!L$21</f>
        <v>46539.0</v>
      </c>
      <c r="B80" s="101">
        <f>IF($H$5="342 e 343",'FLUXO PROJETADO TAF'!L23+'FLUXO PROJETADO TAF'!L45,IF($H$5="342",'FLUXO PROJETADO TAF'!L23,'FLUXO PROJETADO TAF'!L45))</f>
        <v>415335.92</v>
      </c>
      <c r="C80" s="101">
        <f>SUM(B$71:B80)</f>
        <v>8371498.26</v>
      </c>
      <c r="D80" s="101">
        <f>IF($H$5="342 e 343",IF(AND(ISTEXT('FLUXO PROJETADO TAF'!L36),ISTEXT('FLUXO PROJETADO TAF'!L58)),"",N('FLUXO PROJETADO TAF'!L36)+N('FLUXO PROJETADO TAF'!L58)),IF($H$5="342",IF(ISTEXT('FLUXO PROJETADO TAF'!L36),"",'FLUXO PROJETADO TAF'!L36),IF(ISTEXT('FLUXO PROJETADO TAF'!L58),"",'FLUXO PROJETADO TAF'!L58)))</f>
      </c>
      <c r="E80" s="101">
        <f>IF(COUNT(D$71:D80)=0,"",SUM(D$71:D80))</f>
      </c>
      <c r="F80" s="114">
        <f>IF($H$5="342 e 343",'HISTOGRAMA PLANEJADO'!B17+'HISTOGRAMA PLANEJADO'!B38,IF($H$5="342",'HISTOGRAMA PLANEJADO'!B17,'HISTOGRAMA PLANEJADO'!B38))</f>
        <v>31.5</v>
      </c>
      <c r="G80" s="114">
        <f>IF($H$5="342 e 343",IF(AND('HISTOGRAMA PLANEJADO'!I17="",'HISTOGRAMA PLANEJADO'!I38=""),"",N('HISTOGRAMA PLANEJADO'!I17)+N('HISTOGRAMA PLANEJADO'!I38)),IF($H$5="342",'HISTOGRAMA PLANEJADO'!I17,'HISTOGRAMA PLANEJADO'!I38))</f>
      </c>
      <c r="H80" s="101">
        <f>IF($H$5="342 e 343",'FLUXO PROJETADO TAF'!L32+'FLUXO PROJETADO TAF'!L54,IF($H$5="342",'FLUXO PROJETADO TAF'!L32,'FLUXO PROJETADO TAF'!L54))</f>
        <v>292769.23</v>
      </c>
      <c r="I80" s="101">
        <f>IF($H$5="342 e 343",IF(AND(ISTEXT('FLUXO PROJETADO TAF'!L41),ISTEXT('FLUXO PROJETADO TAF'!L63)),"",N('FLUXO PROJETADO TAF'!L41)+N('FLUXO PROJETADO TAF'!L63)),IF($H$5="342",IF(ISTEXT('FLUXO PROJETADO TAF'!L41),"",'FLUXO PROJETADO TAF'!L41),IF(ISTEXT('FLUXO PROJETADO TAF'!L63),"",'FLUXO PROJETADO TAF'!L63)))</f>
      </c>
      <c r="J80" s="101">
        <f>IF($H$5="342 e 343",'FLUXO PROJETADO TAF'!L27+'FLUXO PROJETADO TAF'!L49,IF($H$5="342",'FLUXO PROJETADO TAF'!L27,'FLUXO PROJETADO TAF'!L49))</f>
        <v>730065.38805</v>
      </c>
      <c r="K80" s="101">
        <f>IF($H$5="342 e 343",'FLUXO PROJETADO TAF'!L33+'FLUXO PROJETADO TAF'!L55,IF($H$5="342",'FLUXO PROJETADO TAF'!L33,'FLUXO PROJETADO TAF'!L55))</f>
        <v>437296.15805</v>
      </c>
      <c r="L80" s="101">
        <f>IF($H$5="342 e 343",'FLUXO PROJETADO TAF'!L34+'FLUXO PROJETADO TAF'!L56,IF($H$5="342",'FLUXO PROJETADO TAF'!L34,'FLUXO PROJETADO TAF'!L56))</f>
        <v>625228.0613</v>
      </c>
      <c r="M80" s="142">
        <f>IF(SUM(B$71:B$86)=0,"",C80/SUM(B$71:B$86))</f>
        <v>0.985812078686466</v>
      </c>
      <c r="U80" s="73">
        <f>IFERROR(_xlfn.AGGREGATE(15,6,(ROW('CRONOGRAMA PROJECT'!$A$7:$A$27)-6)/(('CRONOGRAMA PROJECT'!$BV$7:$BV$27="Contrato")*((('CRONOGRAMA PROJECT'!$B$7:$B$27&amp;"")=$H$5)+($H$5="342 e 343")&gt;0)),ROWS(U$71:U80)),"")</f>
        <v>10</v>
      </c>
      <c r="V80" s="73" t="str">
        <f>IF(U80="","",INDEX('CRONOGRAMA PROJECT'!$A$7:$A$27,U80)&amp;" "&amp;LEFT(INDEX('CRONOGRAMA PROJECT'!$C$7:$C$27,U80),40))</f>
        <v>342-10 REDE DE DISTRIBUIÇÃO DE ENERGIA</v>
      </c>
      <c r="W80" s="117">
        <f>IF(U80="","",INDEX('CRONOGRAMA PROJECT'!$K$7:$K$27,U80))</f>
        <v>104799.22</v>
      </c>
    </row>
    <row r="81">
      <c r="A81" s="110">
        <f>'FLUXO PROJETADO TAF'!M$21</f>
        <v>46569.0</v>
      </c>
      <c r="B81" s="101">
        <f>IF($H$5="342 e 343",'FLUXO PROJETADO TAF'!M23+'FLUXO PROJETADO TAF'!M45,IF($H$5="342",'FLUXO PROJETADO TAF'!M23,'FLUXO PROJETADO TAF'!M45))</f>
        <v>50760.4</v>
      </c>
      <c r="C81" s="101">
        <f>SUM(B$71:B81)</f>
        <v>8422258.66</v>
      </c>
      <c r="D81" s="101">
        <f>IF($H$5="342 e 343",IF(AND(ISTEXT('FLUXO PROJETADO TAF'!M36),ISTEXT('FLUXO PROJETADO TAF'!M58)),"",N('FLUXO PROJETADO TAF'!M36)+N('FLUXO PROJETADO TAF'!M58)),IF($H$5="342",IF(ISTEXT('FLUXO PROJETADO TAF'!M36),"",'FLUXO PROJETADO TAF'!M36),IF(ISTEXT('FLUXO PROJETADO TAF'!M58),"",'FLUXO PROJETADO TAF'!M58)))</f>
      </c>
      <c r="E81" s="101">
        <f>IF(COUNT(D$71:D81)=0,"",SUM(D$71:D81))</f>
      </c>
      <c r="F81" s="114">
        <f>IF($H$5="342 e 343",'HISTOGRAMA PLANEJADO'!B18+'HISTOGRAMA PLANEJADO'!B39,IF($H$5="342",'HISTOGRAMA PLANEJADO'!B18,'HISTOGRAMA PLANEJADO'!B39))</f>
        <v>28.5</v>
      </c>
      <c r="G81" s="114">
        <f>IF($H$5="342 e 343",IF(AND('HISTOGRAMA PLANEJADO'!I18="",'HISTOGRAMA PLANEJADO'!I39=""),"",N('HISTOGRAMA PLANEJADO'!I18)+N('HISTOGRAMA PLANEJADO'!I39)),IF($H$5="342",'HISTOGRAMA PLANEJADO'!I18,'HISTOGRAMA PLANEJADO'!I39))</f>
      </c>
      <c r="H81" s="101">
        <f>IF($H$5="342 e 343",'FLUXO PROJETADO TAF'!M32+'FLUXO PROJETADO TAF'!M54,IF($H$5="342",'FLUXO PROJETADO TAF'!M32,'FLUXO PROJETADO TAF'!M54))</f>
        <v>237629.3</v>
      </c>
      <c r="I81" s="101">
        <f>IF($H$5="342 e 343",IF(AND(ISTEXT('FLUXO PROJETADO TAF'!M41),ISTEXT('FLUXO PROJETADO TAF'!M63)),"",N('FLUXO PROJETADO TAF'!M41)+N('FLUXO PROJETADO TAF'!M63)),IF($H$5="342",IF(ISTEXT('FLUXO PROJETADO TAF'!M41),"",'FLUXO PROJETADO TAF'!M41),IF(ISTEXT('FLUXO PROJETADO TAF'!M63),"",'FLUXO PROJETADO TAF'!M63)))</f>
      </c>
      <c r="J81" s="101">
        <f>IF($H$5="342 e 343",'FLUXO PROJETADO TAF'!M27+'FLUXO PROJETADO TAF'!M49,IF($H$5="342",'FLUXO PROJETADO TAF'!M27,'FLUXO PROJETADO TAF'!M49))</f>
        <v>660864.2766</v>
      </c>
      <c r="K81" s="101">
        <f>IF($H$5="342 e 343",'FLUXO PROJETADO TAF'!M33+'FLUXO PROJETADO TAF'!M55,IF($H$5="342",'FLUXO PROJETADO TAF'!M33,'FLUXO PROJETADO TAF'!M55))</f>
        <v>423234.9766</v>
      </c>
      <c r="L81" s="101">
        <f>IF($H$5="342 e 343",'FLUXO PROJETADO TAF'!M34+'FLUXO PROJETADO TAF'!M56,IF($H$5="342",'FLUXO PROJETADO TAF'!M34,'FLUXO PROJETADO TAF'!M56))</f>
        <v>1048463.0379</v>
      </c>
      <c r="M81" s="142">
        <f>IF(SUM(B$71:B$86)=0,"",C81/SUM(B$71:B$86))</f>
        <v>0.991789529064501</v>
      </c>
      <c r="U81" s="73">
        <f>IFERROR(_xlfn.AGGREGATE(15,6,(ROW('CRONOGRAMA PROJECT'!$A$7:$A$27)-6)/(('CRONOGRAMA PROJECT'!$BV$7:$BV$27="Contrato")*((('CRONOGRAMA PROJECT'!$B$7:$B$27&amp;"")=$H$5)+($H$5="342 e 343")&gt;0)),ROWS(U$71:U81)),"")</f>
        <v>11</v>
      </c>
      <c r="V81" s="73" t="str">
        <f>IF(U81="","",INDEX('CRONOGRAMA PROJECT'!$A$7:$A$27,U81)&amp;" "&amp;LEFT(INDEX('CRONOGRAMA PROJECT'!$C$7:$C$27,U81),40))</f>
        <v>342-11 PROJETOS EXECUTIVOS / AS BUILT</v>
      </c>
      <c r="W81" s="117">
        <f>IF(U81="","",INDEX('CRONOGRAMA PROJECT'!$K$7:$K$27,U81))</f>
        <v>27956.66</v>
      </c>
    </row>
    <row r="82">
      <c r="A82" s="110">
        <f>'FLUXO PROJETADO TAF'!N$21</f>
        <v>46600.0</v>
      </c>
      <c r="B82" s="101">
        <f>IF($H$5="342 e 343",'FLUXO PROJETADO TAF'!N23+'FLUXO PROJETADO TAF'!N45,IF($H$5="342",'FLUXO PROJETADO TAF'!N23,'FLUXO PROJETADO TAF'!N45))</f>
        <v>66927.5</v>
      </c>
      <c r="C82" s="101">
        <f>SUM(B$71:B82)</f>
        <v>8489186.16</v>
      </c>
      <c r="D82" s="101">
        <f>IF($H$5="342 e 343",IF(AND(ISTEXT('FLUXO PROJETADO TAF'!N36),ISTEXT('FLUXO PROJETADO TAF'!N58)),"",N('FLUXO PROJETADO TAF'!N36)+N('FLUXO PROJETADO TAF'!N58)),IF($H$5="342",IF(ISTEXT('FLUXO PROJETADO TAF'!N36),"",'FLUXO PROJETADO TAF'!N36),IF(ISTEXT('FLUXO PROJETADO TAF'!N58),"",'FLUXO PROJETADO TAF'!N58)))</f>
      </c>
      <c r="E82" s="101">
        <f>IF(COUNT(D$71:D82)=0,"",SUM(D$71:D82))</f>
      </c>
      <c r="F82" s="114">
        <f>IF($H$5="342 e 343",'HISTOGRAMA PLANEJADO'!B19+'HISTOGRAMA PLANEJADO'!B40,IF($H$5="342",'HISTOGRAMA PLANEJADO'!B19,'HISTOGRAMA PLANEJADO'!B40))</f>
        <v>15</v>
      </c>
      <c r="G82" s="114">
        <f>IF($H$5="342 e 343",IF(AND('HISTOGRAMA PLANEJADO'!I19="",'HISTOGRAMA PLANEJADO'!I40=""),"",N('HISTOGRAMA PLANEJADO'!I19)+N('HISTOGRAMA PLANEJADO'!I40)),IF($H$5="342",'HISTOGRAMA PLANEJADO'!I19,'HISTOGRAMA PLANEJADO'!I40))</f>
      </c>
      <c r="H82" s="101">
        <f>IF($H$5="342 e 343",'FLUXO PROJETADO TAF'!N32+'FLUXO PROJETADO TAF'!N54,IF($H$5="342",'FLUXO PROJETADO TAF'!N32,'FLUXO PROJETADO TAF'!N54))</f>
        <v>163887.89</v>
      </c>
      <c r="I82" s="101">
        <f>IF($H$5="342 e 343",IF(AND(ISTEXT('FLUXO PROJETADO TAF'!N41),ISTEXT('FLUXO PROJETADO TAF'!N63)),"",N('FLUXO PROJETADO TAF'!N41)+N('FLUXO PROJETADO TAF'!N63)),IF($H$5="342",IF(ISTEXT('FLUXO PROJETADO TAF'!N41),"",'FLUXO PROJETADO TAF'!N41),IF(ISTEXT('FLUXO PROJETADO TAF'!N63),"",'FLUXO PROJETADO TAF'!N63)))</f>
      </c>
      <c r="J82" s="101">
        <f>IF($H$5="342 e 343",'FLUXO PROJETADO TAF'!N27+'FLUXO PROJETADO TAF'!N49,IF($H$5="342",'FLUXO PROJETADO TAF'!N27,'FLUXO PROJETADO TAF'!N49))</f>
        <v>46445.766</v>
      </c>
      <c r="K82" s="101">
        <f>IF($H$5="342 e 343",'FLUXO PROJETADO TAF'!N33+'FLUXO PROJETADO TAF'!N55,IF($H$5="342",'FLUXO PROJETADO TAF'!N33,'FLUXO PROJETADO TAF'!N55))</f>
        <v>-117442.124</v>
      </c>
      <c r="L82" s="101">
        <f>IF($H$5="342 e 343",'FLUXO PROJETADO TAF'!N34+'FLUXO PROJETADO TAF'!N56,IF($H$5="342",'FLUXO PROJETADO TAF'!N34,'FLUXO PROJETADO TAF'!N56))</f>
        <v>931020.9139</v>
      </c>
      <c r="M82" s="142">
        <f>IF(SUM(B$71:B$86)=0,"",C82/SUM(B$71:B$86))</f>
        <v>0.999670787095879</v>
      </c>
      <c r="U82" s="73">
        <f>IFERROR(_xlfn.AGGREGATE(15,6,(ROW('CRONOGRAMA PROJECT'!$A$7:$A$27)-6)/(('CRONOGRAMA PROJECT'!$BV$7:$BV$27="Contrato")*((('CRONOGRAMA PROJECT'!$B$7:$B$27&amp;"")=$H$5)+($H$5="342 e 343")&gt;0)),ROWS(U$71:U82)),"")</f>
        <v>12</v>
      </c>
      <c r="V82" s="73" t="str">
        <f>IF(U82="","",INDEX('CRONOGRAMA PROJECT'!$A$7:$A$27,U82)&amp;" "&amp;LEFT(INDEX('CRONOGRAMA PROJECT'!$C$7:$C$27,U82),40))</f>
        <v>343-01 Canteiro de Obras</v>
      </c>
      <c r="W82" s="117">
        <f>IF(U82="","",INDEX('CRONOGRAMA PROJECT'!$K$7:$K$27,U82))</f>
        <v>940360.23</v>
      </c>
    </row>
    <row r="83">
      <c r="A83" s="110">
        <f>'FLUXO PROJETADO TAF'!O$21</f>
        <v>46631.0</v>
      </c>
      <c r="B83" s="101">
        <f>IF($H$5="342 e 343",'FLUXO PROJETADO TAF'!O23+'FLUXO PROJETADO TAF'!O45,IF($H$5="342",'FLUXO PROJETADO TAF'!O23,'FLUXO PROJETADO TAF'!O45))</f>
        <v>2795.67</v>
      </c>
      <c r="C83" s="101">
        <f>SUM(B$71:B83)</f>
        <v>8491981.83</v>
      </c>
      <c r="D83" s="101">
        <f>IF($H$5="342 e 343",IF(AND(ISTEXT('FLUXO PROJETADO TAF'!O36),ISTEXT('FLUXO PROJETADO TAF'!O58)),"",N('FLUXO PROJETADO TAF'!O36)+N('FLUXO PROJETADO TAF'!O58)),IF($H$5="342",IF(ISTEXT('FLUXO PROJETADO TAF'!O36),"",'FLUXO PROJETADO TAF'!O36),IF(ISTEXT('FLUXO PROJETADO TAF'!O58),"",'FLUXO PROJETADO TAF'!O58)))</f>
      </c>
      <c r="E83" s="101">
        <f>IF(COUNT(D$71:D83)=0,"",SUM(D$71:D83))</f>
      </c>
      <c r="F83" s="114">
        <f>IF($H$5="342 e 343",'HISTOGRAMA PLANEJADO'!B20+'HISTOGRAMA PLANEJADO'!B41,IF($H$5="342",'HISTOGRAMA PLANEJADO'!B20,'HISTOGRAMA PLANEJADO'!B41))</f>
        <v>0</v>
      </c>
      <c r="G83" s="114">
        <f>IF($H$5="342 e 343",IF(AND('HISTOGRAMA PLANEJADO'!I20="",'HISTOGRAMA PLANEJADO'!I41=""),"",N('HISTOGRAMA PLANEJADO'!I20)+N('HISTOGRAMA PLANEJADO'!I41)),IF($H$5="342",'HISTOGRAMA PLANEJADO'!I20,'HISTOGRAMA PLANEJADO'!I41))</f>
      </c>
      <c r="H83" s="101">
        <f>IF($H$5="342 e 343",'FLUXO PROJETADO TAF'!O32+'FLUXO PROJETADO TAF'!O54,IF($H$5="342",'FLUXO PROJETADO TAF'!O32,'FLUXO PROJETADO TAF'!O54))</f>
        <v>42731.16</v>
      </c>
      <c r="I83" s="101">
        <f>IF($H$5="342 e 343",IF(AND(ISTEXT('FLUXO PROJETADO TAF'!O41),ISTEXT('FLUXO PROJETADO TAF'!O63)),"",N('FLUXO PROJETADO TAF'!O41)+N('FLUXO PROJETADO TAF'!O63)),IF($H$5="342",IF(ISTEXT('FLUXO PROJETADO TAF'!O41),"",'FLUXO PROJETADO TAF'!O41),IF(ISTEXT('FLUXO PROJETADO TAF'!O63),"",'FLUXO PROJETADO TAF'!O63)))</f>
      </c>
      <c r="J83" s="101">
        <f>IF($H$5="342 e 343",'FLUXO PROJETADO TAF'!O27+'FLUXO PROJETADO TAF'!O49,IF($H$5="342",'FLUXO PROJETADO TAF'!O27,'FLUXO PROJETADO TAF'!O49))</f>
        <v>61238.6625</v>
      </c>
      <c r="K83" s="101">
        <f>IF($H$5="342 e 343",'FLUXO PROJETADO TAF'!O33+'FLUXO PROJETADO TAF'!O55,IF($H$5="342",'FLUXO PROJETADO TAF'!O33,'FLUXO PROJETADO TAF'!O55))</f>
        <v>18507.5025</v>
      </c>
      <c r="L83" s="101">
        <f>IF($H$5="342 e 343",'FLUXO PROJETADO TAF'!O34+'FLUXO PROJETADO TAF'!O56,IF($H$5="342",'FLUXO PROJETADO TAF'!O34,'FLUXO PROJETADO TAF'!O56))</f>
        <v>949528.4164</v>
      </c>
      <c r="M83" s="142">
        <f>IF(SUM(B$71:B$86)=0,"",C83/SUM(B$71:B$86))</f>
        <v>1</v>
      </c>
      <c r="U83" s="73">
        <f>IFERROR(_xlfn.AGGREGATE(15,6,(ROW('CRONOGRAMA PROJECT'!$A$7:$A$27)-6)/(('CRONOGRAMA PROJECT'!$BV$7:$BV$27="Contrato")*((('CRONOGRAMA PROJECT'!$B$7:$B$27&amp;"")=$H$5)+($H$5="342 e 343")&gt;0)),ROWS(U$71:U83)),"")</f>
        <v>13</v>
      </c>
      <c r="V83" s="73" t="str">
        <f>IF(U83="","",INDEX('CRONOGRAMA PROJECT'!$A$7:$A$27,U83)&amp;" "&amp;LEFT(INDEX('CRONOGRAMA PROJECT'!$C$7:$C$27,U83),40))</f>
        <v>343-02 Subadutora</v>
      </c>
      <c r="W83" s="117">
        <f>IF(U83="","",INDEX('CRONOGRAMA PROJECT'!$K$7:$K$27,U83))</f>
        <v>1674250.69</v>
      </c>
    </row>
    <row r="84">
      <c r="A84" s="110">
        <f>'FLUXO PROJETADO TAF'!P$21</f>
        <v>46661.0</v>
      </c>
      <c r="B84" s="101">
        <f>IF($H$5="342 e 343",'FLUXO PROJETADO TAF'!P23+'FLUXO PROJETADO TAF'!P45,IF($H$5="342",'FLUXO PROJETADO TAF'!P23,'FLUXO PROJETADO TAF'!P45))</f>
        <v>0</v>
      </c>
      <c r="C84" s="101">
        <f>SUM(B$71:B84)</f>
        <v>8491981.83</v>
      </c>
      <c r="D84" s="101">
        <f>IF($H$5="342 e 343",IF(AND(ISTEXT('FLUXO PROJETADO TAF'!P36),ISTEXT('FLUXO PROJETADO TAF'!P58)),"",N('FLUXO PROJETADO TAF'!P36)+N('FLUXO PROJETADO TAF'!P58)),IF($H$5="342",IF(ISTEXT('FLUXO PROJETADO TAF'!P36),"",'FLUXO PROJETADO TAF'!P36),IF(ISTEXT('FLUXO PROJETADO TAF'!P58),"",'FLUXO PROJETADO TAF'!P58)))</f>
      </c>
      <c r="E84" s="101">
        <f>IF(COUNT(D$71:D84)=0,"",SUM(D$71:D84))</f>
      </c>
      <c r="F84" s="114">
        <f>IF($H$5="342 e 343",'HISTOGRAMA PLANEJADO'!B21+'HISTOGRAMA PLANEJADO'!B42,IF($H$5="342",'HISTOGRAMA PLANEJADO'!B21,'HISTOGRAMA PLANEJADO'!B42))</f>
        <v>0</v>
      </c>
      <c r="G84" s="114">
        <f>IF($H$5="342 e 343",IF(AND('HISTOGRAMA PLANEJADO'!I21="",'HISTOGRAMA PLANEJADO'!I42=""),"",N('HISTOGRAMA PLANEJADO'!I21)+N('HISTOGRAMA PLANEJADO'!I42)),IF($H$5="342",'HISTOGRAMA PLANEJADO'!I21,'HISTOGRAMA PLANEJADO'!I42))</f>
      </c>
      <c r="H84" s="101">
        <f>IF($H$5="342 e 343",'FLUXO PROJETADO TAF'!P32+'FLUXO PROJETADO TAF'!P54,IF($H$5="342",'FLUXO PROJETADO TAF'!P32,'FLUXO PROJETADO TAF'!P54))</f>
        <v>0</v>
      </c>
      <c r="I84" s="101">
        <f>IF($H$5="342 e 343",IF(AND(ISTEXT('FLUXO PROJETADO TAF'!P41),ISTEXT('FLUXO PROJETADO TAF'!P63)),"",N('FLUXO PROJETADO TAF'!P41)+N('FLUXO PROJETADO TAF'!P63)),IF($H$5="342",IF(ISTEXT('FLUXO PROJETADO TAF'!P41),"",'FLUXO PROJETADO TAF'!P41),IF(ISTEXT('FLUXO PROJETADO TAF'!P63),"",'FLUXO PROJETADO TAF'!P63)))</f>
      </c>
      <c r="J84" s="101">
        <f>IF($H$5="342 e 343",'FLUXO PROJETADO TAF'!P27+'FLUXO PROJETADO TAF'!P49,IF($H$5="342",'FLUXO PROJETADO TAF'!P27,'FLUXO PROJETADO TAF'!P49))</f>
        <v>0</v>
      </c>
      <c r="K84" s="101">
        <f>IF($H$5="342 e 343",'FLUXO PROJETADO TAF'!P33+'FLUXO PROJETADO TAF'!P55,IF($H$5="342",'FLUXO PROJETADO TAF'!P33,'FLUXO PROJETADO TAF'!P55))</f>
        <v>0</v>
      </c>
      <c r="L84" s="101">
        <f>IF($H$5="342 e 343",'FLUXO PROJETADO TAF'!P34+'FLUXO PROJETADO TAF'!P56,IF($H$5="342",'FLUXO PROJETADO TAF'!P34,'FLUXO PROJETADO TAF'!P56))</f>
        <v>949528.4164</v>
      </c>
      <c r="M84" s="142">
        <f>IF(SUM(B$71:B$86)=0,"",C84/SUM(B$71:B$86))</f>
        <v>1</v>
      </c>
      <c r="U84" s="73">
        <f>IFERROR(_xlfn.AGGREGATE(15,6,(ROW('CRONOGRAMA PROJECT'!$A$7:$A$27)-6)/(('CRONOGRAMA PROJECT'!$BV$7:$BV$27="Contrato")*((('CRONOGRAMA PROJECT'!$B$7:$B$27&amp;"")=$H$5)+($H$5="342 e 343")&gt;0)),ROWS(U$71:U84)),"")</f>
        <v>14</v>
      </c>
      <c r="V84" s="73" t="str">
        <f>IF(U84="","",INDEX('CRONOGRAMA PROJECT'!$A$7:$A$27,U84)&amp;" "&amp;LEFT(INDEX('CRONOGRAMA PROJECT'!$C$7:$C$27,U84),40))</f>
        <v>343-03 Caixas e Interligações</v>
      </c>
      <c r="W84" s="117">
        <f>IF(U84="","",INDEX('CRONOGRAMA PROJECT'!$K$7:$K$27,U84))</f>
        <v>290959.41</v>
      </c>
    </row>
    <row r="85">
      <c r="A85" s="110">
        <f>'FLUXO PROJETADO TAF'!Q$21</f>
        <v>46692.0</v>
      </c>
      <c r="B85" s="101">
        <f>IF($H$5="342 e 343",'FLUXO PROJETADO TAF'!Q23+'FLUXO PROJETADO TAF'!Q45,IF($H$5="342",'FLUXO PROJETADO TAF'!Q23,'FLUXO PROJETADO TAF'!Q45))</f>
        <v>0</v>
      </c>
      <c r="C85" s="101">
        <f>SUM(B$71:B85)</f>
        <v>8491981.83</v>
      </c>
      <c r="D85" s="101">
        <f>IF($H$5="342 e 343",IF(AND(ISTEXT('FLUXO PROJETADO TAF'!Q36),ISTEXT('FLUXO PROJETADO TAF'!Q58)),"",N('FLUXO PROJETADO TAF'!Q36)+N('FLUXO PROJETADO TAF'!Q58)),IF($H$5="342",IF(ISTEXT('FLUXO PROJETADO TAF'!Q36),"",'FLUXO PROJETADO TAF'!Q36),IF(ISTEXT('FLUXO PROJETADO TAF'!Q58),"",'FLUXO PROJETADO TAF'!Q58)))</f>
      </c>
      <c r="E85" s="101">
        <f>IF(COUNT(D$71:D85)=0,"",SUM(D$71:D85))</f>
      </c>
      <c r="F85" s="114">
        <f>IF($H$5="342 e 343",'HISTOGRAMA PLANEJADO'!B22+'HISTOGRAMA PLANEJADO'!B43,IF($H$5="342",'HISTOGRAMA PLANEJADO'!B22,'HISTOGRAMA PLANEJADO'!B43))</f>
        <v>0</v>
      </c>
      <c r="G85" s="114">
        <f>IF($H$5="342 e 343",IF(AND('HISTOGRAMA PLANEJADO'!I22="",'HISTOGRAMA PLANEJADO'!I43=""),"",N('HISTOGRAMA PLANEJADO'!I22)+N('HISTOGRAMA PLANEJADO'!I43)),IF($H$5="342",'HISTOGRAMA PLANEJADO'!I22,'HISTOGRAMA PLANEJADO'!I43))</f>
      </c>
      <c r="H85" s="101">
        <f>IF($H$5="342 e 343",'FLUXO PROJETADO TAF'!Q32+'FLUXO PROJETADO TAF'!Q54,IF($H$5="342",'FLUXO PROJETADO TAF'!Q32,'FLUXO PROJETADO TAF'!Q54))</f>
        <v>0</v>
      </c>
      <c r="I85" s="101">
        <f>IF($H$5="342 e 343",IF(AND(ISTEXT('FLUXO PROJETADO TAF'!Q41),ISTEXT('FLUXO PROJETADO TAF'!Q63)),"",N('FLUXO PROJETADO TAF'!Q41)+N('FLUXO PROJETADO TAF'!Q63)),IF($H$5="342",IF(ISTEXT('FLUXO PROJETADO TAF'!Q41),"",'FLUXO PROJETADO TAF'!Q41),IF(ISTEXT('FLUXO PROJETADO TAF'!Q63),"",'FLUXO PROJETADO TAF'!Q63)))</f>
      </c>
      <c r="J85" s="101">
        <f>IF($H$5="342 e 343",'FLUXO PROJETADO TAF'!Q27+'FLUXO PROJETADO TAF'!Q49,IF($H$5="342",'FLUXO PROJETADO TAF'!Q27,'FLUXO PROJETADO TAF'!Q49))</f>
        <v>2558.03805</v>
      </c>
      <c r="K85" s="101">
        <f>IF($H$5="342 e 343",'FLUXO PROJETADO TAF'!Q33+'FLUXO PROJETADO TAF'!Q55,IF($H$5="342",'FLUXO PROJETADO TAF'!Q33,'FLUXO PROJETADO TAF'!Q55))</f>
        <v>2558.03805</v>
      </c>
      <c r="L85" s="101">
        <f>IF($H$5="342 e 343",'FLUXO PROJETADO TAF'!Q34+'FLUXO PROJETADO TAF'!Q56,IF($H$5="342",'FLUXO PROJETADO TAF'!Q34,'FLUXO PROJETADO TAF'!Q56))</f>
        <v>952086.45445</v>
      </c>
      <c r="M85" s="142">
        <f>IF(SUM(B$71:B$86)=0,"",C85/SUM(B$71:B$86))</f>
        <v>1</v>
      </c>
      <c r="U85" s="73">
        <f>IFERROR(_xlfn.AGGREGATE(15,6,(ROW('CRONOGRAMA PROJECT'!$A$7:$A$27)-6)/(('CRONOGRAMA PROJECT'!$BV$7:$BV$27="Contrato")*((('CRONOGRAMA PROJECT'!$B$7:$B$27&amp;"")=$H$5)+($H$5="342 e 343")&gt;0)),ROWS(U$71:U85)),"")</f>
        <v>15</v>
      </c>
      <c r="V85" s="73" t="str">
        <f>IF(U85="","",INDEX('CRONOGRAMA PROJECT'!$A$7:$A$27,U85)&amp;" "&amp;LEFT(INDEX('CRONOGRAMA PROJECT'!$C$7:$C$27,U85),40))</f>
        <v>343-04 Hidromecânico</v>
      </c>
      <c r="W85" s="117">
        <f>IF(U85="","",INDEX('CRONOGRAMA PROJECT'!$K$7:$K$27,U85))</f>
        <v>1684030.6</v>
      </c>
    </row>
    <row r="86">
      <c r="A86" s="110">
        <f>'FLUXO PROJETADO TAF'!R$21</f>
        <v>46722.0</v>
      </c>
      <c r="B86" s="101">
        <f>IF($H$5="342 e 343",'FLUXO PROJETADO TAF'!R23+'FLUXO PROJETADO TAF'!R45,IF($H$5="342",'FLUXO PROJETADO TAF'!R23,'FLUXO PROJETADO TAF'!R45))</f>
        <v>0</v>
      </c>
      <c r="C86" s="101">
        <f>SUM(B$71:B86)</f>
        <v>8491981.83</v>
      </c>
      <c r="D86" s="101">
        <f>IF($H$5="342 e 343",IF(AND(ISTEXT('FLUXO PROJETADO TAF'!R36),ISTEXT('FLUXO PROJETADO TAF'!R58)),"",N('FLUXO PROJETADO TAF'!R36)+N('FLUXO PROJETADO TAF'!R58)),IF($H$5="342",IF(ISTEXT('FLUXO PROJETADO TAF'!R36),"",'FLUXO PROJETADO TAF'!R36),IF(ISTEXT('FLUXO PROJETADO TAF'!R58),"",'FLUXO PROJETADO TAF'!R58)))</f>
      </c>
      <c r="E86" s="101">
        <f>IF(COUNT(D$71:D86)=0,"",SUM(D$71:D86))</f>
      </c>
      <c r="F86" s="114">
        <f>IF($H$5="342 e 343",'HISTOGRAMA PLANEJADO'!B23+'HISTOGRAMA PLANEJADO'!B44,IF($H$5="342",'HISTOGRAMA PLANEJADO'!B23,'HISTOGRAMA PLANEJADO'!B44))</f>
        <v>0</v>
      </c>
      <c r="G86" s="114">
        <f>IF($H$5="342 e 343",IF(AND('HISTOGRAMA PLANEJADO'!I23="",'HISTOGRAMA PLANEJADO'!I44=""),"",N('HISTOGRAMA PLANEJADO'!I23)+N('HISTOGRAMA PLANEJADO'!I44)),IF($H$5="342",'HISTOGRAMA PLANEJADO'!I23,'HISTOGRAMA PLANEJADO'!I44))</f>
      </c>
      <c r="H86" s="101">
        <f>IF($H$5="342 e 343",'FLUXO PROJETADO TAF'!R32+'FLUXO PROJETADO TAF'!R54,IF($H$5="342",'FLUXO PROJETADO TAF'!R32,'FLUXO PROJETADO TAF'!R54))</f>
        <v>0</v>
      </c>
      <c r="I86" s="101">
        <f>IF($H$5="342 e 343",IF(AND(ISTEXT('FLUXO PROJETADO TAF'!R41),ISTEXT('FLUXO PROJETADO TAF'!R63)),"",N('FLUXO PROJETADO TAF'!R41)+N('FLUXO PROJETADO TAF'!R63)),IF($H$5="342",IF(ISTEXT('FLUXO PROJETADO TAF'!R41),"",'FLUXO PROJETADO TAF'!R41),IF(ISTEXT('FLUXO PROJETADO TAF'!R63),"",'FLUXO PROJETADO TAF'!R63)))</f>
      </c>
      <c r="J86" s="101">
        <f>IF($H$5="342 e 343",'FLUXO PROJETADO TAF'!R27+'FLUXO PROJETADO TAF'!R49,IF($H$5="342",'FLUXO PROJETADO TAF'!R27,'FLUXO PROJETADO TAF'!R49))</f>
        <v>0</v>
      </c>
      <c r="K86" s="101">
        <f>IF($H$5="342 e 343",'FLUXO PROJETADO TAF'!R33+'FLUXO PROJETADO TAF'!R55,IF($H$5="342",'FLUXO PROJETADO TAF'!R33,'FLUXO PROJETADO TAF'!R55))</f>
        <v>0</v>
      </c>
      <c r="L86" s="101">
        <f>IF($H$5="342 e 343",'FLUXO PROJETADO TAF'!R34+'FLUXO PROJETADO TAF'!R56,IF($H$5="342",'FLUXO PROJETADO TAF'!R34,'FLUXO PROJETADO TAF'!R56))</f>
        <v>952086.45445</v>
      </c>
      <c r="M86" s="142">
        <f>IF(SUM(B$71:B$86)=0,"",C86/SUM(B$71:B$86))</f>
        <v>1</v>
      </c>
      <c r="U86" s="73">
        <f>IFERROR(_xlfn.AGGREGATE(15,6,(ROW('CRONOGRAMA PROJECT'!$A$7:$A$27)-6)/(('CRONOGRAMA PROJECT'!$BV$7:$BV$27="Contrato")*((('CRONOGRAMA PROJECT'!$B$7:$B$27&amp;"")=$H$5)+($H$5="342 e 343")&gt;0)),ROWS(U$71:U86)),"")</f>
        <v>16</v>
      </c>
      <c r="V86" s="73" t="str">
        <f>IF(U86="","",INDEX('CRONOGRAMA PROJECT'!$A$7:$A$27,U86)&amp;" "&amp;LEFT(INDEX('CRONOGRAMA PROJECT'!$C$7:$C$27,U86),40))</f>
        <v>343-06 Adm. Local</v>
      </c>
      <c r="W86" s="117">
        <f>IF(U86="","",INDEX('CRONOGRAMA PROJECT'!$K$7:$K$27,U86))</f>
        <v>689827.41</v>
      </c>
    </row>
  </sheetData>
  <mergeCells count="1">
    <mergeCell ref="A3:P3"/>
  </mergeCells>
  <conditionalFormatting sqref="T10:T19">
    <cfRule type="cellIs" priority="1" operator="equal" dxfId="2" stopIfTrue="1">
      <formula>"CONFERIR"</formula>
    </cfRule>
    <cfRule type="cellIs" priority="2" operator="equal" dxfId="1" stopIfTrue="1">
      <formula>"OK"</formula>
    </cfRule>
    <cfRule type="cellIs" priority="3" operator="equal" dxfId="0" stopIfTrue="1">
      <formula>"PENDENTE"</formula>
    </cfRule>
  </conditionalFormatting>
  <dataValidations count="2">
    <dataValidation sqref="C5" showDropDown="0" showInputMessage="1" showErrorMessage="1" allowBlank="1" type="list">
      <formula1>"342 e 343,342,343"</formula1>
    </dataValidation>
    <dataValidation sqref="F5" showDropDown="0" showInputMessage="1" showErrorMessage="1" allowBlank="1" type="list">
      <formula1>$A$71:$A$86</formula1>
    </dataValidation>
  </dataValidations>
  <pageMargins left="0.3888888888888889" right="0.3888888888888889" top="0.3888888888888889" bottom="0.3888888888888889" header="0.31496062" footer="0.31496062"/>
  <pageSetup orientation="landscape" paperSize="8" scale="56"/>
  <drawing xmlns:r="http://schemas.openxmlformats.org/officeDocument/2006/relationships" r:id="rIdDrw1"/>
</worksheet>
</file>

<file path=xl/worksheets/sheet8.xml><?xml version="1.0" encoding="utf-8"?>
<worksheet xmlns="http://schemas.openxmlformats.org/spreadsheetml/2006/main">
  <sheetPr>
    <tabColor rgb="FF2E8B99"/>
    <outlinePr summaryBelow="1" summaryRight="1"/>
    <pageSetUpPr fitToPage="1"/>
  </sheetPr>
  <dimension ref="A1:F79"/>
  <sheetViews>
    <sheetView showGridLines="0" workbookViewId="0">
      <selection activeCell="A1" sqref="A1"/>
    </sheetView>
  </sheetViews>
  <sheetFormatPr baseColWidth="8" defaultRowHeight="12.75"/>
  <cols>
    <col width="62.7109375" customWidth="1" style="73" min="1" max="1"/>
    <col width="18.7" customWidth="1" style="73" min="2" max="2"/>
    <col width="18.7" customWidth="1" style="71" min="3" max="3"/>
    <col width="18.7" customWidth="1" style="71" min="4" max="4"/>
    <col width="18.7" customWidth="1" style="73" min="5" max="5"/>
    <col width="62.7" customWidth="1" style="73" min="6" max="6"/>
  </cols>
  <sheetData>
    <row r="1" ht="24" customHeight="1" s="71"/>
    <row r="2" ht="20.25" customHeight="1" s="71">
      <c r="A2" s="74" t="inlineStr">
        <is>
          <t>PAUTA DE SEGUNDA TAF: uma página, 90 minutos</t>
        </is>
      </c>
    </row>
    <row r="3" ht="48" customHeight="1" s="71">
      <c r="A3" s="256" t="inlineStr">
        <is>
          <t>CARTEIRA: prioridade da semana (1 = primeiro)</t>
        </is>
      </c>
      <c r="B3" s="257" t="n">
        <v>3</v>
      </c>
      <c r="C3" s="258" t="n">
        <v>1</v>
      </c>
      <c r="D3" s="259" t="n">
        <v>2</v>
      </c>
      <c r="E3" s="260" t="inlineStr">
        <is>
          <t>PROPOSTA</t>
        </is>
      </c>
      <c r="F3" s="261" t="str">
        <f>"Proposta da auditoria para Thadeu e Felipe aprovarem. 343 primeiro: o BM de outubro (R$ "&amp;ROUND('04. PLANO DAS OBRAS'!$D$18/1000,0)&amp;" mil, 04 D18) só entra em "&amp;CHOOSE(MONTH('FLUXO PROJETADO TAF'!$D$46),"janeiro","fevereiro","março","abril","maio","junho","julho","agosto","setembro","outubro","novembro","dezembro")&amp;" (NF no 1º dia útil de novembro + 30 dias, FLUXO linha 46), e "&amp;CHOOSE(MONTH('FLUXO PROJETADO TAF'!$E$15),"janeiro","fevereiro","março","abril","maio","junho","julho","agosto","setembro","outubro","novembro","dezembro")&amp;" é o pior mês de caixa da empresa (FLUXO E14). Depois a 281 (BM08 fecha em 20/10) e a 342 (obra começa em 19/10). Vale quando faltar gente, máquina, caixa ou compra."</f>
        <v>Proposta da auditoria para Thadeu e Felipe aprovarem. 343 primeiro: o BM de outubro (R$ 1182 mil, 04 D18) só entra em dezembro (NF no 1º dia útil de novembro + 30 dias, FLUXO linha 46), e novembro é o pior mês de caixa da empresa (FLUXO E14). Depois a 281 (BM08 fecha em 20/10) e a 342 (obra começa em 19/10). Vale quando faltar gente, máquina, caixa ou compra.</v>
      </c>
    </row>
    <row r="4">
      <c r="A4" s="166" t="str">
        <f>"Corte: "&amp;TEXT(DATA_GESTAO,"dd/mm")&amp;"/"&amp;YEAR(DATA_GESTAO)&amp;" · semana de "&amp;TEXT(DATA_GESTAO-4,"dd/mm")&amp;" a "&amp;TEXT(DATA_GESTAO,"dd/mm")</f>
        <v>Corte: 16/10/2026 · semana de 12/10 a 16/10</v>
      </c>
    </row>
    <row r="5">
      <c r="A5" s="262" t="str">
        <f>"LUZES (01A)   342: produção "&amp;'01A. GESTÃO DA SEMANA'!D18&amp;" · dinheiro "&amp;'01A. GESTÃO DA SEMANA'!D19&amp;" · plano "&amp;'01A. GESTÃO DA SEMANA'!D20&amp;"   |   343: produção "&amp;'01A. GESTÃO DA SEMANA'!F18&amp;" · dinheiro "&amp;'01A. GESTÃO DA SEMANA'!F19&amp;" · plano "&amp;'01A. GESTÃO DA SEMANA'!F20&amp;"   |   281: produção "&amp;'01A. GESTÃO DA SEMANA'!H18&amp;" · dinheiro "&amp;'01A. GESTÃO DA SEMANA'!H19&amp;" · plano "&amp;'01A. GESTÃO DA SEMANA'!H20</f>
        <v>LUZES (01A)   342: produção SEM BASE · dinheiro SEM BASE · plano VERMELHO   |   343: produção SEM BASE · dinheiro AMARELO · plano AMARELO   |   281: produção SEM BASE · dinheiro SEM BASE · plano VERMELHO</v>
      </c>
    </row>
    <row r="6" ht="38.25" customHeight="1" s="71">
      <c r="A6" s="88" t="n"/>
      <c r="B6" s="88" t="inlineStr">
        <is>
          <t>342 SANEAGO</t>
        </is>
      </c>
      <c r="C6" s="88" t="inlineStr">
        <is>
          <t>343 CAESB</t>
        </is>
      </c>
      <c r="D6" s="88" t="inlineStr">
        <is>
          <t>281 SANEAGO</t>
        </is>
      </c>
      <c r="E6" s="88" t="inlineStr">
        <is>
          <t>Soma das obras (281 a 100%; parte da TAF na 08B linha 9; caixa só 342 e 343)</t>
        </is>
      </c>
      <c r="F6" s="88" t="inlineStr">
        <is>
          <t>Pergunta para a reunião</t>
        </is>
      </c>
    </row>
    <row r="7">
      <c r="A7" s="80" t="inlineStr">
        <is>
          <t>1. RESULTADO ATÉ O CORTE</t>
        </is>
      </c>
      <c r="B7" s="91" t="n"/>
      <c r="C7" s="91" t="n"/>
      <c r="D7" s="91" t="n"/>
      <c r="E7" s="91" t="n"/>
      <c r="F7" s="80" t="n"/>
    </row>
    <row r="8">
      <c r="A8" s="73" t="inlineStr">
        <is>
          <t>Valor do contrato (R$)</t>
        </is>
      </c>
      <c r="B8" s="93">
        <f>'03. CONTRATOS'!$B$8</f>
        <v>3258000</v>
      </c>
      <c r="C8" s="93">
        <f>'03. CONTRATOS'!$D$8</f>
        <v>5226634.03</v>
      </c>
      <c r="D8" s="93">
        <f>'03. CONTRATOS'!$F$8</f>
        <v>17120015.74</v>
      </c>
      <c r="E8" s="93">
        <f>B8+C8+N(D8)</f>
        <v>25604649.77</v>
      </c>
      <c r="F8" s="186" t="n"/>
    </row>
    <row r="9" ht="60" customHeight="1" s="71">
      <c r="A9" s="73" t="inlineStr">
        <is>
          <t>Medição prevista até o último BM fechado (R$; 281: até o último aprovado)</t>
        </is>
      </c>
      <c r="B9" s="93">
        <f>'08B. TODAS AS OBRAS'!E5</f>
        <v>0</v>
      </c>
      <c r="C9" s="93">
        <f>'08B. TODAS AS OBRAS'!E6</f>
        <v>0</v>
      </c>
      <c r="D9" s="93">
        <f>'08B. TODAS AS OBRAS'!E7</f>
        <v>4572249.15</v>
      </c>
      <c r="E9" s="93">
        <f>B9+C9+N(D9)</f>
        <v>4572249.15</v>
      </c>
      <c r="F9" s="186" t="inlineStr">
        <is>
          <t>O cronograma pedia quanto até aqui?</t>
        </is>
      </c>
    </row>
    <row r="10" ht="60" customHeight="1" s="71">
      <c r="A10" s="73" t="inlineStr">
        <is>
          <t>Medido aprovado até o corte (R$, 06)</t>
        </is>
      </c>
      <c r="B10" s="93" t="str">
        <f>IF(COUNTIFS('06. MEDIÇÃO (BM)'!$B$5:$B$44,"342",'06. MEDIÇÃO (BM)'!$G$5:$G$44,"&lt;&gt;")=0,"sem lançamento",'08B. TODAS AS OBRAS'!C5)</f>
        <v>sem lançamento</v>
      </c>
      <c r="C10" s="93" t="str">
        <f>IF(COUNTIFS('06. MEDIÇÃO (BM)'!$B$5:$B$44,"343",'06. MEDIÇÃO (BM)'!$G$5:$G$44,"&lt;&gt;")=0,"sem lançamento",'08B. TODAS AS OBRAS'!C6)</f>
        <v>sem lançamento</v>
      </c>
      <c r="D10" s="93">
        <f>IF(COUNTIFS('06. MEDIÇÃO (BM)'!$B$5:$B$44,"281",'06. MEDIÇÃO (BM)'!$G$5:$G$44,"&lt;&gt;")=0,"sem lançamento",'08B. TODAS AS OBRAS'!C7)</f>
        <v>5719898.31</v>
      </c>
      <c r="E10" s="93">
        <f>IF(AND(ISTEXT(B10),ISTEXT(C10),ISTEXT(D10)),"sem lançamento",N(B10)+N(C10)+N(D10))</f>
        <v>5719898.31</v>
      </c>
      <c r="F10" s="186" t="inlineStr">
        <is>
          <t>Se está vazio: o BM do mês foi lançado?</t>
        </is>
      </c>
    </row>
    <row r="11">
      <c r="A11" s="73" t="inlineStr">
        <is>
          <t>% do contrato medido</t>
        </is>
      </c>
      <c r="B11" s="187" t="str">
        <f>IF(COUNTIFS('06. MEDIÇÃO (BM)'!$B$5:$B$44,"342",'06. MEDIÇÃO (BM)'!$G$5:$G$44,"&lt;&gt;")=0,"sem lançamento",'08B. TODAS AS OBRAS'!D5)</f>
        <v>sem lançamento</v>
      </c>
      <c r="C11" s="187" t="str">
        <f>IF(COUNTIFS('06. MEDIÇÃO (BM)'!$B$5:$B$44,"343",'06. MEDIÇÃO (BM)'!$G$5:$G$44,"&lt;&gt;")=0,"sem lançamento",'08B. TODAS AS OBRAS'!D6)</f>
        <v>sem lançamento</v>
      </c>
      <c r="D11" s="187">
        <f>IF(COUNTIFS('06. MEDIÇÃO (BM)'!$B$5:$B$44,"281",'06. MEDIÇÃO (BM)'!$G$5:$G$44,"&lt;&gt;")=0,"sem lançamento",'08B. TODAS AS OBRAS'!D7)</f>
        <v>0.334105902521793</v>
      </c>
      <c r="E11" s="187">
        <f>IF(ISTEXT(E10),"sem lançamento",E10/E8)</f>
        <v>0.223392952505907</v>
      </c>
      <c r="F11" s="186" t="n"/>
    </row>
    <row r="12" ht="144" customHeight="1" s="71">
      <c r="A12" s="73" t="str">
        <f>"IDP só com BM aprovado (281 com o BM enviado: "&amp;IF(ISNUMBER('08B. TODAS AS OBRAS'!$O$7),FIXED('08B. TODAS AS OBRAS'!$O$7,2),"SEM BASE")&amp;"; só no mês: "&amp;IF(ISNUMBER('08B. TODAS AS OBRAS'!$P$7),FIXED('08B. TODAS AS OBRAS'!$P$7,2),"SEM BASE")&amp;")"</f>
        <v>IDP só com BM aprovado (281 com o BM enviado: 1.04; só no mês: 0.43)</v>
      </c>
      <c r="B12" s="188" t="str">
        <f>IF(COUNTIFS('06. MEDIÇÃO (BM)'!$B$5:$B$44,"342",'06. MEDIÇÃO (BM)'!$G$5:$G$44,"&lt;&gt;")=0,"sem lançamento",IF('08B. TODAS AS OBRAS'!E5=0,"previsto zero",'08B. TODAS AS OBRAS'!C5/'08B. TODAS AS OBRAS'!E5))</f>
        <v>sem lançamento</v>
      </c>
      <c r="C12" s="188" t="str">
        <f>IF(COUNTIFS('06. MEDIÇÃO (BM)'!$B$5:$B$44,"343",'06. MEDIÇÃO (BM)'!$G$5:$G$44,"&lt;&gt;")=0,"sem lançamento",IF('08B. TODAS AS OBRAS'!E6=0,"previsto zero",'08B. TODAS AS OBRAS'!C6/'08B. TODAS AS OBRAS'!E6))</f>
        <v>sem lançamento</v>
      </c>
      <c r="D12" s="188">
        <f>IF(COUNTIFS('06. MEDIÇÃO (BM)'!$B$5:$B$44,"281",'06. MEDIÇÃO (BM)'!$G$5:$G$44,"&lt;&gt;")=0,"sem lançamento",IF('08B. TODAS AS OBRAS'!E7=0,"previsto zero",'08B. TODAS AS OBRAS'!C7/'08B. TODAS AS OBRAS'!E7))</f>
        <v>1.25100319828372</v>
      </c>
      <c r="E12" s="188">
        <f>IF(ISTEXT(E10),"sem lançamento",IF(E9=0,"previsto zero",E10/E9))</f>
        <v>1.25100319828372</v>
      </c>
      <c r="F12" s="186" t="inlineStr">
        <is>
          <t>Abaixo de 1 = atrasado no que o cliente paga. 'previsto zero' = o cronograma ainda não pedia medição.</t>
        </is>
      </c>
    </row>
    <row r="13" ht="108" customHeight="1" s="71">
      <c r="A13" s="73" t="inlineStr">
        <is>
          <t>PPC da semana (05)</t>
        </is>
      </c>
      <c r="B13" s="187" t="str">
        <f>IF(COUNTIFS('05. SEMANAS'!$A$5:$A$64,'02. PARÂMETROS'!$B$5,'05. SEMANAS'!$B$5:$B$64,"342")=0,"sem lançamento",'01C. PLACAR SEMANAL'!C9)</f>
        <v>sem compromisso</v>
      </c>
      <c r="C13" s="187" t="str">
        <f>IF(COUNTIFS('05. SEMANAS'!$A$5:$A$64,'02. PARÂMETROS'!$B$5,'05. SEMANAS'!$B$5:$B$64,"343")=0,"sem lançamento",'01C. PLACAR SEMANAL'!D9)</f>
        <v>sem compromisso</v>
      </c>
      <c r="D13" s="187" t="str">
        <f>IF(COUNTIFS('05. SEMANAS'!$A$5:$A$64,'02. PARÂMETROS'!$B$5,'05. SEMANAS'!$B$5:$B$64,"281")=0,"sem lançamento",'01C. PLACAR SEMANAL'!E9)</f>
        <v>sem compromisso</v>
      </c>
      <c r="E13" s="90" t="n"/>
      <c r="F13" s="186" t="inlineStr">
        <is>
          <t>PPC baixo é plano mal feito, não equipe lenta: qual restrição faltou?</t>
        </is>
      </c>
    </row>
    <row r="14" ht="96" customHeight="1" s="71">
      <c r="A14" s="73" t="inlineStr">
        <is>
          <t>Efetivo em campo ÷ previsto no mês (05)</t>
        </is>
      </c>
      <c r="B14" s="187" t="str">
        <f>IF(COUNTIFS('05. SEMANAS'!$A$5:$A$64,'02. PARÂMETROS'!$B$5,'05. SEMANAS'!$B$5:$B$64,"342")=0,"sem lançamento",'01C. PLACAR SEMANAL'!C8)</f>
        <v>sem apontamento</v>
      </c>
      <c r="C14" s="187" t="str">
        <f>IF(COUNTIFS('05. SEMANAS'!$A$5:$A$64,'02. PARÂMETROS'!$B$5,'05. SEMANAS'!$B$5:$B$64,"343")=0,"sem lançamento",'01C. PLACAR SEMANAL'!D8)</f>
        <v>sem apontamento</v>
      </c>
      <c r="D14" s="187" t="str">
        <f>IF(COUNTIFS('05. SEMANAS'!$A$5:$A$64,'02. PARÂMETROS'!$B$5,'05. SEMANAS'!$B$5:$B$64,"281")=0,"sem lançamento",'01C. PLACAR SEMANAL'!E8)</f>
        <v>sem apontamento</v>
      </c>
      <c r="E14" s="90" t="n"/>
      <c r="F14" s="186" t="inlineStr">
        <is>
          <t>Muito abaixo: a obra atrasa. Muito acima: o custo estoura.</t>
        </is>
      </c>
    </row>
    <row r="15" ht="60" customHeight="1" s="71">
      <c r="A15" s="73" t="inlineStr">
        <is>
          <t>Apontamentos entregues ÷ dias úteis (05)</t>
        </is>
      </c>
      <c r="B15" s="187">
        <f>IF(COUNTIFS('05. SEMANAS'!$A$5:$A$64,'02. PARÂMETROS'!$B$5,'05. SEMANAS'!$B$5:$B$64,"342")=0,"sem lançamento",'01C. PLACAR SEMANAL'!C10)</f>
        <v>0</v>
      </c>
      <c r="C15" s="187">
        <f>IF(COUNTIFS('05. SEMANAS'!$A$5:$A$64,'02. PARÂMETROS'!$B$5,'05. SEMANAS'!$B$5:$B$64,"343")=0,"sem lançamento",'01C. PLACAR SEMANAL'!D10)</f>
        <v>0</v>
      </c>
      <c r="D15" s="187">
        <f>IF(COUNTIFS('05. SEMANAS'!$A$5:$A$64,'02. PARÂMETROS'!$B$5,'05. SEMANAS'!$B$5:$B$64,"281")=0,"sem lançamento",'01C. PLACAR SEMANAL'!E10)</f>
        <v>0</v>
      </c>
      <c r="E15" s="90" t="n"/>
      <c r="F15" s="186" t="inlineStr">
        <is>
          <t>Sem apontamento não há controle.</t>
        </is>
      </c>
    </row>
    <row r="16">
      <c r="A16" s="80" t="inlineStr">
        <is>
          <t>2. DESVIOS DO CRONOGRAMA (etapas do contrato; cronograma por etapa, não por OS)</t>
        </is>
      </c>
      <c r="B16" s="91" t="n"/>
      <c r="C16" s="91" t="n"/>
      <c r="D16" s="91" t="n"/>
      <c r="E16" s="91" t="n"/>
      <c r="F16" s="80" t="n"/>
    </row>
    <row r="17">
      <c r="A17" s="73" t="inlineStr">
        <is>
          <t>Etapas no cronograma</t>
        </is>
      </c>
      <c r="B17" s="189">
        <f>COUNTIFS('CRONOGRAMA PROJECT'!$B$7:$B$27,"342",'CRONOGRAMA PROJECT'!$BV$7:$BV$27,"Contrato")</f>
        <v>11</v>
      </c>
      <c r="C17" s="189">
        <f>COUNTIFS('CRONOGRAMA PROJECT'!$B$7:$B$27,"343",'CRONOGRAMA PROJECT'!$BV$7:$BV$27,"Contrato")</f>
        <v>5</v>
      </c>
      <c r="D17" s="189" t="str">
        <f>"fora da CRONOGRAMA PROJECT"</f>
        <v>fora da CRONOGRAMA PROJECT</v>
      </c>
      <c r="E17" s="189">
        <f>B17+C17+N(D17)</f>
        <v>16</v>
      </c>
      <c r="F17" s="186" t="n"/>
    </row>
    <row r="18" ht="84" customHeight="1" s="71">
      <c r="A18" s="73" t="inlineStr">
        <is>
          <t>Já deveriam ter começado (início até o corte)</t>
        </is>
      </c>
      <c r="B18" s="189">
        <f>COUNTIFS('CRONOGRAMA PROJECT'!$B$7:$B$27,"342",'CRONOGRAMA PROJECT'!$BV$7:$BV$27,"Contrato",'CRONOGRAMA PROJECT'!$D$7:$D$27,"&lt;="&amp;DATA_GESTAO)</f>
        <v>1</v>
      </c>
      <c r="C18" s="189">
        <f>COUNTIFS('CRONOGRAMA PROJECT'!$B$7:$B$27,"343",'CRONOGRAMA PROJECT'!$BV$7:$BV$27,"Contrato",'CRONOGRAMA PROJECT'!$D$7:$D$27,"&lt;="&amp;DATA_GESTAO)</f>
        <v>5</v>
      </c>
      <c r="D18" s="189" t="n"/>
      <c r="E18" s="189">
        <f>B18+C18+N(D18)</f>
        <v>6</v>
      </c>
      <c r="F18" s="186" t="inlineStr">
        <is>
          <t>Começaram mesmo? Quem confirma no campo?</t>
        </is>
      </c>
    </row>
    <row r="19">
      <c r="A19" s="73" t="inlineStr">
        <is>
          <t>Em curso no corte</t>
        </is>
      </c>
      <c r="B19" s="189">
        <f>COUNTIFS('CRONOGRAMA PROJECT'!$B$7:$B$27,"342",'CRONOGRAMA PROJECT'!$BV$7:$BV$27,"Contrato",'CRONOGRAMA PROJECT'!$D$7:$D$27,"&lt;="&amp;DATA_GESTAO,'CRONOGRAMA PROJECT'!$E$7:$E$27,"&gt;="&amp;DATA_GESTAO)</f>
        <v>1</v>
      </c>
      <c r="C19" s="189">
        <f>COUNTIFS('CRONOGRAMA PROJECT'!$B$7:$B$27,"343",'CRONOGRAMA PROJECT'!$BV$7:$BV$27,"Contrato",'CRONOGRAMA PROJECT'!$D$7:$D$27,"&lt;="&amp;DATA_GESTAO,'CRONOGRAMA PROJECT'!$E$7:$E$27,"&gt;="&amp;DATA_GESTAO)</f>
        <v>5</v>
      </c>
      <c r="D19" s="189" t="n"/>
      <c r="E19" s="189">
        <f>B19+C19+N(D19)</f>
        <v>6</v>
      </c>
      <c r="F19" s="186" t="n"/>
    </row>
    <row r="20">
      <c r="A20" s="73" t="inlineStr">
        <is>
          <t>Já deveriam ter terminado (fim antes do corte)</t>
        </is>
      </c>
      <c r="B20" s="189">
        <f>COUNTIFS('CRONOGRAMA PROJECT'!$B$7:$B$27,"342",'CRONOGRAMA PROJECT'!$BV$7:$BV$27,"Contrato",'CRONOGRAMA PROJECT'!$E$7:$E$27,"&lt;"&amp;DATA_GESTAO)</f>
        <v>0</v>
      </c>
      <c r="C20" s="189">
        <f>COUNTIFS('CRONOGRAMA PROJECT'!$B$7:$B$27,"343",'CRONOGRAMA PROJECT'!$BV$7:$BV$27,"Contrato",'CRONOGRAMA PROJECT'!$E$7:$E$27,"&lt;"&amp;DATA_GESTAO)</f>
        <v>0</v>
      </c>
      <c r="D20" s="189" t="n"/>
      <c r="E20" s="189">
        <f>B20+C20+N(D20)</f>
        <v>0</v>
      </c>
      <c r="F20" s="186" t="n"/>
    </row>
    <row r="21" ht="36" customHeight="1" s="71">
      <c r="A21" s="73" t="inlineStr">
        <is>
          <t xml:space="preserve">   dessas, sem % físico lançado</t>
        </is>
      </c>
      <c r="B21" s="189">
        <f>COUNTIFS('CRONOGRAMA PROJECT'!$B$7:$B$27,"342",'CRONOGRAMA PROJECT'!$BV$7:$BV$27,"Contrato",'CRONOGRAMA PROJECT'!$E$7:$E$27,"&lt;"&amp;DATA_GESTAO,'CRONOGRAMA PROJECT'!$J$7:$J$27,"")</f>
        <v>0</v>
      </c>
      <c r="C21" s="189">
        <f>COUNTIFS('CRONOGRAMA PROJECT'!$B$7:$B$27,"343",'CRONOGRAMA PROJECT'!$BV$7:$BV$27,"Contrato",'CRONOGRAMA PROJECT'!$E$7:$E$27,"&lt;"&amp;DATA_GESTAO,'CRONOGRAMA PROJECT'!$J$7:$J$27,"")</f>
        <v>0</v>
      </c>
      <c r="D21" s="189" t="n"/>
      <c r="E21" s="189">
        <f>B21+C21+N(D21)</f>
        <v>0</v>
      </c>
      <c r="F21" s="186" t="inlineStr">
        <is>
          <t>Lançar o % do BM da etapa.</t>
        </is>
      </c>
    </row>
    <row r="22" ht="84" customHeight="1" s="71">
      <c r="A22" s="73" t="inlineStr">
        <is>
          <t>Começam nos próximos 30 dias</t>
        </is>
      </c>
      <c r="B22" s="189">
        <f>COUNTIFS('CRONOGRAMA PROJECT'!$B$7:$B$27,"342",'CRONOGRAMA PROJECT'!$BV$7:$BV$27,"Contrato",'CRONOGRAMA PROJECT'!$D$7:$D$27,"&gt;"&amp;DATA_GESTAO,'CRONOGRAMA PROJECT'!$D$7:$D$27,"&lt;="&amp;DATA_GESTAO+30)</f>
        <v>4</v>
      </c>
      <c r="C22" s="189">
        <f>COUNTIFS('CRONOGRAMA PROJECT'!$B$7:$B$27,"343",'CRONOGRAMA PROJECT'!$BV$7:$BV$27,"Contrato",'CRONOGRAMA PROJECT'!$D$7:$D$27,"&gt;"&amp;DATA_GESTAO,'CRONOGRAMA PROJECT'!$D$7:$D$27,"&lt;="&amp;DATA_GESTAO+30)</f>
        <v>0</v>
      </c>
      <c r="D22" s="189" t="n"/>
      <c r="E22" s="189">
        <f>B22+C22+N(D22)</f>
        <v>4</v>
      </c>
      <c r="F22" s="186" t="inlineStr">
        <is>
          <t>O que precisa estar pronto antes? (restrições)</t>
        </is>
      </c>
    </row>
    <row r="23">
      <c r="A23" s="73" t="inlineStr">
        <is>
          <t>Terminam nos próximos 30 dias</t>
        </is>
      </c>
      <c r="B23" s="189">
        <f>COUNTIFS('CRONOGRAMA PROJECT'!$B$7:$B$27,"342",'CRONOGRAMA PROJECT'!$BV$7:$BV$27,"Contrato",'CRONOGRAMA PROJECT'!$E$7:$E$27,"&gt;="&amp;DATA_GESTAO,'CRONOGRAMA PROJECT'!$E$7:$E$27,"&lt;="&amp;DATA_GESTAO+30)</f>
        <v>1</v>
      </c>
      <c r="C23" s="189">
        <f>COUNTIFS('CRONOGRAMA PROJECT'!$B$7:$B$27,"343",'CRONOGRAMA PROJECT'!$BV$7:$BV$27,"Contrato",'CRONOGRAMA PROJECT'!$E$7:$E$27,"&gt;="&amp;DATA_GESTAO,'CRONOGRAMA PROJECT'!$E$7:$E$27,"&lt;="&amp;DATA_GESTAO+30)</f>
        <v>0</v>
      </c>
      <c r="D23" s="189" t="n"/>
      <c r="E23" s="189">
        <f>B23+C23+N(D23)</f>
        <v>1</v>
      </c>
      <c r="F23" s="186" t="n"/>
    </row>
    <row r="24" ht="96" customHeight="1" s="71">
      <c r="A24" s="73" t="inlineStr">
        <is>
          <t>Etapas críticas (folga zero; só vale com predecessoras digitadas)</t>
        </is>
      </c>
      <c r="B24" s="189">
        <f>COUNTIFS('CRONOGRAMA PROJECT'!$B$7:$B$27,"342",'CRONOGRAMA PROJECT'!$BV$7:$BV$27,"Contrato",'CRONOGRAMA PROJECT'!$N$7:$N$27,"CRÍTICA")</f>
        <v>0</v>
      </c>
      <c r="C24" s="189">
        <f>COUNTIFS('CRONOGRAMA PROJECT'!$B$7:$B$27,"343",'CRONOGRAMA PROJECT'!$BV$7:$BV$27,"Contrato",'CRONOGRAMA PROJECT'!$N$7:$N$27,"CRÍTICA")</f>
        <v>0</v>
      </c>
      <c r="D24" s="189" t="n"/>
      <c r="E24" s="189">
        <f>B24+C24+N(D24)</f>
        <v>0</v>
      </c>
      <c r="F24" s="186" t="inlineStr">
        <is>
          <t>Sem predecessoras digitadas o resultado é zero e não vale.</t>
        </is>
      </c>
    </row>
    <row r="25" ht="84" customHeight="1" s="71">
      <c r="A25" s="73" t="inlineStr">
        <is>
          <t>Fim do cronograma menos fim do prazo (dias; positivo = passa)</t>
        </is>
      </c>
      <c r="B25" s="190">
        <f>_xlfn.MAXIFS('CRONOGRAMA PROJECT'!$E$7:$E$27,'CRONOGRAMA PROJECT'!$BW$7:$BW$27,"342")-'03. CONTRATOS'!$B$20</f>
        <v>1</v>
      </c>
      <c r="C25" s="190">
        <f>_xlfn.MAXIFS('CRONOGRAMA PROJECT'!$E$7:$E$27,'CRONOGRAMA PROJECT'!$BW$7:$BW$27,"343")-'03. CONTRATOS'!$D$20</f>
        <v>3</v>
      </c>
      <c r="D25" s="190" t="n"/>
      <c r="E25" s="90" t="n"/>
      <c r="F25" s="186" t="inlineStr">
        <is>
          <t>Fim do cronograma = último dia do último mês com valor.</t>
        </is>
      </c>
    </row>
    <row r="26">
      <c r="A26" s="81" t="inlineStr">
        <is>
          <t>Próximas etapas a começar (todas as obras)</t>
        </is>
      </c>
      <c r="B26" s="191" t="inlineStr">
        <is>
          <t>Início</t>
        </is>
      </c>
      <c r="C26" s="191" t="inlineStr">
        <is>
          <t>Valor (R$)</t>
        </is>
      </c>
      <c r="D26" s="191" t="n"/>
      <c r="E26" s="90" t="n"/>
    </row>
    <row r="27">
      <c r="A27" s="185" t="str">
        <f>IFERROR(INDEX('CRONOGRAMA PROJECT'!$A$7:$A$27,MATCH(SMALL('CRONOGRAMA PROJECT'!$BZ$7:$BZ$27,1),'CRONOGRAMA PROJECT'!$BZ$7:$BZ$27,0))&amp;" "&amp;INDEX('CRONOGRAMA PROJECT'!$C$7:$C$27,MATCH(SMALL('CRONOGRAMA PROJECT'!$BZ$7:$BZ$27,1),'CRONOGRAMA PROJECT'!$BZ$7:$BZ$27,0)),"")</f>
        <v>342-01 CANTEIRO DE OBRAS</v>
      </c>
      <c r="B27" s="97">
        <f>IFERROR(INDEX('CRONOGRAMA PROJECT'!$D$7:$D$27,MATCH(SMALL('CRONOGRAMA PROJECT'!$BZ$7:$BZ$27,1),'CRONOGRAMA PROJECT'!$BZ$7:$BZ$27,0)),"")</f>
        <v>46314.0</v>
      </c>
      <c r="C27" s="93">
        <f>IFERROR(INDEX('CRONOGRAMA PROJECT'!$K$7:$K$27,MATCH(SMALL('CRONOGRAMA PROJECT'!$BZ$7:$BZ$27,1),'CRONOGRAMA PROJECT'!$BZ$7:$BZ$27,0)),"")</f>
        <v>122394</v>
      </c>
      <c r="D27" s="93" t="n"/>
      <c r="E27" s="90" t="n"/>
    </row>
    <row r="28">
      <c r="A28" s="185" t="str">
        <f>IFERROR(INDEX('CRONOGRAMA PROJECT'!$A$7:$A$27,MATCH(SMALL('CRONOGRAMA PROJECT'!$BZ$7:$BZ$27,2),'CRONOGRAMA PROJECT'!$BZ$7:$BZ$27,0))&amp;" "&amp;INDEX('CRONOGRAMA PROJECT'!$C$7:$C$27,MATCH(SMALL('CRONOGRAMA PROJECT'!$BZ$7:$BZ$27,2),'CRONOGRAMA PROJECT'!$BZ$7:$BZ$27,0)),"")</f>
        <v>342-02 ADMINISTRAÇÃO LOCAL</v>
      </c>
      <c r="B28" s="97">
        <f>IFERROR(INDEX('CRONOGRAMA PROJECT'!$D$7:$D$27,MATCH(SMALL('CRONOGRAMA PROJECT'!$BZ$7:$BZ$27,2),'CRONOGRAMA PROJECT'!$BZ$7:$BZ$27,0)),"")</f>
        <v>46314.0</v>
      </c>
      <c r="C28" s="93">
        <f>IFERROR(INDEX('CRONOGRAMA PROJECT'!$K$7:$K$27,MATCH(SMALL('CRONOGRAMA PROJECT'!$BZ$7:$BZ$27,2),'CRONOGRAMA PROJECT'!$BZ$7:$BZ$27,0)),"")</f>
        <v>479911</v>
      </c>
      <c r="D28" s="93" t="n"/>
      <c r="E28" s="90" t="n"/>
    </row>
    <row r="29">
      <c r="A29" s="185" t="str">
        <f>IFERROR(INDEX('CRONOGRAMA PROJECT'!$A$7:$A$27,MATCH(SMALL('CRONOGRAMA PROJECT'!$BZ$7:$BZ$27,3),'CRONOGRAMA PROJECT'!$BZ$7:$BZ$27,0))&amp;" "&amp;INDEX('CRONOGRAMA PROJECT'!$C$7:$C$27,MATCH(SMALL('CRONOGRAMA PROJECT'!$BZ$7:$BZ$27,3),'CRONOGRAMA PROJECT'!$BZ$7:$BZ$27,0)),"")</f>
        <v>342-03 TERRAPLANAGEM E DESVIO DE TUBULAÇÃO</v>
      </c>
      <c r="B29" s="97">
        <f>IFERROR(INDEX('CRONOGRAMA PROJECT'!$D$7:$D$27,MATCH(SMALL('CRONOGRAMA PROJECT'!$BZ$7:$BZ$27,3),'CRONOGRAMA PROJECT'!$BZ$7:$BZ$27,0)),"")</f>
        <v>46314.0</v>
      </c>
      <c r="C29" s="93">
        <f>IFERROR(INDEX('CRONOGRAMA PROJECT'!$K$7:$K$27,MATCH(SMALL('CRONOGRAMA PROJECT'!$BZ$7:$BZ$27,3),'CRONOGRAMA PROJECT'!$BZ$7:$BZ$27,0)),"")</f>
        <v>131545.55</v>
      </c>
      <c r="D29" s="93" t="n"/>
      <c r="E29" s="90" t="n"/>
    </row>
    <row r="30">
      <c r="A30" s="185" t="str">
        <f>IFERROR(INDEX('CRONOGRAMA PROJECT'!$A$7:$A$27,MATCH(SMALL('CRONOGRAMA PROJECT'!$BZ$7:$BZ$27,4),'CRONOGRAMA PROJECT'!$BZ$7:$BZ$27,0))&amp;" "&amp;INDEX('CRONOGRAMA PROJECT'!$C$7:$C$27,MATCH(SMALL('CRONOGRAMA PROJECT'!$BZ$7:$BZ$27,4),'CRONOGRAMA PROJECT'!$BZ$7:$BZ$27,0)),"")</f>
        <v>342-07 TANQUE DE LODO</v>
      </c>
      <c r="B30" s="97">
        <f>IFERROR(INDEX('CRONOGRAMA PROJECT'!$D$7:$D$27,MATCH(SMALL('CRONOGRAMA PROJECT'!$BZ$7:$BZ$27,4),'CRONOGRAMA PROJECT'!$BZ$7:$BZ$27,0)),"")</f>
        <v>46329.0</v>
      </c>
      <c r="C30" s="93">
        <f>IFERROR(INDEX('CRONOGRAMA PROJECT'!$K$7:$K$27,MATCH(SMALL('CRONOGRAMA PROJECT'!$BZ$7:$BZ$27,4),'CRONOGRAMA PROJECT'!$BZ$7:$BZ$27,0)),"")</f>
        <v>1180517.8</v>
      </c>
      <c r="D30" s="93" t="n"/>
      <c r="E30" s="90" t="n"/>
    </row>
    <row r="31">
      <c r="A31" s="185" t="str">
        <f>IFERROR(INDEX('CRONOGRAMA PROJECT'!$A$7:$A$27,MATCH(SMALL('CRONOGRAMA PROJECT'!$BZ$7:$BZ$27,5),'CRONOGRAMA PROJECT'!$BZ$7:$BZ$27,0))&amp;" "&amp;INDEX('CRONOGRAMA PROJECT'!$C$7:$C$27,MATCH(SMALL('CRONOGRAMA PROJECT'!$BZ$7:$BZ$27,5),'CRONOGRAMA PROJECT'!$BZ$7:$BZ$27,0)),"")</f>
        <v>343-M2 Plano do motor: F01 Subadutora SAT.SB1.192 · ADUT_FOFO</v>
      </c>
      <c r="B31" s="97">
        <f>IFERROR(INDEX('CRONOGRAMA PROJECT'!$D$7:$D$27,MATCH(SMALL('CRONOGRAMA PROJECT'!$BZ$7:$BZ$27,5),'CRONOGRAMA PROJECT'!$BZ$7:$BZ$27,0)),"")</f>
        <v>46344.0</v>
      </c>
      <c r="C31" s="93">
        <f>IFERROR(INDEX('CRONOGRAMA PROJECT'!$K$7:$K$27,MATCH(SMALL('CRONOGRAMA PROJECT'!$BZ$7:$BZ$27,5),'CRONOGRAMA PROJECT'!$BZ$7:$BZ$27,0)),"")</f>
        <v>94175.2846790772</v>
      </c>
      <c r="D31" s="93" t="n"/>
      <c r="E31" s="90" t="n"/>
    </row>
    <row r="32">
      <c r="A32" s="80" t="inlineStr">
        <is>
          <t>3. DINHEIRO</t>
        </is>
      </c>
      <c r="B32" s="91" t="n"/>
      <c r="C32" s="91" t="n"/>
      <c r="D32" s="91" t="n"/>
      <c r="E32" s="91" t="n"/>
      <c r="F32" s="80" t="n"/>
    </row>
    <row r="33">
      <c r="A33" s="73" t="inlineStr">
        <is>
          <t>Valor do cronograma no mês do corte (R$)</t>
        </is>
      </c>
      <c r="B33" s="93">
        <f>INDEX('FLUXO PROJETADO TAF'!$C$23:$R$23,MATCH(DATE(YEAR(DATA_GESTAO),MONTH(DATA_GESTAO),1),'FLUXO PROJETADO TAF'!$C$21:$R$21,0))</f>
        <v>0</v>
      </c>
      <c r="C33" s="93">
        <f>INDEX('FLUXO PROJETADO TAF'!$C$45:$R$45,MATCH(DATE(YEAR(DATA_GESTAO),MONTH(DATA_GESTAO),1),'FLUXO PROJETADO TAF'!$C$21:$R$21,0))</f>
        <v>1181684.09</v>
      </c>
      <c r="D33" s="93">
        <f>IFERROR(INDEX('04. PLANO DAS OBRAS'!$C$42:$Z$42,MATCH(DATE(YEAR(DATA_GESTAO),MONTH(DATA_GESTAO),1),'04. PLANO DAS OBRAS'!$C$41:$Z$41,0)),0)</f>
        <v>1435258.88</v>
      </c>
      <c r="E33" s="93">
        <f>B33+C33+N(D33)</f>
        <v>2616942.97</v>
      </c>
      <c r="F33" s="186" t="n"/>
    </row>
    <row r="34" ht="60" customHeight="1" s="71">
      <c r="A34" s="73" t="inlineStr">
        <is>
          <t>Recebimento previsto no mês do corte (bruto, R$)</t>
        </is>
      </c>
      <c r="B34" s="93">
        <f>INDEX('FLUXO PROJETADO TAF'!$C$25:$R$25,MATCH(DATE(YEAR(DATA_GESTAO),MONTH(DATA_GESTAO),1),'FLUXO PROJETADO TAF'!$C$21:$R$21,0))</f>
        <v>0</v>
      </c>
      <c r="C34" s="93">
        <f>INDEX('FLUXO PROJETADO TAF'!$C$47:$R$47,MATCH(DATE(YEAR(DATA_GESTAO),MONTH(DATA_GESTAO),1),'FLUXO PROJETADO TAF'!$C$21:$R$21,0))</f>
        <v>0</v>
      </c>
      <c r="D34" s="93">
        <f>IFERROR(INDEX('04. PLANO DAS OBRAS'!$C$43:$Z$43,MATCH(DATE(YEAR(DATA_GESTAO),MONTH(DATA_GESTAO),1),'04. PLANO DAS OBRAS'!$C$41:$Z$41,0)),0)</f>
        <v>1319194.39</v>
      </c>
      <c r="E34" s="93">
        <f>B34+C34+N(D34)</f>
        <v>1319194.39</v>
      </c>
      <c r="F34" s="186" t="inlineStr">
        <is>
          <t>Entra algum dinheiro este mês?</t>
        </is>
      </c>
    </row>
    <row r="35">
      <c r="A35" s="73" t="inlineStr">
        <is>
          <t>Custo previsto no mês do corte (R$)</t>
        </is>
      </c>
      <c r="B35" s="93">
        <f>INDEX('FLUXO PROJETADO TAF'!$C$32:$R$32,MATCH(DATE(YEAR(DATA_GESTAO),MONTH(DATA_GESTAO),1),'FLUXO PROJETADO TAF'!$C$21:$R$21,0))</f>
        <v>29525.98</v>
      </c>
      <c r="C35" s="93">
        <f>INDEX('FLUXO PROJETADO TAF'!$C$54:$R$54,MATCH(DATE(YEAR(DATA_GESTAO),MONTH(DATA_GESTAO),1),'FLUXO PROJETADO TAF'!$C$21:$R$21,0))</f>
        <v>764972.02</v>
      </c>
      <c r="D35" s="93" t="str">
        <f>"sem plano de custo"</f>
        <v>sem plano de custo</v>
      </c>
      <c r="E35" s="93">
        <f>B35+C35</f>
        <v>794498</v>
      </c>
      <c r="F35" s="186" t="n"/>
    </row>
    <row r="36" ht="72" customHeight="1" s="71">
      <c r="A36" s="73" t="inlineStr">
        <is>
          <t>Custo lançado até o corte (R$, 08)</t>
        </is>
      </c>
      <c r="B36" s="93" t="str">
        <f>IF(COUNTIFS('08. CUSTOS'!$C$5:$C$404,"342",'08. CUSTOS'!$F$5:$F$404,"&lt;&gt;")=0,"sem lançamento",'08B. TODAS AS OBRAS'!G5)</f>
        <v>sem lançamento</v>
      </c>
      <c r="C36" s="93" t="str">
        <f>IF(COUNTIFS('08. CUSTOS'!$C$5:$C$404,"343",'08. CUSTOS'!$F$5:$F$404,"&lt;&gt;")=0,"sem lançamento",'08B. TODAS AS OBRAS'!G6)</f>
        <v>sem lançamento</v>
      </c>
      <c r="D36" s="93">
        <f>IF(COUNTIFS('08. CUSTOS'!$C$5:$C$404,"281",'08. CUSTOS'!$F$5:$F$404,"&lt;&gt;")=0,"sem lançamento",'08B. TODAS AS OBRAS'!G7)</f>
        <v>1103553.37</v>
      </c>
      <c r="E36" s="93">
        <f>IF(AND(ISTEXT(B36),ISTEXT(C36),ISTEXT(D36)),"sem lançamento",N(B36)+N(C36)+N(D36))</f>
        <v>1103553.37</v>
      </c>
      <c r="F36" s="186" t="inlineStr">
        <is>
          <t>Se está vazio: quem lança os pagamentos?</t>
        </is>
      </c>
    </row>
    <row r="37">
      <c r="A37" s="73" t="inlineStr">
        <is>
          <t>Custo previsto até o corte (R$)</t>
        </is>
      </c>
      <c r="B37" s="93">
        <f>'08B. TODAS AS OBRAS'!H5</f>
        <v>29525.98</v>
      </c>
      <c r="C37" s="93">
        <f>'08B. TODAS AS OBRAS'!H6</f>
        <v>820642.78</v>
      </c>
      <c r="D37" s="93" t="str">
        <f>'08B. TODAS AS OBRAS'!H7</f>
        <v>sem plano de custo</v>
      </c>
      <c r="E37" s="93">
        <f>B37+C37+N(D37)</f>
        <v>850168.76</v>
      </c>
      <c r="F37" s="186" t="n"/>
    </row>
    <row r="38">
      <c r="A38" s="73" t="inlineStr">
        <is>
          <t>BM lançados (06)</t>
        </is>
      </c>
      <c r="B38" s="189" t="str">
        <f>IF(COUNTIFS('06. MEDIÇÃO (BM)'!$B$5:$B$44,"342",'06. MEDIÇÃO (BM)'!$G$5:$G$44,"&lt;&gt;")=0,"nenhum BM lançado",COUNTIFS('06. MEDIÇÃO (BM)'!$B$5:$B$44,"342",'06. MEDIÇÃO (BM)'!$G$5:$G$44,"&lt;&gt;"))</f>
        <v>nenhum BM lançado</v>
      </c>
      <c r="C38" s="189" t="str">
        <f>IF(COUNTIFS('06. MEDIÇÃO (BM)'!$B$5:$B$44,"343",'06. MEDIÇÃO (BM)'!$G$5:$G$44,"&lt;&gt;")=0,"nenhum BM lançado",COUNTIFS('06. MEDIÇÃO (BM)'!$B$5:$B$44,"343",'06. MEDIÇÃO (BM)'!$G$5:$G$44,"&lt;&gt;"))</f>
        <v>nenhum BM lançado</v>
      </c>
      <c r="D38" s="189">
        <f>IF(COUNTIFS('06. MEDIÇÃO (BM)'!$B$5:$B$44,"281",'06. MEDIÇÃO (BM)'!$G$5:$G$44,"&lt;&gt;")=0,"nenhum BM lançado",COUNTIFS('06. MEDIÇÃO (BM)'!$B$5:$B$44,"281",'06. MEDIÇÃO (BM)'!$G$5:$G$44,"&lt;&gt;"))</f>
        <v>7</v>
      </c>
      <c r="E38" s="189">
        <f>IF(AND(ISTEXT(B38),ISTEXT(C38),ISTEXT(D38)),"nenhum BM lançado",N(B38)+N(C38)+N(D38))</f>
        <v>7</v>
      </c>
      <c r="F38" s="186" t="n"/>
    </row>
    <row r="39">
      <c r="A39" s="73" t="inlineStr">
        <is>
          <t>NF emitidas e ainda não recebidas (07)</t>
        </is>
      </c>
      <c r="B39" s="189" t="str">
        <f>IF(COUNTIFS('07. FATURAMENTO E RECEBIMENTO'!$B$5:$B$44,"342",'07. FATURAMENTO E RECEBIMENTO'!$F$5:$F$44,"&lt;&gt;")=0,"nenhuma NF lançada",COUNTIFS('07. FATURAMENTO E RECEBIMENTO'!$B$5:$B$44,"342",'07. FATURAMENTO E RECEBIMENTO'!$F$5:$F$44,"&lt;&gt;",'07. FATURAMENTO E RECEBIMENTO'!$L$5:$L$44,""))</f>
        <v>nenhuma NF lançada</v>
      </c>
      <c r="C39" s="189" t="str">
        <f>IF(COUNTIFS('07. FATURAMENTO E RECEBIMENTO'!$B$5:$B$44,"343",'07. FATURAMENTO E RECEBIMENTO'!$F$5:$F$44,"&lt;&gt;")=0,"nenhuma NF lançada",COUNTIFS('07. FATURAMENTO E RECEBIMENTO'!$B$5:$B$44,"343",'07. FATURAMENTO E RECEBIMENTO'!$F$5:$F$44,"&lt;&gt;",'07. FATURAMENTO E RECEBIMENTO'!$L$5:$L$44,""))</f>
        <v>nenhuma NF lançada</v>
      </c>
      <c r="D39" s="189">
        <f>IF(COUNTIFS('07. FATURAMENTO E RECEBIMENTO'!$B$5:$B$44,"281",'07. FATURAMENTO E RECEBIMENTO'!$F$5:$F$44,"&lt;&gt;")=0,"nenhuma NF lançada",COUNTIFS('07. FATURAMENTO E RECEBIMENTO'!$B$5:$B$44,"281",'07. FATURAMENTO E RECEBIMENTO'!$F$5:$F$44,"&lt;&gt;",'07. FATURAMENTO E RECEBIMENTO'!$L$5:$L$44,""))</f>
        <v>0</v>
      </c>
      <c r="E39" s="189">
        <f>IF(AND(ISTEXT(B39),ISTEXT(C39),ISTEXT(D39)),"nenhuma NF lançada",N(B39)+N(C39)+N(D39))</f>
        <v>0</v>
      </c>
      <c r="F39" s="186" t="n"/>
    </row>
    <row r="40" ht="72" customHeight="1" s="71">
      <c r="A40" s="73" t="inlineStr">
        <is>
          <t>Pior saldo de caixa projetado (R$)</t>
        </is>
      </c>
      <c r="B40" s="93">
        <f>'FLUXO PROJETADO TAF'!C$14</f>
        <v>-1151141.8869</v>
      </c>
      <c r="C40" s="93">
        <f>'FLUXO PROJETADO TAF'!D$14</f>
        <v>-1401325.62</v>
      </c>
      <c r="D40" s="93" t="str">
        <f>"sem fluxo (falta plano de custo)"</f>
        <v>sem fluxo (falta plano de custo)</v>
      </c>
      <c r="E40" s="93">
        <f>'FLUXO PROJETADO TAF'!$E$14</f>
        <v>-1709964.04</v>
      </c>
      <c r="F40" s="186" t="inlineStr">
        <is>
          <t>Quanto capital precisa estar na conta e quando? TAF = fluxo da empresa (342 e 343; a 281 entra quando tiver plano de custo e a parte da TAF definida).</t>
        </is>
      </c>
    </row>
    <row r="41">
      <c r="A41" s="73" t="inlineStr">
        <is>
          <t xml:space="preserve">   mês do pior saldo</t>
        </is>
      </c>
      <c r="B41" s="192">
        <f>'FLUXO PROJETADO TAF'!C$15</f>
        <v>46419.0</v>
      </c>
      <c r="C41" s="192">
        <f>'FLUXO PROJETADO TAF'!D$15</f>
        <v>46327.0</v>
      </c>
      <c r="D41" s="192" t="n"/>
      <c r="E41" s="192">
        <f>'FLUXO PROJETADO TAF'!$E$15</f>
        <v>46327.0</v>
      </c>
      <c r="F41" s="186" t="n"/>
    </row>
    <row r="42">
      <c r="A42" s="73" t="inlineStr">
        <is>
          <t>Capital de giro necessário (pior saldo × fator da 02 B13, R$)</t>
        </is>
      </c>
      <c r="B42" s="93">
        <f>'FLUXO PROJETADO TAF'!C$16</f>
        <v>1323813.169935</v>
      </c>
      <c r="C42" s="93">
        <f>'FLUXO PROJETADO TAF'!D$16</f>
        <v>1611524.463</v>
      </c>
      <c r="D42" s="93" t="n"/>
      <c r="E42" s="93">
        <f>'FLUXO PROJETADO TAF'!$E$16</f>
        <v>1966458.646</v>
      </c>
      <c r="F42" s="186" t="n"/>
    </row>
    <row r="43">
      <c r="A43" s="80" t="inlineStr">
        <is>
          <t>4. TRAVAS E RISCOS</t>
        </is>
      </c>
      <c r="B43" s="91" t="n"/>
      <c r="C43" s="91" t="n"/>
      <c r="D43" s="91" t="n"/>
      <c r="E43" s="91" t="n"/>
      <c r="F43" s="80" t="inlineStr">
        <is>
          <t>5 MAIORES P×I DA 05C (R$ × P ÷ 5)</t>
        </is>
      </c>
    </row>
    <row r="44" ht="60" customHeight="1" s="71">
      <c r="A44" s="73" t="inlineStr">
        <is>
          <t>Ocorrências abertas + pendências do cliente (05)</t>
        </is>
      </c>
      <c r="B44" s="189">
        <f>IF(COUNTIFS('05. SEMANAS'!$A$5:$A$64,'02. PARÂMETROS'!$B$5,'05. SEMANAS'!$B$5:$B$64,"342")=0,"sem lançamento",'01C. PLACAR SEMANAL'!C11)</f>
        <v>56</v>
      </c>
      <c r="C44" s="189">
        <f>IF(COUNTIFS('05. SEMANAS'!$A$5:$A$64,'02. PARÂMETROS'!$B$5,'05. SEMANAS'!$B$5:$B$64,"343")=0,"sem lançamento",'01C. PLACAR SEMANAL'!D11)</f>
        <v>11</v>
      </c>
      <c r="D44" s="189">
        <f>IF(COUNTIFS('05. SEMANAS'!$A$5:$A$64,'02. PARÂMETROS'!$B$5,'05. SEMANAS'!$B$5:$B$64,"281")=0,"sem lançamento",'01C. PLACAR SEMANAL'!E11)</f>
        <v>27</v>
      </c>
      <c r="E44" s="189">
        <f>IF(AND(ISTEXT(B44),ISTEXT(C44),ISTEXT(D44)),"sem lançamento",N(B44)+N(C44)+N(D44))</f>
        <v>94</v>
      </c>
      <c r="F44" s="186" t="inlineStr">
        <is>
          <t>Cada uma com dono e prazo na ata.</t>
        </is>
      </c>
    </row>
    <row r="45" ht="26" customHeight="1" s="71">
      <c r="A45" s="73" t="inlineStr">
        <is>
          <t>Itens PENDENTE ou DECIDIR no MASTER CHECK (13. CHECKS)</t>
        </is>
      </c>
      <c r="B45" s="189">
        <f>""</f>
      </c>
      <c r="C45" s="189">
        <f>""</f>
      </c>
      <c r="D45" s="189">
        <f>""</f>
      </c>
      <c r="E45" s="189">
        <f>COUNTIF('13. CHECKS'!$C$5:$C$22,"PENDENTE")+COUNTIF('13. CHECKS'!$C$5:$C$22,"DECIDIR")</f>
        <v>10</v>
      </c>
      <c r="F45" s="186" t="str">
        <f>IFERROR("1. "&amp;INDEX('05C. RESTRIÇÕES'!$A$5:$A$204,MATCH(1,'05C. RESTRIÇÕES'!$W$5:$W$204,0))&amp;" ("&amp;INDEX('05C. RESTRIÇÕES'!$B$5:$B$204,MATCH(1,'05C. RESTRIÇÕES'!$W$5:$W$204,0))&amp;") "&amp;IFERROR(LEFT(INDEX('05C. RESTRIÇÕES'!$D$5:$D$204,MATCH(1,'05C. RESTRIÇÕES'!$W$5:$W$204,0)),FIND(":",INDEX('05C. RESTRIÇÕES'!$D$5:$D$204,MATCH(1,'05C. RESTRIÇÕES'!$W$5:$W$204,0)))-1),LEFT(INDEX('05C. RESTRIÇÕES'!$D$5:$D$204,MATCH(1,'05C. RESTRIÇÕES'!$W$5:$W$204,0)),60))&amp;": P×I R$ "&amp;ROUND(INDEX('05C. RESTRIÇÕES'!$Q$5:$Q$204,MATCH(1,'05C. RESTRIÇÕES'!$W$5:$W$204,0))/1000,0)&amp;" mil · "&amp;INDEX('05C. RESTRIÇÕES'!$G$5:$G$204,MATCH(1,'05C. RESTRIÇÕES'!$W$5:$W$204,0)),"Nenhum risco com P e I na 05C")</f>
        <v>1. R94 (342) UN a até 5 dias do corte: P×I R$ 411 mil · Tiago Marinho</v>
      </c>
    </row>
    <row r="46" ht="26" customHeight="1" s="71">
      <c r="A46" s="73" t="inlineStr">
        <is>
          <t>Itens com ERRO no MASTER CHECK</t>
        </is>
      </c>
      <c r="B46" s="189">
        <f>""</f>
      </c>
      <c r="C46" s="189">
        <f>""</f>
      </c>
      <c r="D46" s="189">
        <f>""</f>
      </c>
      <c r="E46" s="189">
        <f>COUNTIF('13. CHECKS'!$C$5:$C$22,"ERRO")</f>
        <v>0</v>
      </c>
      <c r="F46" s="186" t="str">
        <f>IFERROR("2. "&amp;INDEX('05C. RESTRIÇÕES'!$A$5:$A$204,MATCH(2,'05C. RESTRIÇÕES'!$W$5:$W$204,0))&amp;" ("&amp;INDEX('05C. RESTRIÇÕES'!$B$5:$B$204,MATCH(2,'05C. RESTRIÇÕES'!$W$5:$W$204,0))&amp;") "&amp;IFERROR(LEFT(INDEX('05C. RESTRIÇÕES'!$D$5:$D$204,MATCH(2,'05C. RESTRIÇÕES'!$W$5:$W$204,0)),FIND(":",INDEX('05C. RESTRIÇÕES'!$D$5:$D$204,MATCH(2,'05C. RESTRIÇÕES'!$W$5:$W$204,0)))-1),LEFT(INDEX('05C. RESTRIÇÕES'!$D$5:$D$204,MATCH(2,'05C. RESTRIÇÕES'!$W$5:$W$204,0)),60))&amp;": P×I R$ "&amp;ROUND(INDEX('05C. RESTRIÇÕES'!$Q$5:$Q$204,MATCH(2,'05C. RESTRIÇÕES'!$W$5:$W$204,0))/1000,0)&amp;" mil · "&amp;INDEX('05C. RESTRIÇÕES'!$G$5:$G$204,MATCH(2,'05C. RESTRIÇÕES'!$W$5:$W$204,0)),"")</f>
        <v>2. R95 (342) Aprovação da SANEAGO demora (traçado, projetos, eventograma): P×I R$ 260 mil · Marko Aurélio</v>
      </c>
    </row>
    <row r="47" ht="26" customHeight="1" s="71">
      <c r="A47" s="73" t="inlineStr">
        <is>
          <t>Checagens da operação a conferir ou pendentes</t>
        </is>
      </c>
      <c r="B47" s="193">
        <f>""</f>
      </c>
      <c r="C47" s="193">
        <f>""</f>
      </c>
      <c r="D47" s="193">
        <f>""</f>
      </c>
      <c r="E47" s="194" t="str">
        <f>'CHECKS DA OPERAÇÃO TAF'!$D$31</f>
        <v>3 a conferir · 5 pendentes</v>
      </c>
      <c r="F47" s="186" t="str">
        <f>IFERROR("3. "&amp;INDEX('05C. RESTRIÇÕES'!$A$5:$A$204,MATCH(3,'05C. RESTRIÇÕES'!$W$5:$W$204,0))&amp;" ("&amp;INDEX('05C. RESTRIÇÕES'!$B$5:$B$204,MATCH(3,'05C. RESTRIÇÕES'!$W$5:$W$204,0))&amp;") "&amp;IFERROR(LEFT(INDEX('05C. RESTRIÇÕES'!$D$5:$D$204,MATCH(3,'05C. RESTRIÇÕES'!$W$5:$W$204,0)),FIND(":",INDEX('05C. RESTRIÇÕES'!$D$5:$D$204,MATCH(3,'05C. RESTRIÇÕES'!$W$5:$W$204,0)))-1),LEFT(INDEX('05C. RESTRIÇÕES'!$D$5:$D$204,MATCH(3,'05C. RESTRIÇÕES'!$W$5:$W$204,0)),60))&amp;": P×I R$ "&amp;ROUND(INDEX('05C. RESTRIÇÕES'!$Q$5:$Q$204,MATCH(3,'05C. RESTRIÇÕES'!$W$5:$W$204,0))/1000,0)&amp;" mil · "&amp;INDEX('05C. RESTRIÇÕES'!$G$5:$G$204,MATCH(3,'05C. RESTRIÇÕES'!$W$5:$W$204,0)),"")</f>
        <v>3. R99 (343) Ritmo do PEAD abaixo de 80 m/dia: P×I R$ 121 mil · Gerente da 343 (Thadeu nomeia, R42)</v>
      </c>
    </row>
    <row r="48" ht="26" customHeight="1" s="71">
      <c r="A48" s="185" t="inlineStr">
        <is>
          <t>Travas desta semana (lista completa, com dono e prazo, na 05C. RESTRIÇÕES)</t>
        </is>
      </c>
      <c r="B48" s="185" t="n"/>
      <c r="C48" s="185" t="n"/>
      <c r="D48" s="185" t="n"/>
      <c r="E48" s="185" t="n"/>
      <c r="F48" s="186" t="str">
        <f>IFERROR("4. "&amp;INDEX('05C. RESTRIÇÕES'!$A$5:$A$204,MATCH(4,'05C. RESTRIÇÕES'!$W$5:$W$204,0))&amp;" ("&amp;INDEX('05C. RESTRIÇÕES'!$B$5:$B$204,MATCH(4,'05C. RESTRIÇÕES'!$W$5:$W$204,0))&amp;") "&amp;IFERROR(LEFT(INDEX('05C. RESTRIÇÕES'!$D$5:$D$204,MATCH(4,'05C. RESTRIÇÕES'!$W$5:$W$204,0)),FIND(":",INDEX('05C. RESTRIÇÕES'!$D$5:$D$204,MATCH(4,'05C. RESTRIÇÕES'!$W$5:$W$204,0)))-1),LEFT(INDEX('05C. RESTRIÇÕES'!$D$5:$D$204,MATCH(4,'05C. RESTRIÇÕES'!$W$5:$W$204,0)),60))&amp;": P×I R$ "&amp;ROUND(INDEX('05C. RESTRIÇÕES'!$Q$5:$Q$204,MATCH(4,'05C. RESTRIÇÕES'!$W$5:$W$204,0))/1000,0)&amp;" mil · "&amp;INDEX('05C. RESTRIÇÕES'!$G$5:$G$204,MATCH(4,'05C. RESTRIÇÕES'!$W$5:$W$204,0)),"")</f>
        <v>4. R96 (342) Fabricação das bombas atrasa: P×I R$ 118 mil · Marko Aurélio</v>
      </c>
    </row>
    <row r="49" ht="26" customHeight="1" s="71">
      <c r="A49" s="185" t="str">
        <f>"342: "&amp;COUNTIFS('05C. RESTRIÇÕES'!$B$5:$B$204,"342",'05C. RESTRIÇÕES'!$L$5:$L$204,"VENCIDA")&amp;" restrições vencidas e "&amp;COUNTIFS('05C. RESTRIÇÕES'!$B$5:$B$204,"342",'05C. RESTRIÇÕES'!$K$5:$K$204,"&gt;=0",'05C. RESTRIÇÕES'!$K$5:$K$204,"&lt;=7")&amp;" vencendo esta semana (05C)."</f>
        <v>342: 8 restrições vencidas e 26 vencendo esta semana (05C).</v>
      </c>
      <c r="B49" s="185" t="n"/>
      <c r="C49" s="185" t="n"/>
      <c r="D49" s="185" t="n"/>
      <c r="E49" s="185" t="n"/>
      <c r="F49" s="186" t="str">
        <f>IFERROR("5. "&amp;INDEX('05C. RESTRIÇÕES'!$A$5:$A$204,MATCH(5,'05C. RESTRIÇÕES'!$W$5:$W$204,0))&amp;" ("&amp;INDEX('05C. RESTRIÇÕES'!$B$5:$B$204,MATCH(5,'05C. RESTRIÇÕES'!$W$5:$W$204,0))&amp;") "&amp;IFERROR(LEFT(INDEX('05C. RESTRIÇÕES'!$D$5:$D$204,MATCH(5,'05C. RESTRIÇÕES'!$W$5:$W$204,0)),FIND(":",INDEX('05C. RESTRIÇÕES'!$D$5:$D$204,MATCH(5,'05C. RESTRIÇÕES'!$W$5:$W$204,0)))-1),LEFT(INDEX('05C. RESTRIÇÕES'!$D$5:$D$204,MATCH(5,'05C. RESTRIÇÕES'!$W$5:$W$204,0)),60))&amp;": P×I R$ "&amp;ROUND(INDEX('05C. RESTRIÇÕES'!$Q$5:$Q$204,MATCH(5,'05C. RESTRIÇÕES'!$W$5:$W$204,0))/1000,0)&amp;" mil · "&amp;INDEX('05C. RESTRIÇÕES'!$G$5:$G$204,MATCH(5,'05C. RESTRIÇÕES'!$W$5:$W$204,0)),"")</f>
        <v>5. R97 (342) Chuva acima da normal do INMET: P×I R$ 23 mil · Marko Aurélio</v>
      </c>
    </row>
    <row r="50" s="71">
      <c r="A50" s="185" t="inlineStr">
        <is>
          <t>342: terraplenagem (TERRA), FoFo (FOFO), montagem (MONT) e projetos (PROJ) sem contrato pela META DE COMPRA; o FoFo espera o traçado final da interligação.</t>
        </is>
      </c>
      <c r="B50" s="185" t="n"/>
      <c r="C50" s="185" t="n"/>
      <c r="D50" s="185" t="n"/>
      <c r="E50" s="185" t="n"/>
      <c r="F50" s="185" t="n"/>
    </row>
    <row r="51" s="71">
      <c r="A51" s="185" t="inlineStr">
        <is>
          <t>342: reunião de medição com Raimundo e Dantas: período 21 a 20, BM2 em 20/10 (numeração do Plano de Trabalho), divisão dos eventos por trechos, instalação e testes, pedido de reajuste e ART registrada (sem ela não sai o 1º pagamento) (05C).</t>
        </is>
      </c>
      <c r="B51" s="185" t="n"/>
      <c r="C51" s="185" t="n"/>
      <c r="D51" s="185" t="n"/>
      <c r="E51" s="185" t="n"/>
      <c r="F51" s="185" t="n"/>
    </row>
    <row r="52" s="71">
      <c r="A52" s="185" t="inlineStr">
        <is>
          <t>342 (lista do Felipe, 15/10): eventograma com Alecio, Thadeu e Felipe (R30); planejamento com Felipe e Marco (R75); quantitativos e o que já se pode fazer, sem dono (R76); começar pela terraplenagem e o FoFo só depois da aprovação do eventograma (01A).</t>
        </is>
      </c>
      <c r="B52" s="185" t="n"/>
      <c r="C52" s="185" t="n"/>
      <c r="D52" s="185" t="n"/>
      <c r="E52" s="185" t="n"/>
      <c r="F52" s="185" t="n"/>
    </row>
    <row r="53" s="71">
      <c r="A53" s="185" t="inlineStr">
        <is>
          <t>342: vigilância do canteiro (o estudo REV13 usa posto 24 h com 4 vigias) e transporte da equipe (CCT do Entorno) definidos até 19/10, quando o canteiro começa; prazo e taxa da antecipação das notas confirmados com o Financeiro (05C).</t>
        </is>
      </c>
      <c r="B53" s="185" t="n"/>
      <c r="C53" s="185" t="n"/>
      <c r="D53" s="185" t="n"/>
      <c r="E53" s="185" t="n"/>
      <c r="F53" s="185" t="n"/>
    </row>
    <row r="54" s="71">
      <c r="A54" s="185" t="str">
        <f>"343: "&amp;COUNTIFS('05C. RESTRIÇÕES'!$B$5:$B$204,"343",'05C. RESTRIÇÕES'!$L$5:$L$204,"VENCIDA")&amp;" restrições vencidas e "&amp;COUNTIFS('05C. RESTRIÇÕES'!$B$5:$B$204,"343",'05C. RESTRIÇÕES'!$K$5:$K$204,"&gt;=0",'05C. RESTRIÇÕES'!$K$5:$K$204,"&lt;=7")&amp;" vencendo esta semana (05C)."</f>
        <v>343: 0 restrições vencidas e 6 vencendo esta semana (05C).</v>
      </c>
      <c r="B54" s="185" t="n"/>
      <c r="C54" s="185" t="n"/>
      <c r="D54" s="185" t="n"/>
      <c r="E54" s="185" t="n"/>
      <c r="F54" s="185" t="n"/>
    </row>
    <row r="55" s="71">
      <c r="A55" s="185" t="inlineStr">
        <is>
          <t>343: metros de PEAD não apontados; o ritmo de 80 m/dia ainda é meta, não fato.</t>
        </is>
      </c>
      <c r="B55" s="185" t="n"/>
      <c r="C55" s="185" t="n"/>
      <c r="D55" s="185" t="n"/>
      <c r="E55" s="185" t="n"/>
      <c r="F55" s="185" t="n"/>
    </row>
    <row r="56" s="71">
      <c r="A56" s="185" t="inlineStr">
        <is>
          <t>343: valor que mede (contrato ou cronograma CAESB, diferença de R$ 52.794,31), solda de termofusão sem aditivo (ofício ao Rodolfo, R39), tubo PEAD 560 sem fornecedor definido (R88) e prêmio do seguro sem valor.</t>
        </is>
      </c>
      <c r="B56" s="185" t="n"/>
      <c r="C56" s="185" t="n"/>
      <c r="D56" s="185" t="n"/>
      <c r="E56" s="185" t="n"/>
      <c r="F56" s="185" t="n"/>
    </row>
    <row r="57" s="71">
      <c r="A57" s="185" t="str">
        <f>"281: "&amp;COUNTIFS('05C. RESTRIÇÕES'!$B$5:$B$204,"281",'05C. RESTRIÇÕES'!$L$5:$L$204,"VENCIDA")&amp;" restrições vencidas e "&amp;COUNTIFS('05C. RESTRIÇÕES'!$B$5:$B$204,"281",'05C. RESTRIÇÕES'!$K$5:$K$204,"&gt;=0",'05C. RESTRIÇÕES'!$K$5:$K$204,"&lt;=7")&amp;" vencendo esta semana (05C)."</f>
        <v>281: 4 restrições vencidas e 16 vencendo esta semana (05C).</v>
      </c>
      <c r="B57" s="185" t="n"/>
      <c r="C57" s="185" t="n"/>
      <c r="D57" s="185" t="n"/>
      <c r="E57" s="185" t="n"/>
      <c r="F57" s="185" t="n"/>
    </row>
    <row r="58" s="71">
      <c r="A58" s="185" t="inlineStr">
        <is>
          <t>281: BM08 fecha em 20/10 (previsto R$ 1,44 mi no cronograma FF). Medem se ficarem prontos: reservatório 7.7.5 (R$ 271 mil, entrega remarcada três vezes), cloro 7.4.13 (R$ 127 mil) e antecipação da ETA 7.1.4 (R$ 409 mil, atrasada desde o BM06; depende do projeto aprovado e da OC).</t>
        </is>
      </c>
      <c r="B58" s="185" t="n"/>
      <c r="C58" s="185" t="n"/>
      <c r="D58" s="185" t="n"/>
      <c r="E58" s="185" t="n"/>
      <c r="F58" s="185" t="n"/>
    </row>
    <row r="59" s="71">
      <c r="A59" s="185" t="inlineStr">
        <is>
          <t>281: EEAT (7.2.8 a 7.2.19, R$ 335 mil) prevista no BM06 e no BM07 e não medida; projeto da ETA e da base da UTR na SANEAGO desde 06/10.</t>
        </is>
      </c>
      <c r="B59" s="185" t="n"/>
      <c r="C59" s="185" t="n"/>
      <c r="D59" s="185" t="n"/>
      <c r="E59" s="185" t="n"/>
      <c r="F59" s="185" t="n"/>
    </row>
    <row r="60" s="71">
      <c r="A60" s="185" t="inlineStr">
        <is>
          <t>281: custo do consórcio lançado só até 30/05/2026, sem orçamento de custo; a TECNOBOMBAS disse que está sem caixa para o frete do reservatório.</t>
        </is>
      </c>
      <c r="B60" s="185" t="n"/>
      <c r="C60" s="185" t="n"/>
      <c r="D60" s="185" t="n"/>
      <c r="E60" s="185" t="n"/>
      <c r="F60" s="185" t="n"/>
    </row>
    <row r="61" s="71">
      <c r="A61" s="82" t="n"/>
      <c r="B61" s="185" t="n"/>
      <c r="C61" s="185" t="n"/>
      <c r="D61" s="185" t="n"/>
      <c r="E61" s="185" t="n"/>
      <c r="F61" s="185" t="n"/>
    </row>
    <row r="62">
      <c r="A62" s="80" t="inlineStr">
        <is>
          <t>5. DECISÕES DA SEMANA (uma por obra no mínimo; registrar também as decisões tomadas na reunião)</t>
        </is>
      </c>
      <c r="B62" s="80" t="n"/>
      <c r="C62" s="80" t="n"/>
      <c r="D62" s="80" t="n"/>
      <c r="E62" s="80" t="n"/>
    </row>
    <row r="63">
      <c r="A63" s="88" t="inlineStr">
        <is>
          <t>Decisão</t>
        </is>
      </c>
      <c r="B63" s="88" t="inlineStr">
        <is>
          <t>Dono</t>
        </is>
      </c>
      <c r="C63" s="88" t="inlineStr">
        <is>
          <t>Prazo</t>
        </is>
      </c>
      <c r="D63" s="88" t="inlineStr">
        <is>
          <t>Situação</t>
        </is>
      </c>
      <c r="E63" s="88" t="inlineStr">
        <is>
          <t>Observação</t>
        </is>
      </c>
    </row>
    <row r="64">
      <c r="A64" s="263" t="str">
        <f>'01A. GESTÃO DA SEMANA'!B23</f>
        <v>Começar em 19/10 pela terraplenagem (compactação e movimentação de solo) junto com o canteiro, com o pacote TERRA contratado, o layout do canteiro aprovado e a topografia protocolada (05C, R01, R05 e R14). O FoFo só começa depois que a SANEAGO aprovar o eventograma (R30). Sequência da lista do Felipe (15/10).</v>
      </c>
      <c r="B64" s="82" t="str">
        <f>'01A. GESTÃO DA SEMANA'!C23</f>
        <v>Tiago Marinho</v>
      </c>
      <c r="C64" s="264">
        <f>'01A. GESTÃO DA SEMANA'!D23</f>
        <v>46311.0</v>
      </c>
      <c r="D64" s="82" t="str">
        <f>'01A. GESTÃO DA SEMANA'!E23</f>
        <v>PROPOSTA</v>
      </c>
      <c r="E64" s="85" t="inlineStr">
        <is>
          <t>342 (01A)</t>
        </is>
      </c>
    </row>
    <row r="65">
      <c r="A65" s="263" t="str">
        <f>'01A. GESTÃO DA SEMANA'!B24</f>
        <v>Fechar o BM de outubro com o fiscal pela quantidade executada e confirmar se mede pelo contrato ou pelo cronograma CAESB (05C, R37 e R38).</v>
      </c>
      <c r="B65" s="82" t="str">
        <f>'01A. GESTÃO DA SEMANA'!C24</f>
        <v>Gerente da 343</v>
      </c>
      <c r="C65" s="264">
        <f>'01A. GESTÃO DA SEMANA'!D24</f>
        <v>46325.0</v>
      </c>
      <c r="D65" s="82" t="str">
        <f>'01A. GESTÃO DA SEMANA'!E24</f>
        <v>PROPOSTA</v>
      </c>
      <c r="E65" s="85" t="inlineStr">
        <is>
          <t>343 (01A)</t>
        </is>
      </c>
    </row>
    <row r="66">
      <c r="A66" s="263" t="str">
        <f>'01A. GESTÃO DA SEMANA'!B25</f>
        <v>Fechar o BM08 em 20/10 com o que estiver pronto (reservatório 7.7.5, cloro 7.4.13, subestação da ETA) e cobrar na SANEAGO a aprovação do projeto da ETA e da base da UTR, que liberam o 7.1.4 e a instalação da UTR (05C).</v>
      </c>
      <c r="B66" s="82" t="str">
        <f>'01A. GESTÃO DA SEMANA'!C25</f>
        <v>Thadeu</v>
      </c>
      <c r="C66" s="264">
        <f>'01A. GESTÃO DA SEMANA'!D25</f>
        <v>46315.0</v>
      </c>
      <c r="D66" s="82" t="str">
        <f>'01A. GESTÃO DA SEMANA'!E25</f>
        <v>PROPOSTA</v>
      </c>
      <c r="E66" s="85" t="inlineStr">
        <is>
          <t>281 (01A)</t>
        </is>
      </c>
    </row>
    <row r="67">
      <c r="A67" s="263" t="inlineStr">
        <is>
          <t>Nomear o apontador da 342 e o da 343</t>
        </is>
      </c>
      <c r="B67" s="82" t="inlineStr">
        <is>
          <t>Felipe</t>
        </is>
      </c>
      <c r="C67" s="264" t="n">
        <v>46311</v>
      </c>
      <c r="D67" s="82" t="inlineStr">
        <is>
          <t>ABERTA</t>
        </is>
      </c>
      <c r="E67" s="85" t="inlineStr">
        <is>
          <t>Sem apontamento as luzes de produção ficam SEM BASE.</t>
        </is>
      </c>
    </row>
    <row r="68">
      <c r="A68" s="263" t="inlineStr">
        <is>
          <t>Definir o limite de caixa negativo dos sócios (02. PARÂMETROS B11)</t>
        </is>
      </c>
      <c r="B68" s="82" t="inlineStr">
        <is>
          <t>Felipe</t>
        </is>
      </c>
      <c r="C68" s="264" t="n">
        <v>46314</v>
      </c>
      <c r="D68" s="82" t="inlineStr">
        <is>
          <t>ABERTA</t>
        </is>
      </c>
      <c r="E68" s="85" t="inlineStr">
        <is>
          <t>Sem limite a pergunta 9 fica SEM BASE.</t>
        </is>
      </c>
    </row>
    <row r="69">
      <c r="A69" s="263" t="inlineStr">
        <is>
          <t>Confirmar a margem-alvo (02. PARÂMETROS B12; rev2 usa 10%)</t>
        </is>
      </c>
      <c r="B69" s="82" t="inlineStr">
        <is>
          <t>Felipe</t>
        </is>
      </c>
      <c r="C69" s="264" t="n">
        <v>46315</v>
      </c>
      <c r="D69" s="82" t="inlineStr">
        <is>
          <t>ABERTA</t>
        </is>
      </c>
      <c r="E69" s="85" t="inlineStr">
        <is>
          <t>Usada na pergunta 5.</t>
        </is>
      </c>
    </row>
    <row r="70">
      <c r="A70" s="263" t="inlineStr">
        <is>
          <t>Nomear o gerente de contrato e o apontador da 343 e quem lança os custos pagos (08)</t>
        </is>
      </c>
      <c r="B70" s="82" t="inlineStr">
        <is>
          <t>Thadeu</t>
        </is>
      </c>
      <c r="C70" s="264" t="n">
        <v>46314</v>
      </c>
      <c r="D70" s="82" t="inlineStr">
        <is>
          <t>ABERTA</t>
        </is>
      </c>
      <c r="E70" s="85" t="inlineStr">
        <is>
          <t>Sem custo lançado as perguntas 1 e 7 ficam SEM BASE.</t>
        </is>
      </c>
    </row>
    <row r="71">
      <c r="A71" s="263" t="inlineStr">
        <is>
          <t>Confirmar a parte da TAF no consórcio TAF TECNOBOMBAS (03, F22; a rev3 usa 50%) e a regra de aporte quando a TECNOBOMBAS estiver sem caixa</t>
        </is>
      </c>
      <c r="B71" s="82" t="inlineStr">
        <is>
          <t>Thadeu</t>
        </is>
      </c>
      <c r="C71" s="264" t="n">
        <v>46314</v>
      </c>
      <c r="D71" s="82" t="inlineStr">
        <is>
          <t>ABERTA</t>
        </is>
      </c>
      <c r="E71" s="85" t="inlineStr">
        <is>
          <t>Aportes até 30/04: TAF com 52% (08D). Sem o termo do consórcio, o resultado da TAF na 281 não fecha. A aba APORTES soma R$ 88.300,00 a mais que o FINANCEIRO (11 linhas a conciliar entre os sócios).</t>
        </is>
      </c>
    </row>
    <row r="72">
      <c r="A72" s="263" t="inlineStr">
        <is>
          <t>Trazer o FINANCEIRO do consórcio de junho a outubro, dizer se os custos da pasta 'OBRA 298' (elétrica) entram na 281 e conferir os 56 lançamentos repetidos</t>
        </is>
      </c>
      <c r="B72" s="82" t="inlineStr">
        <is>
          <t>Financeiro TAF</t>
        </is>
      </c>
      <c r="C72" s="264" t="n">
        <v>46314</v>
      </c>
      <c r="D72" s="82" t="inlineStr">
        <is>
          <t>ABERTA</t>
        </is>
      </c>
      <c r="E72" s="85" t="inlineStr">
        <is>
          <t>Custo lançado só até 30/05/2026: P1 e P7 da 281 ficam SEM BASE.</t>
        </is>
      </c>
    </row>
    <row r="73">
      <c r="A73" s="263" t="inlineStr">
        <is>
          <t>Fazer o orçamento de custo (meta) da 281 sobre o saldo do contrato</t>
        </is>
      </c>
      <c r="B73" s="82" t="inlineStr">
        <is>
          <t>Felipe</t>
        </is>
      </c>
      <c r="C73" s="264" t="n">
        <v>46325</v>
      </c>
      <c r="D73" s="82" t="inlineStr">
        <is>
          <t>ABERTA</t>
        </is>
      </c>
      <c r="E73" s="85" t="inlineStr">
        <is>
          <t>Sem ele P1, P5 e P7 da 281 ficam SEM BASE (P9 só com o plano mensal de custo e o fluxo da 281). Na reunião da 281, perguntar quanto falta gastar por grupo e qual o resultado da TAF.</t>
        </is>
      </c>
    </row>
    <row r="74">
      <c r="A74" s="263" t="inlineStr">
        <is>
          <t>Decidir quando comprar o material dos quadros elétricos já aprovados (Thadeu quer em novembro; Rafael avisa que, comprado em novembro, só chega em janeiro)</t>
        </is>
      </c>
      <c r="B74" s="82" t="inlineStr">
        <is>
          <t>Thadeu</t>
        </is>
      </c>
      <c r="C74" s="264" t="n">
        <v>46318</v>
      </c>
      <c r="D74" s="82" t="inlineStr">
        <is>
          <t>ABERTA</t>
        </is>
      </c>
      <c r="E74" s="85" t="inlineStr">
        <is>
          <t>chat Mozarlândia CCM ETA 13/10 12:27-12:34; a elétrica está no fim do cronograma.</t>
        </is>
      </c>
    </row>
    <row r="75">
      <c r="A75" s="263" t="inlineStr">
        <is>
          <t>Dizer o que é a lista sem título da aba Plan1 do cronograma FF (R$ 3.288.000: reservatório, ETA projeto e pedido, ETA, subestação, hidráulico, cloro, UTR e RHO) e para quais BMs ela vale</t>
        </is>
      </c>
      <c r="B75" s="82" t="inlineStr">
        <is>
          <t>Thadeu</t>
        </is>
      </c>
      <c r="C75" s="264" t="n">
        <v>46315</v>
      </c>
      <c r="D75" s="82" t="inlineStr">
        <is>
          <t>ABERTA</t>
        </is>
      </c>
      <c r="E75" s="85" t="inlineStr">
        <is>
          <t>Plan1!G4:G13; nenhum chat explica a lista. A UTR (R$ 750 mil) passa do saldo do item 7.8 no cronograma (R$ 623.634,45).</t>
        </is>
      </c>
    </row>
    <row r="76">
      <c r="A76" s="263" t="inlineStr">
        <is>
          <t>Confirmar com o fiscal se há termo aditivo ou pedido de reprogramação no contrato 30000415/2025</t>
        </is>
      </c>
      <c r="B76" s="82" t="inlineStr">
        <is>
          <t>Thadeu</t>
        </is>
      </c>
      <c r="C76" s="264" t="n">
        <v>46318</v>
      </c>
      <c r="D76" s="82" t="inlineStr">
        <is>
          <t>ABERTA</t>
        </is>
      </c>
      <c r="E76" s="85" t="inlineStr">
        <is>
          <t>O cronograma FF está na base original (R$ 17.120.015,74, fim em 11/11/2027) e a linha 'Cronograma aditivado' está vazia (Tendencia C6 e K9:AG10).</t>
        </is>
      </c>
    </row>
    <row r="77" ht="60" customHeight="1" s="71">
      <c r="A77" s="263" t="inlineStr">
        <is>
          <t>Revisão de viabilidade da carteira na 1ª segunda de cada mês: decidir por obra seguir, renegociar ou parar quando a 342 tiver resultado previsto negativo, a 343 margem abaixo da meta (02 B12) ou a 281 estiver sem orçamento de custo</t>
        </is>
      </c>
      <c r="B77" s="82" t="inlineStr">
        <is>
          <t>Thadeu e Felipe</t>
        </is>
      </c>
      <c r="C77" s="264">
        <f>WORKDAY(IF((DATE(YEAR((DATA_GESTAO+3)),MONTH((DATA_GESTAO+3)),1)+MOD(8-WEEKDAY(DATE(YEAR((DATA_GESTAO+3)),MONTH((DATA_GESTAO+3)),1),2),7))&gt;=(DATA_GESTAO+3),(DATE(YEAR((DATA_GESTAO+3)),MONTH((DATA_GESTAO+3)),1)+MOD(8-WEEKDAY(DATE(YEAR((DATA_GESTAO+3)),MONTH((DATA_GESTAO+3)),1),2),7)),((EOMONTH((DATA_GESTAO+3),0)+1)+MOD(8-WEEKDAY((EOMONTH((DATA_GESTAO+3),0)+1),2),7)))-1,1,FERIADOS_281)</f>
        <v>46329.0</v>
      </c>
      <c r="D77" s="82" t="inlineStr">
        <is>
          <t>PROPOSTA</t>
        </is>
      </c>
      <c r="E77" s="85" t="str">
        <f>IF(C77-DATA_GESTAO&lt;=7,"É nesta semana. ","Próxima: "&amp;TEXT(C77,"dd/mm")&amp;". ")&amp;"342: o estudo interno estima "&amp;IF(ISNUMBER('04. PLANO DAS OBRAS'!$C$31),IF('04. PLANO DAS OBRAS'!$C$31&lt;0,"prejuízo de R$ "&amp;ROUND(-'04. PLANO DAS OBRAS'!$C$31/1000,0),"resultado de R$ "&amp;ROUND('04. PLANO DAS OBRAS'!$C$31/1000,0))&amp;" mil (04 C31)","SEM BASE")&amp;"; 343: margem prevista de "&amp;IF(AND(ISNUMBER('04. PLANO DAS OBRAS'!$D$32),N('04. PLANO DAS OBRAS'!$D$32)&lt;&gt;0),ROUND('04. PLANO DAS OBRAS'!$D$32*100,0)&amp;"% (04 D32), meta de "&amp;ROUND('02. PARÂMETROS'!$B$12*100,0)&amp;"%","SEM BASE")&amp;"; 281: "&amp;IF(N('04. PLANO DAS OBRAS'!$E$30)&gt;0,"orçamento de custo lançado (04 E30).","sem orçamento de custo (linha 73).")</f>
        <v>Próxima: 03/11. 342: o estudo interno estima prejuízo de R$ 231 mil (04 C31); 343: margem prevista de 23% (04 D32), meta de 10%; 281: sem orçamento de custo (linha 73).</v>
      </c>
    </row>
    <row r="78"/>
    <row r="79"/>
  </sheetData>
  <conditionalFormatting sqref="B3:D3">
    <cfRule type="expression" priority="1" dxfId="23">
      <formula>COUNTIF($B$3:$D$3,B3)&gt;1</formula>
    </cfRule>
  </conditionalFormatting>
  <dataValidations count="3">
    <dataValidation sqref="D64:D76 D77" showDropDown="0" showInputMessage="0" showErrorMessage="0" allowBlank="1" type="list">
      <formula1>"PROPOSTA,ABERTA,APROVADA,FEITA,RESOLVIDA,CANCELADA"</formula1>
    </dataValidation>
    <dataValidation sqref="B3:D3" showDropDown="0" showInputMessage="0" showErrorMessage="1" allowBlank="0" error="Prioridade 1, 2 ou 3." type="whole" errorStyle="stop" operator="between">
      <formula1>1</formula1>
      <formula2>3</formula2>
    </dataValidation>
    <dataValidation sqref="E3" showDropDown="0" showInputMessage="0" showErrorMessage="0" allowBlank="0" type="list">
      <formula1>"PROPOSTA,APROVADA"</formula1>
    </dataValidation>
  </dataValidations>
  <pageMargins left="0.3888888888888889" right="0.3888888888888889" top="0.3888888888888889" bottom="0.3888888888888889" header="0.31496062" footer="0.31496062"/>
  <pageSetup orientation="landscape" paperSize="8" scale="44"/>
  <drawing xmlns:r="http://schemas.openxmlformats.org/officeDocument/2006/relationships" r:id="rIdDrw1"/>
</worksheet>
</file>

<file path=xl/worksheets/sheet9.xml><?xml version="1.0" encoding="utf-8"?>
<worksheet xmlns="http://schemas.openxmlformats.org/spreadsheetml/2006/main">
  <sheetPr>
    <tabColor rgb="FF2E8B99"/>
    <outlinePr summaryBelow="1" summaryRight="1"/>
    <pageSetUpPr fitToPage="1"/>
  </sheetPr>
  <dimension ref="A1:M53"/>
  <sheetViews>
    <sheetView showGridLines="0" workbookViewId="0">
      <selection activeCell="A1" sqref="A1"/>
    </sheetView>
  </sheetViews>
  <sheetFormatPr baseColWidth="8" defaultRowHeight="12.75"/>
  <cols>
    <col width="52.7109375" customWidth="1" style="73" min="1" max="1"/>
    <col width="20.7109375" customWidth="1" style="73" min="2" max="2"/>
    <col width="20.7109375" customWidth="1" style="71" min="3" max="3"/>
    <col width="16.7109375" customWidth="1" style="73" min="4" max="4"/>
    <col width="16.7109375" customWidth="1" style="71" min="5" max="5"/>
    <col width="16.7109375" customWidth="1" style="71" min="6" max="6"/>
    <col width="16.7109375" customWidth="1" style="71" min="7" max="7"/>
    <col width="34.7109375" customWidth="1" style="73" min="8" max="8"/>
    <col width="20.7" customWidth="1" style="73" min="9" max="9"/>
    <col width="16.7" customWidth="1" style="71" min="10" max="10"/>
    <col width="16.7" customWidth="1" style="71" min="11" max="11"/>
    <col width="40.7" customWidth="1" style="71" min="12" max="12"/>
    <col width="20.7" customWidth="1" style="71" min="13" max="13"/>
    <col width="9.140625" customWidth="1" style="71" min="14" max="14"/>
    <col width="9.140625" customWidth="1" style="71" min="15" max="15"/>
    <col width="9.140625" customWidth="1" style="71" min="16" max="16"/>
    <col width="9.140625" customWidth="1" style="71" min="17" max="17"/>
    <col width="9.140625" customWidth="1" style="71" min="18" max="18"/>
    <col width="9.140625" customWidth="1" style="71" min="19" max="19"/>
    <col width="9.140625" customWidth="1" style="71" min="20" max="20"/>
    <col width="9.140625" customWidth="1" style="71" min="21" max="21"/>
    <col width="9.140625" customWidth="1" style="71" min="22" max="22"/>
    <col width="9.140625" customWidth="1" style="71" min="23" max="23"/>
    <col width="9.140625" customWidth="1" style="71" min="24" max="24"/>
    <col width="9.140625" customWidth="1" style="71" min="25" max="25"/>
    <col width="9.140625" customWidth="1" style="71" min="26" max="26"/>
    <col width="9.140625" customWidth="1" style="71" min="27" max="27"/>
    <col width="9.140625" customWidth="1" style="71" min="28" max="28"/>
    <col width="9.140625" customWidth="1" style="71" min="29" max="29"/>
    <col width="9.140625" customWidth="1" style="71" min="30" max="30"/>
    <col width="9.140625" customWidth="1" style="71" min="31" max="31"/>
    <col width="9.140625" customWidth="1" style="71" min="32" max="32"/>
    <col width="9.140625" customWidth="1" style="71" min="33" max="33"/>
    <col width="9.140625" customWidth="1" style="71" min="34" max="34"/>
    <col width="9.140625" customWidth="1" style="71" min="35" max="35"/>
    <col width="9.140625" customWidth="1" style="71" min="36" max="36"/>
    <col width="9.140625" customWidth="1" style="71" min="37" max="37"/>
    <col width="9.140625" customWidth="1" style="71" min="38" max="38"/>
    <col width="9.140625" customWidth="1" style="71" min="39" max="39"/>
    <col width="9.140625" customWidth="1" style="71" min="40" max="40"/>
    <col width="9.140625" customWidth="1" style="71" min="41" max="41"/>
    <col width="9.140625" customWidth="1" style="71" min="42" max="42"/>
    <col width="9.140625" customWidth="1" style="71" min="43" max="43"/>
    <col width="9.140625" customWidth="1" style="71" min="44" max="44"/>
    <col width="9.140625" customWidth="1" style="71" min="45" max="45"/>
    <col width="9.140625" customWidth="1" style="71" min="46" max="46"/>
    <col width="9.140625" customWidth="1" style="71" min="47" max="47"/>
    <col width="9.140625" customWidth="1" style="71" min="48" max="48"/>
    <col width="9.140625" customWidth="1" style="71" min="49" max="49"/>
    <col width="9.140625" customWidth="1" style="71" min="50" max="50"/>
    <col width="9.140625" customWidth="1" style="71" min="51" max="51"/>
    <col width="9.140625" customWidth="1" style="71" min="52" max="52"/>
    <col width="9.140625" customWidth="1" style="71" min="53" max="53"/>
    <col width="9.140625" customWidth="1" style="71" min="54" max="54"/>
    <col width="9.140625" customWidth="1" style="71" min="55" max="55"/>
    <col width="9.140625" customWidth="1" style="71" min="56" max="56"/>
    <col width="9.140625" customWidth="1" style="71" min="57" max="57"/>
    <col width="9.140625" customWidth="1" style="71" min="58" max="58"/>
    <col width="9.140625" customWidth="1" style="71" min="59" max="59"/>
    <col width="9.140625" customWidth="1" style="71" min="60" max="60"/>
  </cols>
  <sheetData>
    <row r="1" ht="24" customHeight="1" s="71"/>
    <row r="2" ht="20.25" customHeight="1" s="71">
      <c r="A2" s="74" t="inlineStr">
        <is>
          <t>LINHA DE BASE TAF: o antes e o depois</t>
        </is>
      </c>
    </row>
    <row r="3" ht="40" customHeight="1" s="71">
      <c r="A3" s="78" t="inlineStr">
        <is>
          <t>As colunas BASE são valores congelados (342: re-base em 15/10/2026 sobre o estudo REV13 e o eventograma Anexo VII; 343: 10/10/2026; 281: 16/10/2026). As colunas HOJE são fórmulas. Comparar a cada fechamento de mês. Não editar as colunas cinza.</t>
        </is>
      </c>
    </row>
    <row r="4"/>
    <row r="5" ht="39.95" customHeight="1" s="71">
      <c r="A5" s="88" t="inlineStr">
        <is>
          <t>Indicador</t>
        </is>
      </c>
      <c r="B5" s="88" t="inlineStr">
        <is>
          <t>Base 342 (REV13, 15/10/2026)</t>
        </is>
      </c>
      <c r="C5" s="88" t="inlineStr">
        <is>
          <t>Base 343 (10/10/2026)</t>
        </is>
      </c>
      <c r="D5" s="88" t="inlineStr">
        <is>
          <t>Hoje 342</t>
        </is>
      </c>
      <c r="E5" s="88" t="inlineStr">
        <is>
          <t>Hoje 343</t>
        </is>
      </c>
      <c r="F5" s="88" t="inlineStr">
        <is>
          <t>Variação 342</t>
        </is>
      </c>
      <c r="G5" s="88" t="inlineStr">
        <is>
          <t>Variação 343</t>
        </is>
      </c>
      <c r="H5" s="88" t="inlineStr">
        <is>
          <t>De onde vem</t>
        </is>
      </c>
      <c r="I5" s="88" t="inlineStr">
        <is>
          <t>Base 281 (16/10/2026)</t>
        </is>
      </c>
      <c r="J5" s="88" t="inlineStr">
        <is>
          <t>Hoje 281</t>
        </is>
      </c>
      <c r="K5" s="88" t="inlineStr">
        <is>
          <t>Variação 281</t>
        </is>
      </c>
      <c r="L5" s="88" t="inlineStr">
        <is>
          <t>De onde vem 281</t>
        </is>
      </c>
      <c r="M5" s="88" t="inlineStr">
        <is>
          <t>Base anterior 342 (REV12, 15/10/2026)</t>
        </is>
      </c>
    </row>
    <row r="6">
      <c r="A6" s="73" t="inlineStr">
        <is>
          <t>Valor do contrato (R$)</t>
        </is>
      </c>
      <c r="B6" s="201" t="n">
        <v>3258000</v>
      </c>
      <c r="C6" s="201" t="n">
        <v>5226634.03</v>
      </c>
      <c r="D6" s="145">
        <f>'03. CONTRATOS'!$B$8</f>
        <v>3258000</v>
      </c>
      <c r="E6" s="145">
        <f>'03. CONTRATOS'!$D$8</f>
        <v>5226634.03</v>
      </c>
      <c r="F6" s="145">
        <f>IF(AND(ISNUMBER(B6),ISNUMBER(D6)),D6-B6,"")</f>
        <v>0</v>
      </c>
      <c r="G6" s="145">
        <f>IF(AND(ISNUMBER(C6),ISNUMBER(E6)),E6-C6,"")</f>
        <v>0</v>
      </c>
      <c r="H6" s="197" t="inlineStr">
        <is>
          <t>03. CONTRATOS</t>
        </is>
      </c>
      <c r="I6" s="201" t="n">
        <v>17120015.74</v>
      </c>
      <c r="J6" s="145">
        <f>'03. CONTRATOS'!$F$8</f>
        <v>17120015.74</v>
      </c>
      <c r="K6" s="145">
        <f>IF(AND(ISNUMBER(I6),ISNUMBER(J6)),J6-I6,"")</f>
        <v>0</v>
      </c>
      <c r="L6" s="197" t="inlineStr">
        <is>
          <t>03. CONTRATOS F8</t>
        </is>
      </c>
      <c r="M6" s="201" t="n">
        <v>3258000</v>
      </c>
    </row>
    <row r="7">
      <c r="A7" s="73" t="inlineStr">
        <is>
          <t>Valor do cronograma (R$)</t>
        </is>
      </c>
      <c r="B7" s="201" t="n">
        <v>3257970.74</v>
      </c>
      <c r="C7" s="201" t="n">
        <v>5279428.34</v>
      </c>
      <c r="D7" s="145">
        <f>'CRONOGRAMA PROJECT'!$P$49</f>
        <v>3257970.74</v>
      </c>
      <c r="E7" s="145">
        <f>'CRONOGRAMA PROJECT'!$P$50</f>
        <v>5279428.34</v>
      </c>
      <c r="F7" s="145">
        <f>IF(AND(ISNUMBER(B7),ISNUMBER(D7)),D7-B7,"")</f>
        <v>0</v>
      </c>
      <c r="G7" s="145">
        <f>IF(AND(ISNUMBER(C7),ISNUMBER(E7)),E7-C7,"")</f>
        <v>0</v>
      </c>
      <c r="H7" s="197" t="inlineStr">
        <is>
          <t>CRONOGRAMA PROJECT, grade</t>
        </is>
      </c>
      <c r="I7" s="201" t="n">
        <v>17120015.74</v>
      </c>
      <c r="J7" s="145">
        <f>'04. PLANO DAS OBRAS'!$AA$42</f>
        <v>17120015.74</v>
      </c>
      <c r="K7" s="145">
        <f>IF(AND(ISNUMBER(I7),ISNUMBER(J7)),J7-I7,"")</f>
        <v>0</v>
      </c>
      <c r="L7" s="197" t="inlineStr">
        <is>
          <t>04 linha 42 (cronograma FF da SANEAGO)</t>
        </is>
      </c>
      <c r="M7" s="201" t="n">
        <v>3257970.74</v>
      </c>
    </row>
    <row r="8">
      <c r="A8" s="73" t="inlineStr">
        <is>
          <t>Cronograma menos contrato (R$)</t>
        </is>
      </c>
      <c r="B8" s="202" t="n">
        <v>-29.26</v>
      </c>
      <c r="C8" s="202" t="n">
        <v>52794.30999999959</v>
      </c>
      <c r="D8" s="198">
        <f>'CRONOGRAMA PROJECT'!$P$49-'03. CONTRATOS'!$B$8</f>
        <v>-29.2599999997765</v>
      </c>
      <c r="E8" s="198">
        <f>'CRONOGRAMA PROJECT'!$P$50-'03. CONTRATOS'!$D$8</f>
        <v>52794.3099999996</v>
      </c>
      <c r="F8" s="198">
        <f>IF(AND(ISNUMBER(B8),ISNUMBER(D8)),D8-B8,"")</f>
        <v>2.23518981101734e-10</v>
      </c>
      <c r="G8" s="198">
        <f>IF(AND(ISNUMBER(C8),ISNUMBER(E8)),E8-C8,"")</f>
        <v>0</v>
      </c>
      <c r="H8" s="197" t="inlineStr">
        <is>
          <t>CRONOGRAMA PROJECT</t>
        </is>
      </c>
      <c r="I8" s="202" t="n">
        <v>0</v>
      </c>
      <c r="J8" s="198">
        <f>'04. PLANO DAS OBRAS'!$AA$42-'03. CONTRATOS'!$F$8</f>
        <v>0</v>
      </c>
      <c r="K8" s="198">
        <f>IF(AND(ISNUMBER(I8),ISNUMBER(J8)),J8-I8,"")</f>
        <v>0</v>
      </c>
      <c r="L8" s="197" t="inlineStr">
        <is>
          <t>04 e 03</t>
        </is>
      </c>
      <c r="M8" s="202" t="n">
        <v>-29.26</v>
      </c>
    </row>
    <row r="9">
      <c r="A9" s="73" t="inlineStr">
        <is>
          <t>Medição prevista total do estudo (R$)</t>
        </is>
      </c>
      <c r="B9" s="201" t="n">
        <v>3257970.74</v>
      </c>
      <c r="C9" s="201" t="n">
        <v>5234011.093966528</v>
      </c>
      <c r="D9" s="145">
        <f>'FLUXO PROJETADO TAF'!$S$23</f>
        <v>3257970.74</v>
      </c>
      <c r="E9" s="145">
        <f>'FLUXO PROJETADO TAF'!$S$45</f>
        <v>5234011.09</v>
      </c>
      <c r="F9" s="145">
        <f>IF(AND(ISNUMBER(B9),ISNUMBER(D9)),D9-B9,"")</f>
        <v>0</v>
      </c>
      <c r="G9" s="145">
        <f>IF(AND(ISNUMBER(C9),ISNUMBER(E9)),E9-C9,"")</f>
        <v>-0.00396652799099684</v>
      </c>
      <c r="H9" s="197" t="inlineStr">
        <is>
          <t>FLUXO PROJETADO TAF</t>
        </is>
      </c>
      <c r="I9" s="201" t="n">
        <v>17120015.74</v>
      </c>
      <c r="J9" s="145">
        <f>'04. PLANO DAS OBRAS'!$AA$42</f>
        <v>17120015.74</v>
      </c>
      <c r="K9" s="145">
        <f>IF(AND(ISNUMBER(I9),ISNUMBER(J9)),J9-I9,"")</f>
        <v>0</v>
      </c>
      <c r="L9" s="197" t="inlineStr">
        <is>
          <t>sem estudo interno: vale o cronograma FF (04 linha 42)</t>
        </is>
      </c>
      <c r="M9" s="201" t="n">
        <v>3257970.74</v>
      </c>
    </row>
    <row r="10">
      <c r="A10" s="73" t="inlineStr">
        <is>
          <t>Saídas previstas totais do estudo (R$)</t>
        </is>
      </c>
      <c r="B10" s="201" t="n">
        <v>3212459.22</v>
      </c>
      <c r="C10" s="201" t="n">
        <v>3605617.707776363</v>
      </c>
      <c r="D10" s="145">
        <f>'FLUXO PROJETADO TAF'!$S$32</f>
        <v>3212459.22</v>
      </c>
      <c r="E10" s="145">
        <f>'FLUXO PROJETADO TAF'!$S$54</f>
        <v>3605617.7</v>
      </c>
      <c r="F10" s="145">
        <f>IF(AND(ISNUMBER(B10),ISNUMBER(D10)),D10-B10,"")</f>
        <v>0</v>
      </c>
      <c r="G10" s="145">
        <f>IF(AND(ISNUMBER(C10),ISNUMBER(E10)),E10-C10,"")</f>
        <v>-0.00777636328712106</v>
      </c>
      <c r="H10" s="197" t="inlineStr">
        <is>
          <t>FLUXO PROJETADO TAF</t>
        </is>
      </c>
      <c r="I10" s="201" t="inlineStr">
        <is>
          <t>SEM BASE</t>
        </is>
      </c>
      <c r="J10" s="145" t="str">
        <f>IF(N('04. PLANO DAS OBRAS'!$E$30)=0,"SEM BASE",'04. PLANO DAS OBRAS'!$E$30)</f>
        <v>SEM BASE</v>
      </c>
      <c r="K10" s="145">
        <f>IF(AND(ISNUMBER(I10),ISNUMBER(J10)),J10-I10,"")</f>
      </c>
      <c r="L10" s="197" t="inlineStr">
        <is>
          <t>04 E30: a 281 não tem orçamento de custo (Felipe define quem orça)</t>
        </is>
      </c>
      <c r="M10" s="201" t="n">
        <v>3011025.91</v>
      </c>
    </row>
    <row r="11">
      <c r="A11" s="73" t="inlineStr">
        <is>
          <t>Contrato menos saídas previstas (antes de tributos, R$)</t>
        </is>
      </c>
      <c r="B11" s="202" t="n">
        <v>45540.78</v>
      </c>
      <c r="C11" s="202" t="n">
        <v>1621016.322223637</v>
      </c>
      <c r="D11" s="198">
        <f>'03. CONTRATOS'!$B$8-'FLUXO PROJETADO TAF'!$S$32</f>
        <v>45540.7799999998</v>
      </c>
      <c r="E11" s="198">
        <f>'03. CONTRATOS'!$D$8-'FLUXO PROJETADO TAF'!$S$54</f>
        <v>1621016.33</v>
      </c>
      <c r="F11" s="198">
        <f>IF(AND(ISNUMBER(B11),ISNUMBER(D11)),D11-B11,"")</f>
        <v>-2.03726813197136e-10</v>
      </c>
      <c r="G11" s="198">
        <f>IF(AND(ISNUMBER(C11),ISNUMBER(E11)),E11-C11,"")</f>
        <v>0.0077763635199517</v>
      </c>
      <c r="H11" s="197" t="inlineStr">
        <is>
          <t>03 e FLUXO</t>
        </is>
      </c>
      <c r="I11" s="202" t="inlineStr">
        <is>
          <t>SEM BASE</t>
        </is>
      </c>
      <c r="J11" s="198" t="str">
        <f>IF(ISNUMBER(J10),'03. CONTRATOS'!$F$8-J10,"SEM BASE")</f>
        <v>SEM BASE</v>
      </c>
      <c r="K11" s="198">
        <f>IF(AND(ISNUMBER(I11),ISNUMBER(J11)),J11-I11,"")</f>
      </c>
      <c r="L11" s="197" t="inlineStr">
        <is>
          <t>03 e 04</t>
        </is>
      </c>
      <c r="M11" s="202" t="n">
        <v>246974.09</v>
      </c>
    </row>
    <row r="12">
      <c r="A12" s="73" t="inlineStr">
        <is>
          <t>Pior saldo de caixa do cenário ativo (R$)</t>
        </is>
      </c>
      <c r="B12" s="202" t="n">
        <v>-1151141.89</v>
      </c>
      <c r="C12" s="202" t="n">
        <v>-820642.779141132</v>
      </c>
      <c r="D12" s="198">
        <f>'FLUXO PROJETADO TAF'!$C$14</f>
        <v>-1151141.8869</v>
      </c>
      <c r="E12" s="198">
        <f>'FLUXO PROJETADO TAF'!$D$14</f>
        <v>-1401325.62</v>
      </c>
      <c r="F12" s="198">
        <f>IF(AND(ISNUMBER(B12),ISNUMBER(D12)),D12-B12,"")</f>
        <v>0.00310000008903444</v>
      </c>
      <c r="G12" s="198">
        <f>IF(AND(ISNUMBER(C12),ISNUMBER(E12)),E12-C12,"")</f>
        <v>-580682.840858868</v>
      </c>
      <c r="H12" s="197" t="inlineStr">
        <is>
          <t>FLUXO PROJETADO TAF. 343: a variação vem da regra de recebimento corrigida em 15/10 (NF no 1º dia útil do mês seguinte + 30 dias, 03 D14), não de desempenho</t>
        </is>
      </c>
      <c r="I12" s="202" t="inlineStr">
        <is>
          <t>SEM BASE</t>
        </is>
      </c>
      <c r="J12" s="198" t="inlineStr">
        <is>
          <t>SEM BASE</t>
        </is>
      </c>
      <c r="K12" s="198">
        <f>IF(AND(ISNUMBER(I12),ISNUMBER(J12)),J12-I12,"")</f>
      </c>
      <c r="L12" s="197" t="inlineStr">
        <is>
          <t>o FLUXO PROJETADO TAF não tem a 281</t>
        </is>
      </c>
      <c r="M12" s="202" t="n">
        <v>-1058810.6</v>
      </c>
    </row>
    <row r="13">
      <c r="A13" s="73" t="inlineStr">
        <is>
          <t>Mês do pior saldo</t>
        </is>
      </c>
      <c r="B13" s="265" t="n">
        <v>46419</v>
      </c>
      <c r="C13" s="203" t="n">
        <v>46296</v>
      </c>
      <c r="D13" s="192">
        <f>'FLUXO PROJETADO TAF'!$C$15</f>
        <v>46419.0</v>
      </c>
      <c r="E13" s="192">
        <f>'FLUXO PROJETADO TAF'!$D$15</f>
        <v>46327.0</v>
      </c>
      <c r="F13" s="189">
        <f>IF(AND(ISNUMBER(B13),ISNUMBER(D13)),D13-B13,"")</f>
        <v>0</v>
      </c>
      <c r="G13" s="189">
        <f>IF(AND(ISNUMBER(C13),ISNUMBER(E13)),E13-C13,"")</f>
        <v>31</v>
      </c>
      <c r="H13" s="197" t="inlineStr">
        <is>
          <t>FLUXO PROJETADO TAF. 343: a variação vem da regra de recebimento corrigida em 15/10 (NF no 1º dia útil do mês seguinte + 30 dias, 03 D14), não de desempenho</t>
        </is>
      </c>
      <c r="I13" s="265" t="inlineStr">
        <is>
          <t>SEM BASE</t>
        </is>
      </c>
      <c r="J13" s="192" t="inlineStr">
        <is>
          <t>SEM BASE</t>
        </is>
      </c>
      <c r="K13" s="189">
        <f>IF(AND(ISNUMBER(I13),ISNUMBER(J13)),J13-I13,"")</f>
      </c>
      <c r="L13" s="197" t="inlineStr">
        <is>
          <t>o FLUXO PROJETADO TAF não tem a 281</t>
        </is>
      </c>
      <c r="M13" s="265" t="n">
        <v>46419</v>
      </c>
    </row>
    <row r="14">
      <c r="A14" s="73" t="inlineStr">
        <is>
          <t>Capital de giro necessário (R$)</t>
        </is>
      </c>
      <c r="B14" s="201" t="n">
        <v>1323813.17</v>
      </c>
      <c r="C14" s="201" t="n">
        <v>943739.1960123017</v>
      </c>
      <c r="D14" s="145">
        <f>'FLUXO PROJETADO TAF'!$C$16</f>
        <v>1323813.169935</v>
      </c>
      <c r="E14" s="145">
        <f>'FLUXO PROJETADO TAF'!$D$16</f>
        <v>1611524.463</v>
      </c>
      <c r="F14" s="145">
        <f>IF(AND(ISNUMBER(B14),ISNUMBER(D14)),D14-B14,"")</f>
        <v>-6.50002621114254e-05</v>
      </c>
      <c r="G14" s="145">
        <f>IF(AND(ISNUMBER(C14),ISNUMBER(E14)),E14-C14,"")</f>
        <v>667785.266987698</v>
      </c>
      <c r="H14" s="197" t="inlineStr">
        <is>
          <t>FLUXO PROJETADO TAF. 343: a variação vem da regra de recebimento corrigida em 15/10 (NF no 1º dia útil do mês seguinte + 30 dias, 03 D14), não de desempenho</t>
        </is>
      </c>
      <c r="I14" s="201" t="inlineStr">
        <is>
          <t>SEM BASE</t>
        </is>
      </c>
      <c r="J14" s="145" t="inlineStr">
        <is>
          <t>SEM BASE</t>
        </is>
      </c>
      <c r="K14" s="145">
        <f>IF(AND(ISNUMBER(I14),ISNUMBER(J14)),J14-I14,"")</f>
      </c>
      <c r="L14" s="197" t="inlineStr">
        <is>
          <t>o FLUXO PROJETADO TAF não tem a 281</t>
        </is>
      </c>
      <c r="M14" s="201" t="n">
        <v>1217632.19</v>
      </c>
    </row>
    <row r="15">
      <c r="A15" s="73" t="inlineStr">
        <is>
          <t>Pico de pessoas previsto</t>
        </is>
      </c>
      <c r="B15" s="204" t="n">
        <v>43</v>
      </c>
      <c r="C15" s="204" t="n">
        <v>11.3108</v>
      </c>
      <c r="D15" s="199">
        <f>'HISTOGRAMA PLANEJADO'!$B$24</f>
        <v>43</v>
      </c>
      <c r="E15" s="199">
        <f>'HISTOGRAMA PLANEJADO'!$B$45</f>
        <v>11.3108</v>
      </c>
      <c r="F15" s="199">
        <f>IF(AND(ISNUMBER(B15),ISNUMBER(D15)),D15-B15,"")</f>
        <v>0</v>
      </c>
      <c r="G15" s="199">
        <f>IF(AND(ISNUMBER(C15),ISNUMBER(E15)),E15-C15,"")</f>
        <v>0</v>
      </c>
      <c r="H15" s="197" t="inlineStr">
        <is>
          <t>HISTOGRAMA PLANEJADO</t>
        </is>
      </c>
      <c r="I15" s="204" t="inlineStr">
        <is>
          <t>SEM BASE</t>
        </is>
      </c>
      <c r="J15" s="199" t="str">
        <f>IF(COUNT('HISTOGRAMA PLANEJADO'!$Q$8:$Q$23)=0,"SEM BASE",MAX('HISTOGRAMA PLANEJADO'!$Q$8:$Q$23))</f>
        <v>SEM BASE</v>
      </c>
      <c r="K15" s="199">
        <f>IF(AND(ISNUMBER(I15),ISNUMBER(J15)),J15-I15,"")</f>
      </c>
      <c r="L15" s="197" t="inlineStr">
        <is>
          <t>HISTOGRAMA, bloco TAF EMPRESA, coluna Q (Ricarlos informa)</t>
        </is>
      </c>
      <c r="M15" s="204" t="n">
        <v>41</v>
      </c>
    </row>
    <row r="16">
      <c r="A16" s="73" t="inlineStr">
        <is>
          <t>Etapas do contrato (qtd)</t>
        </is>
      </c>
      <c r="B16" s="205" t="n">
        <v>11</v>
      </c>
      <c r="C16" s="205" t="n">
        <v>5</v>
      </c>
      <c r="D16" s="189">
        <f>COUNTIFS('CRONOGRAMA PROJECT'!$B$7:$B$27,"342",'CRONOGRAMA PROJECT'!$BV$7:$BV$27,"Contrato")</f>
        <v>11</v>
      </c>
      <c r="E16" s="189">
        <f>COUNTIFS('CRONOGRAMA PROJECT'!$B$7:$B$27,"343",'CRONOGRAMA PROJECT'!$BV$7:$BV$27,"Contrato")</f>
        <v>5</v>
      </c>
      <c r="F16" s="189">
        <f>IF(AND(ISNUMBER(B16),ISNUMBER(D16)),D16-B16,"")</f>
        <v>0</v>
      </c>
      <c r="G16" s="189">
        <f>IF(AND(ISNUMBER(C16),ISNUMBER(E16)),E16-C16,"")</f>
        <v>0</v>
      </c>
      <c r="H16" s="197" t="inlineStr">
        <is>
          <t>CRONOGRAMA PROJECT</t>
        </is>
      </c>
      <c r="I16" s="205" t="inlineStr">
        <is>
          <t>SEM BASE</t>
        </is>
      </c>
      <c r="J16" s="189" t="inlineStr">
        <is>
          <t>fora do CRONOGRAMA PROJECT</t>
        </is>
      </c>
      <c r="K16" s="189">
        <f>IF(AND(ISNUMBER(I16),ISNUMBER(J16)),J16-I16,"")</f>
      </c>
      <c r="L16" s="197" t="inlineStr">
        <is>
          <t>o eventograma da 281 não está no CRONOGRAMA PROJECT</t>
        </is>
      </c>
      <c r="M16" s="205" t="n">
        <v>11</v>
      </c>
    </row>
    <row r="17">
      <c r="A17" s="73" t="inlineStr">
        <is>
          <t>Início do cronograma</t>
        </is>
      </c>
      <c r="B17" s="265" t="n">
        <v>46268</v>
      </c>
      <c r="C17" s="206" t="n">
        <v>46266</v>
      </c>
      <c r="D17" s="200">
        <f>_xlfn.MINIFS('CRONOGRAMA PROJECT'!$D$7:$D$27,'CRONOGRAMA PROJECT'!$BW$7:$BW$27,"342")</f>
        <v>46268.0</v>
      </c>
      <c r="E17" s="200">
        <f>_xlfn.MINIFS('CRONOGRAMA PROJECT'!$D$7:$D$27,'CRONOGRAMA PROJECT'!$BW$7:$BW$27,"343")</f>
        <v>46266.0</v>
      </c>
      <c r="F17" s="189">
        <f>IF(AND(ISNUMBER(B17),ISNUMBER(D17)),D17-B17,"")</f>
        <v>0</v>
      </c>
      <c r="G17" s="189">
        <f>IF(AND(ISNUMBER(C17),ISNUMBER(E17)),E17-C17,"")</f>
        <v>0</v>
      </c>
      <c r="H17" s="197" t="inlineStr">
        <is>
          <t>CRONOGRAMA PROJECT</t>
        </is>
      </c>
      <c r="I17" s="265" t="n">
        <v>46042</v>
      </c>
      <c r="J17" s="97">
        <f>'03. CONTRATOS'!$F$10</f>
        <v>46042.0</v>
      </c>
      <c r="K17" s="189">
        <f>IF(AND(ISNUMBER(I17),ISNUMBER(J17)),J17-I17,"")</f>
        <v>0</v>
      </c>
      <c r="L17" s="197" t="inlineStr">
        <is>
          <t>03 F10 (ordem de serviço)</t>
        </is>
      </c>
      <c r="M17" s="265" t="n">
        <v>46268</v>
      </c>
    </row>
    <row r="18">
      <c r="A18" s="73" t="inlineStr">
        <is>
          <t>Fim do cronograma</t>
        </is>
      </c>
      <c r="B18" s="265" t="n">
        <v>46626</v>
      </c>
      <c r="C18" s="206" t="n">
        <v>46538</v>
      </c>
      <c r="D18" s="200">
        <f>_xlfn.MAXIFS('CRONOGRAMA PROJECT'!$E$7:$E$27,'CRONOGRAMA PROJECT'!$BW$7:$BW$27,"342")</f>
        <v>46626.0</v>
      </c>
      <c r="E18" s="200">
        <f>_xlfn.MAXIFS('CRONOGRAMA PROJECT'!$E$7:$E$27,'CRONOGRAMA PROJECT'!$BW$7:$BW$27,"343")</f>
        <v>46538.0</v>
      </c>
      <c r="F18" s="189">
        <f>IF(AND(ISNUMBER(B18),ISNUMBER(D18)),D18-B18,"")</f>
        <v>0</v>
      </c>
      <c r="G18" s="189">
        <f>IF(AND(ISNUMBER(C18),ISNUMBER(E18)),E18-C18,"")</f>
        <v>0</v>
      </c>
      <c r="H18" s="197" t="inlineStr">
        <is>
          <t>CRONOGRAMA PROJECT</t>
        </is>
      </c>
      <c r="I18" s="203" t="n">
        <v>46692</v>
      </c>
      <c r="J18" s="192">
        <f>_xlfn.MAXIFS('04. PLANO DAS OBRAS'!$C$41:$Z$41,'04. PLANO DAS OBRAS'!$C$42:$Z$42,"&gt;0")</f>
        <v>46692.0</v>
      </c>
      <c r="K18" s="189">
        <f>IF(AND(ISNUMBER(I18),ISNUMBER(J18)),J18-I18,"")</f>
        <v>0</v>
      </c>
      <c r="L18" s="197" t="inlineStr">
        <is>
          <t>04 linha 41: último mês com medição prevista</t>
        </is>
      </c>
      <c r="M18" s="265" t="n">
        <v>46626</v>
      </c>
    </row>
    <row r="19">
      <c r="A19" s="73" t="inlineStr">
        <is>
          <t>Fim do prazo contratual</t>
        </is>
      </c>
      <c r="B19" s="265" t="n">
        <v>46625</v>
      </c>
      <c r="C19" s="206" t="n">
        <v>46535</v>
      </c>
      <c r="D19" s="200">
        <f>'03. CONTRATOS'!$B$20</f>
        <v>46625.0</v>
      </c>
      <c r="E19" s="200">
        <f>'03. CONTRATOS'!$D$20</f>
        <v>46535.0</v>
      </c>
      <c r="F19" s="189">
        <f>IF(AND(ISNUMBER(B19),ISNUMBER(D19)),D19-B19,"")</f>
        <v>0</v>
      </c>
      <c r="G19" s="189">
        <f>IF(AND(ISNUMBER(C19),ISNUMBER(E19)),E19-C19,"")</f>
        <v>0</v>
      </c>
      <c r="H19" s="197" t="inlineStr">
        <is>
          <t>03. CONTRATOS</t>
        </is>
      </c>
      <c r="I19" s="265" t="n">
        <v>46702</v>
      </c>
      <c r="J19" s="97">
        <f>'03. CONTRATOS'!$F$10+'03. CONTRATOS'!$F$11</f>
        <v>46702.0</v>
      </c>
      <c r="K19" s="189">
        <f>IF(AND(ISNUMBER(I19),ISNUMBER(J19)),J19-I19,"")</f>
        <v>0</v>
      </c>
      <c r="L19" s="197" t="inlineStr">
        <is>
          <t>03 F10 + F11: OS + 660 dias (Anexo VII; fim do BM21)</t>
        </is>
      </c>
      <c r="M19" s="265" t="n">
        <v>46625</v>
      </c>
    </row>
    <row r="20">
      <c r="A20" s="73" t="inlineStr">
        <is>
          <t>Etapas sem predecessora (qtd)</t>
        </is>
      </c>
      <c r="B20" s="205" t="n">
        <v>11</v>
      </c>
      <c r="C20" s="205" t="n">
        <v>5</v>
      </c>
      <c r="D20" s="189">
        <f>COUNTIFS('CRONOGRAMA PROJECT'!$B$7:$B$27,"342",'CRONOGRAMA PROJECT'!$BV$7:$BV$27,"Contrato",'CRONOGRAMA PROJECT'!$G$7:$G$27,"",'CRONOGRAMA PROJECT'!$H$7:$H$27,"",'CRONOGRAMA PROJECT'!$I$7:$I$27,"")</f>
        <v>11</v>
      </c>
      <c r="E20" s="189">
        <f>COUNTIFS('CRONOGRAMA PROJECT'!$B$7:$B$27,"343",'CRONOGRAMA PROJECT'!$BV$7:$BV$27,"Contrato",'CRONOGRAMA PROJECT'!$G$7:$G$27,"",'CRONOGRAMA PROJECT'!$H$7:$H$27,"",'CRONOGRAMA PROJECT'!$I$7:$I$27,"")</f>
        <v>5</v>
      </c>
      <c r="F20" s="189">
        <f>IF(AND(ISNUMBER(B20),ISNUMBER(D20)),D20-B20,"")</f>
        <v>0</v>
      </c>
      <c r="G20" s="189">
        <f>IF(AND(ISNUMBER(C20),ISNUMBER(E20)),E20-C20,"")</f>
        <v>0</v>
      </c>
      <c r="H20" s="197" t="inlineStr">
        <is>
          <t>CRONOGRAMA PROJECT</t>
        </is>
      </c>
      <c r="I20" s="205" t="inlineStr">
        <is>
          <t>SEM BASE</t>
        </is>
      </c>
      <c r="J20" s="189" t="inlineStr">
        <is>
          <t>fora do CRONOGRAMA PROJECT</t>
        </is>
      </c>
      <c r="K20" s="189">
        <f>IF(AND(ISNUMBER(I20),ISNUMBER(J20)),J20-I20,"")</f>
      </c>
      <c r="L20" s="197" t="inlineStr">
        <is>
          <t>o eventograma da 281 não está no CRONOGRAMA PROJECT</t>
        </is>
      </c>
      <c r="M20" s="205" t="n">
        <v>11</v>
      </c>
    </row>
    <row r="21">
      <c r="A21" s="73" t="inlineStr">
        <is>
          <t>Medido até o corte (R$, 06)</t>
        </is>
      </c>
      <c r="B21" s="201" t="inlineStr">
        <is>
          <t>sem lançamento</t>
        </is>
      </c>
      <c r="C21" s="201" t="inlineStr">
        <is>
          <t>sem lançamento</t>
        </is>
      </c>
      <c r="D21" s="145" t="str">
        <f>IF(COUNTIFS('06. MEDIÇÃO (BM)'!$B$5:$B$44,"342",'06. MEDIÇÃO (BM)'!$G$5:$G$44,"&lt;&gt;")=0,"sem lançamento",'08B. TODAS AS OBRAS'!C5)</f>
        <v>sem lançamento</v>
      </c>
      <c r="E21" s="145" t="str">
        <f>IF(COUNTIFS('06. MEDIÇÃO (BM)'!$B$5:$B$44,"343",'06. MEDIÇÃO (BM)'!$G$5:$G$44,"&lt;&gt;")=0,"sem lançamento",'08B. TODAS AS OBRAS'!C6)</f>
        <v>sem lançamento</v>
      </c>
      <c r="F21" s="145">
        <f>IF(AND(ISNUMBER(B21),ISNUMBER(D21)),D21-B21,"")</f>
      </c>
      <c r="G21" s="145">
        <f>IF(AND(ISNUMBER(C21),ISNUMBER(E21)),E21-C21,"")</f>
      </c>
      <c r="H21" s="197" t="inlineStr">
        <is>
          <t>06. MEDIÇÃO (BM)</t>
        </is>
      </c>
      <c r="I21" s="201" t="n">
        <v>5719898.31</v>
      </c>
      <c r="J21" s="145">
        <f>IF(COUNTIFS('06. MEDIÇÃO (BM)'!$B$5:$B$44,"281",'06. MEDIÇÃO (BM)'!$G$5:$G$44,"&lt;&gt;")=0,"sem lançamento",'08B. TODAS AS OBRAS'!C7)</f>
        <v>5719898.31</v>
      </c>
      <c r="K21" s="145">
        <f>IF(AND(ISNUMBER(I21),ISNUMBER(J21)),J21-I21,"")</f>
        <v>0</v>
      </c>
      <c r="L21" s="197" t="inlineStr">
        <is>
          <t>06 (só APROVADO, FATURADO ou RECEBIDO), via 08B</t>
        </is>
      </c>
      <c r="M21" s="201" t="inlineStr">
        <is>
          <t>sem lançamento</t>
        </is>
      </c>
    </row>
    <row r="22">
      <c r="A22" s="73" t="inlineStr">
        <is>
          <t>Custo lançado até o corte (R$, 08)</t>
        </is>
      </c>
      <c r="B22" s="201" t="inlineStr">
        <is>
          <t>sem lançamento</t>
        </is>
      </c>
      <c r="C22" s="201" t="inlineStr">
        <is>
          <t>sem lançamento</t>
        </is>
      </c>
      <c r="D22" s="145" t="str">
        <f>IF(COUNTIFS('08. CUSTOS'!$C$5:$C$404,"342",'08. CUSTOS'!$F$5:$F$404,"&lt;&gt;")=0,"sem lançamento",'08B. TODAS AS OBRAS'!G5)</f>
        <v>sem lançamento</v>
      </c>
      <c r="E22" s="145" t="str">
        <f>IF(COUNTIFS('08. CUSTOS'!$C$5:$C$404,"343",'08. CUSTOS'!$F$5:$F$404,"&lt;&gt;")=0,"sem lançamento",'08B. TODAS AS OBRAS'!G6)</f>
        <v>sem lançamento</v>
      </c>
      <c r="F22" s="145">
        <f>IF(AND(ISNUMBER(B22),ISNUMBER(D22)),D22-B22,"")</f>
      </c>
      <c r="G22" s="145">
        <f>IF(AND(ISNUMBER(C22),ISNUMBER(E22)),E22-C22,"")</f>
      </c>
      <c r="H22" s="197" t="inlineStr">
        <is>
          <t>08. CUSTOS</t>
        </is>
      </c>
      <c r="I22" s="201" t="n">
        <v>1103553.37</v>
      </c>
      <c r="J22" s="145">
        <f>IF(COUNTIFS('08. CUSTOS'!$C$5:$C$404,"281",'08. CUSTOS'!$F$5:$F$404,"&lt;&gt;")=0,"sem lançamento",'08B. TODAS AS OBRAS'!G7)</f>
        <v>1103553.37</v>
      </c>
      <c r="K22" s="145">
        <f>IF(AND(ISNUMBER(I22),ISNUMBER(J22)),J22-I22,"")</f>
        <v>0</v>
      </c>
      <c r="L22" s="197" t="inlineStr">
        <is>
          <t>08. CUSTOS, via 08B</t>
        </is>
      </c>
      <c r="M22" s="201" t="inlineStr">
        <is>
          <t>sem lançamento</t>
        </is>
      </c>
    </row>
    <row r="23">
      <c r="A23" s="73" t="inlineStr">
        <is>
          <t>Recebido (R$, 07)</t>
        </is>
      </c>
      <c r="B23" s="201" t="inlineStr">
        <is>
          <t>sem lançamento</t>
        </is>
      </c>
      <c r="C23" s="201" t="inlineStr">
        <is>
          <t>sem lançamento</t>
        </is>
      </c>
      <c r="D23" s="145" t="str">
        <f>IF(COUNTIFS('07. FATURAMENTO E RECEBIMENTO'!$B$5:$B$44,"342",'07. FATURAMENTO E RECEBIMENTO'!$L$5:$L$44,"&lt;&gt;")=0,"sem lançamento",'08B. TODAS AS OBRAS'!F5)</f>
        <v>sem lançamento</v>
      </c>
      <c r="E23" s="145" t="str">
        <f>IF(COUNTIFS('07. FATURAMENTO E RECEBIMENTO'!$B$5:$B$44,"343",'07. FATURAMENTO E RECEBIMENTO'!$L$5:$L$44,"&lt;&gt;")=0,"sem lançamento",'08B. TODAS AS OBRAS'!F6)</f>
        <v>sem lançamento</v>
      </c>
      <c r="F23" s="145">
        <f>IF(AND(ISNUMBER(B23),ISNUMBER(D23)),D23-B23,"")</f>
      </c>
      <c r="G23" s="145">
        <f>IF(AND(ISNUMBER(C23),ISNUMBER(E23)),E23-C23,"")</f>
      </c>
      <c r="H23" s="197" t="inlineStr">
        <is>
          <t>07. FATURAMENTO</t>
        </is>
      </c>
      <c r="I23" s="201" t="n">
        <v>554203.24</v>
      </c>
      <c r="J23" s="145">
        <f>IF(COUNTIFS('07. FATURAMENTO E RECEBIMENTO'!$B$5:$B$44,"281",'07. FATURAMENTO E RECEBIMENTO'!$L$5:$L$44,"&lt;&gt;")=0,"sem lançamento",'08B. TODAS AS OBRAS'!F7)</f>
        <v>554203.24</v>
      </c>
      <c r="K23" s="145">
        <f>IF(AND(ISNUMBER(I23),ISNUMBER(J23)),J23-I23,"")</f>
        <v>0</v>
      </c>
      <c r="L23" s="197" t="inlineStr">
        <is>
          <t>07. FATURAMENTO, via 08B</t>
        </is>
      </c>
      <c r="M23" s="201" t="inlineStr">
        <is>
          <t>sem lançamento</t>
        </is>
      </c>
    </row>
    <row r="24">
      <c r="A24" s="73" t="inlineStr">
        <is>
          <t>PPC da semana do corte (05)</t>
        </is>
      </c>
      <c r="B24" s="207" t="inlineStr">
        <is>
          <t>sem compromisso</t>
        </is>
      </c>
      <c r="C24" s="207" t="inlineStr">
        <is>
          <t>sem lançamento</t>
        </is>
      </c>
      <c r="D24" s="187" t="str">
        <f>IF(COUNTIFS('05. SEMANAS'!$A$5:$A$64,'02. PARÂMETROS'!$B$5,'05. SEMANAS'!$B$5:$B$64,"342")=0,"sem lançamento",'01C. PLACAR SEMANAL'!C9)</f>
        <v>sem compromisso</v>
      </c>
      <c r="E24" s="187" t="str">
        <f>IF(COUNTIFS('05. SEMANAS'!$A$5:$A$64,'02. PARÂMETROS'!$B$5,'05. SEMANAS'!$B$5:$B$64,"343")=0,"sem lançamento",'01C. PLACAR SEMANAL'!D9)</f>
        <v>sem compromisso</v>
      </c>
      <c r="F24" s="187">
        <f>IF(AND(ISNUMBER(B24),ISNUMBER(D24)),D24-B24,"")</f>
      </c>
      <c r="G24" s="187">
        <f>IF(AND(ISNUMBER(C24),ISNUMBER(E24)),E24-C24,"")</f>
      </c>
      <c r="H24" s="197" t="inlineStr">
        <is>
          <t>05. SEMANAS</t>
        </is>
      </c>
      <c r="I24" s="207" t="inlineStr">
        <is>
          <t>sem compromisso</t>
        </is>
      </c>
      <c r="J24" s="187" t="str">
        <f>IF(COUNTIFS('05. SEMANAS'!$A$5:$A$64,'02. PARÂMETROS'!$B$5,'05. SEMANAS'!$B$5:$B$64,"281")=0,"sem lançamento",'01C. PLACAR SEMANAL'!E9)</f>
        <v>sem compromisso</v>
      </c>
      <c r="K24" s="187">
        <f>IF(AND(ISNUMBER(I24),ISNUMBER(J24)),J24-I24,"")</f>
      </c>
      <c r="L24" s="197" t="inlineStr">
        <is>
          <t>05. SEMANAS, via 01C</t>
        </is>
      </c>
      <c r="M24" s="207" t="inlineStr">
        <is>
          <t>sem compromisso</t>
        </is>
      </c>
    </row>
    <row r="25">
      <c r="A25" s="73" t="inlineStr">
        <is>
          <t>Itens PENDENTE ou DECIDIR no MASTER CHECK (13)</t>
        </is>
      </c>
      <c r="B25" s="205" t="n">
        <v>5</v>
      </c>
      <c r="C25" s="137" t="inlineStr">
        <is>
          <t>(empresa)</t>
        </is>
      </c>
      <c r="D25" s="189">
        <f>COUNTIF('13. CHECKS'!$C$5:$C$22,"PENDENTE")+COUNTIF('13. CHECKS'!$C$5:$C$22,"DECIDIR")</f>
        <v>10</v>
      </c>
      <c r="E25" s="137" t="inlineStr">
        <is>
          <t>(empresa)</t>
        </is>
      </c>
      <c r="F25" s="189">
        <f>IF(AND(ISNUMBER(B25),ISNUMBER(D25)),D25-B25,"")</f>
        <v>5</v>
      </c>
      <c r="G25" s="137" t="inlineStr">
        <is>
          <t>(empresa)</t>
        </is>
      </c>
      <c r="H25" s="197" t="inlineStr">
        <is>
          <t>13. CHECKS (a rev6 acrescentou as conferências 12 a 18 e o DECIDIR: a alta vem de conferir mais, não de piora)</t>
        </is>
      </c>
      <c r="I25" s="205" t="inlineStr">
        <is>
          <t>(empresa)</t>
        </is>
      </c>
      <c r="J25" s="189" t="inlineStr">
        <is>
          <t>(empresa)</t>
        </is>
      </c>
      <c r="K25" s="189" t="inlineStr">
        <is>
          <t>(empresa)</t>
        </is>
      </c>
      <c r="L25" s="197" t="inlineStr">
        <is>
          <t>13. CHECKS (vale para a empresa)</t>
        </is>
      </c>
      <c r="M25" s="205" t="n">
        <v>5</v>
      </c>
    </row>
    <row r="26">
      <c r="A26" s="73" t="inlineStr">
        <is>
          <t>Checagens da operação com CONFERIR</t>
        </is>
      </c>
      <c r="B26" s="205" t="n">
        <v>3</v>
      </c>
      <c r="C26" s="137" t="inlineStr">
        <is>
          <t>(empresa)</t>
        </is>
      </c>
      <c r="D26" s="189">
        <f>COUNTIF('CHECKS DA OPERAÇÃO TAF'!$D$6:$D$29,"CONFERIR")</f>
        <v>3</v>
      </c>
      <c r="E26" s="137" t="inlineStr">
        <is>
          <t>(empresa)</t>
        </is>
      </c>
      <c r="F26" s="189">
        <f>IF(AND(ISNUMBER(B26),ISNUMBER(D26)),D26-B26,"")</f>
        <v>0</v>
      </c>
      <c r="G26" s="137" t="inlineStr">
        <is>
          <t>(empresa)</t>
        </is>
      </c>
      <c r="H26" s="197" t="inlineStr">
        <is>
          <t>CHECKS DA OPERAÇÃO TAF</t>
        </is>
      </c>
      <c r="I26" s="205" t="inlineStr">
        <is>
          <t>(empresa)</t>
        </is>
      </c>
      <c r="J26" s="189" t="inlineStr">
        <is>
          <t>(empresa)</t>
        </is>
      </c>
      <c r="K26" s="189" t="inlineStr">
        <is>
          <t>(empresa)</t>
        </is>
      </c>
      <c r="L26" s="197" t="inlineStr">
        <is>
          <t>CHECKS DA OPERAÇÃO TAF (vale para a empresa)</t>
        </is>
      </c>
      <c r="M26" s="205" t="n">
        <v>3</v>
      </c>
    </row>
    <row r="27">
      <c r="A27" s="73" t="inlineStr">
        <is>
          <t>Checagens da operação com PENDENTE</t>
        </is>
      </c>
      <c r="B27" s="205" t="n">
        <v>4</v>
      </c>
      <c r="C27" s="137" t="inlineStr">
        <is>
          <t>(empresa)</t>
        </is>
      </c>
      <c r="D27" s="189">
        <f>COUNTIF('CHECKS DA OPERAÇÃO TAF'!$D$6:$D$29,"PENDENTE")</f>
        <v>5</v>
      </c>
      <c r="E27" s="137" t="inlineStr">
        <is>
          <t>(empresa)</t>
        </is>
      </c>
      <c r="F27" s="189">
        <f>IF(AND(ISNUMBER(B27),ISNUMBER(D27)),D27-B27,"")</f>
        <v>1</v>
      </c>
      <c r="G27" s="137" t="inlineStr">
        <is>
          <t>(empresa)</t>
        </is>
      </c>
      <c r="H27" s="197" t="inlineStr">
        <is>
          <t>CHECKS DA OPERAÇÃO TAF</t>
        </is>
      </c>
      <c r="I27" s="205" t="inlineStr">
        <is>
          <t>(empresa)</t>
        </is>
      </c>
      <c r="J27" s="189" t="inlineStr">
        <is>
          <t>(empresa)</t>
        </is>
      </c>
      <c r="K27" s="189" t="inlineStr">
        <is>
          <t>(empresa)</t>
        </is>
      </c>
      <c r="L27" s="197" t="inlineStr">
        <is>
          <t>CHECKS DA OPERAÇÃO TAF (vale para a empresa)</t>
        </is>
      </c>
      <c r="M27" s="205" t="n">
        <v>4</v>
      </c>
    </row>
    <row r="28">
      <c r="A28" s="73" t="inlineStr">
        <is>
          <t>Base aprovada por / em</t>
        </is>
      </c>
      <c r="B28" s="266" t="inlineStr">
        <is>
          <t>PENDENTE (Thadeu)</t>
        </is>
      </c>
      <c r="C28" s="266" t="inlineStr">
        <is>
          <t>PENDENTE (Thadeu)</t>
        </is>
      </c>
      <c r="H28" s="242" t="inlineStr">
        <is>
          <t>digitar nome e data</t>
        </is>
      </c>
      <c r="I28" s="266" t="inlineStr">
        <is>
          <t>PENDENTE (Thadeu)</t>
        </is>
      </c>
      <c r="M28" s="242" t="inlineStr">
        <is>
          <t>sem aprovação registrada</t>
        </is>
      </c>
    </row>
    <row r="29">
      <c r="A29" s="167" t="inlineStr">
        <is>
          <t>342 congelada em 15/10/2026 a partir da rev4 (estudo REV13, cenário 1). A base da rev2 e da rev3 (estudo REV12, 15/10/2026) foi substituída antes do início da obra (19/10); a de 10/10/2026 vinha dos anexos III e IV antigos. 343 congelada em 10/10/2026. 'sem lançamento' = ainda não há BM, NF, custo pago ou semana lançados.</t>
        </is>
      </c>
    </row>
    <row r="30">
      <c r="A30" s="167" t="inlineStr">
        <is>
          <t>281 congelada em 16/10/2026 com os valores do dia (fonte na coluna L). Coluna M: base REV12 da 342, copiada da LINHA DE BASE da rev3 (B6:B27), trocada pela REV13 em 15/10/2026 sem aprovação registrada.</t>
        </is>
      </c>
    </row>
    <row r="31"/>
    <row r="32">
      <c r="A32" s="10" t="inlineStr">
        <is>
          <t>OBRA 281: MARCOS DO CONTRATO (MIT) E PRAZO</t>
        </is>
      </c>
      <c r="B32" s="11" t="n"/>
      <c r="C32" s="11" t="n"/>
      <c r="D32" s="11" t="n"/>
      <c r="E32" s="11" t="n"/>
      <c r="F32" s="11" t="n"/>
      <c r="G32" s="11" t="n"/>
      <c r="H32" s="11" t="n"/>
      <c r="I32" s="11" t="n"/>
      <c r="J32" s="11" t="n"/>
      <c r="K32" s="11" t="n"/>
      <c r="L32" s="11" t="n"/>
      <c r="M32" s="11" t="n"/>
    </row>
    <row r="33" ht="30" customHeight="1" s="71">
      <c r="A33" s="215" t="inlineStr">
        <is>
          <t>Marco (grupos do cronograma FF)</t>
        </is>
      </c>
      <c r="B33" s="215" t="inlineStr">
        <is>
          <t>Dias da OS</t>
        </is>
      </c>
      <c r="C33" s="215" t="inlineStr">
        <is>
          <t>Data do marco</t>
        </is>
      </c>
      <c r="D33" s="215" t="inlineStr">
        <is>
          <t>Valor (R$)</t>
        </is>
      </c>
      <c r="E33" s="215" t="inlineStr">
        <is>
          <t>Medido aprovado (R$)</t>
        </is>
      </c>
      <c r="F33" s="215" t="inlineStr">
        <is>
          <t>% medido</t>
        </is>
      </c>
      <c r="G33" s="215" t="inlineStr">
        <is>
          <t>Fim no plano FF</t>
        </is>
      </c>
      <c r="H33" s="215" t="inlineStr">
        <is>
          <t>Tendência</t>
        </is>
      </c>
      <c r="I33" s="215" t="inlineStr">
        <is>
          <t>Fim provável (vencido no plano sem concluir: PENDENTE até a data nova)</t>
        </is>
      </c>
      <c r="J33" s="215" t="inlineStr">
        <is>
          <t>Desvio (dias; vencido: dias desde o marco)</t>
        </is>
      </c>
      <c r="K33" s="215" t="inlineStr">
        <is>
          <t>Situação</t>
        </is>
      </c>
      <c r="L33" s="215" t="inlineStr">
        <is>
          <t>Multa</t>
        </is>
      </c>
      <c r="M33" s="215" t="inlineStr">
        <is>
          <t>Fonte</t>
        </is>
      </c>
    </row>
    <row r="34">
      <c r="A34" s="234" t="inlineStr">
        <is>
          <t>MIT 180: serviços diversos (grupo 8)</t>
        </is>
      </c>
      <c r="B34" s="235" t="n">
        <v>180</v>
      </c>
      <c r="C34" s="232">
        <f>'03. CONTRATOS'!$F$10+B34</f>
        <v>46222.0</v>
      </c>
      <c r="D34" s="267">
        <f>SUMIFS($D$44:$D$52,$B$44:$B$52,$B34)</f>
        <v>90225.51</v>
      </c>
      <c r="E34" s="267">
        <f>SUMIFS($E$44:$E$52,$B$44:$B$52,$B34)+IF(SUM(COUNTIFS('06. MEDIÇÃO (BM)'!$B$5:$B$44,"281",'06. MEDIÇÃO (BM)'!$C$5:$C$44,"BM07",'06. MEDIÇÃO (BM)'!$F$5:$F$44,{"APROVADO","FATURADO","RECEBIDO"}))&gt;0,SUMIFS($F$44:$F$52,$B$44:$B$52,$B34),0)</f>
        <v>79685.82</v>
      </c>
      <c r="F34" s="268">
        <f>IF(D34=0,"SEM BASE",E34/D34)</f>
        <v>0.883185032703057</v>
      </c>
      <c r="G34" s="232">
        <f>_xlfn.MAXIFS($G$44:$G$52,$B$44:$B$52,$B34)</f>
        <v>46224.0</v>
      </c>
      <c r="H34" s="269" t="inlineStr">
        <is>
          <t>Vencido em 19/07/2026 sem concluir: falta o item 8.1 (serviços diversos). Ricarlos informa a data nova.</t>
        </is>
      </c>
      <c r="I34" s="232" t="str">
        <f>IF(AND(N(F34)&lt;0.995,G34&lt;DATA_GESTAO),"PENDENTE (R102)",G34)</f>
        <v>PENDENTE (R102)</v>
      </c>
      <c r="J34" s="221">
        <f>IF(ISNUMBER(I34),I34-C34,IF(C34&lt;DATA_GESTAO,DATA_GESTAO-C34,"PENDENTE"))</f>
        <v>89</v>
      </c>
      <c r="K34" s="256" t="str">
        <f>IF(N(F34)&gt;=0.995,"CONCLUÍDO",IF(C34&lt;DATA_GESTAO,"VENCIDO SEM CONCLUIR",IF(AND(ISNUMBER(I34),I34&gt;C34),"RISCO: "&amp;(I34-C34)&amp;" dias depois do marco",IF(G34&lt;DATA_GESTAO,"ATRASADO NO PLANO",IF(AND(ISNUMBER(I34),C34-I34&lt;30),"RISCO: folga de "&amp;(C34-I34)&amp;" dias","no plano")))))</f>
        <v>VENCIDO SEM CONCLUIR</v>
      </c>
      <c r="L34" s="269" t="inlineStr">
        <is>
          <t>PENDENTE: Ricarlos lê o contrato e o art. 182 do RG00.0048 (05C R102)</t>
        </is>
      </c>
      <c r="M34" s="242" t="inlineStr">
        <is>
          <t>Anexo VII (eventograma 19/2025), seção 3</t>
        </is>
      </c>
    </row>
    <row r="35">
      <c r="A35" s="234" t="inlineStr">
        <is>
          <t>MIT 390: captação (grupo 3)</t>
        </is>
      </c>
      <c r="B35" s="235" t="n">
        <v>390</v>
      </c>
      <c r="C35" s="232">
        <f>'03. CONTRATOS'!$F$10+B35</f>
        <v>46432.0</v>
      </c>
      <c r="D35" s="267">
        <f>SUMIFS($D$44:$D$52,$B$44:$B$52,$B35)</f>
        <v>773428.97</v>
      </c>
      <c r="E35" s="267">
        <f>SUMIFS($E$44:$E$52,$B$44:$B$52,$B35)+IF(SUM(COUNTIFS('06. MEDIÇÃO (BM)'!$B$5:$B$44,"281",'06. MEDIÇÃO (BM)'!$C$5:$C$44,"BM07",'06. MEDIÇÃO (BM)'!$F$5:$F$44,{"APROVADO","FATURADO","RECEBIDO"}))&gt;0,SUMIFS($F$44:$F$52,$B$44:$B$52,$B35),0)</f>
        <v>318379.11</v>
      </c>
      <c r="F35" s="268">
        <f>IF(D35=0,"SEM BASE",E35/D35)</f>
        <v>0.411646217492991</v>
      </c>
      <c r="G35" s="232">
        <f>_xlfn.MAXIFS($G$44:$G$52,$B$44:$B$52,$B35)</f>
        <v>46346.0</v>
      </c>
      <c r="H35" s="269" t="inlineStr">
        <is>
          <t>Captação no plano até o BM09, mas só opera com energia: a subestação da EAB02 (item 5.1.14) está no BM13 (21/02 a 20/03/2027), de 7 a 34 dias depois do marco (05C R51).</t>
        </is>
      </c>
      <c r="I35" s="224" t="n">
        <v>46466</v>
      </c>
      <c r="J35" s="221">
        <f>IF(ISNUMBER(I35),I35-C35,IF(C35&lt;DATA_GESTAO,DATA_GESTAO-C35,"PENDENTE"))</f>
        <v>34</v>
      </c>
      <c r="K35" s="256" t="str">
        <f>IF(N(F35)&gt;=0.995,"CONCLUÍDO",IF(C35&lt;DATA_GESTAO,"VENCIDO SEM CONCLUIR",IF(AND(ISNUMBER(I35),I35&gt;C35),"RISCO: "&amp;(I35-C35)&amp;" dias depois do marco",IF(G35&lt;DATA_GESTAO,"ATRASADO NO PLANO",IF(AND(ISNUMBER(I35),C35-I35&lt;30),"RISCO: folga de "&amp;(C35-I35)&amp;" dias","no plano")))))</f>
        <v>RISCO: 34 dias depois do marco</v>
      </c>
      <c r="L35" s="269" t="inlineStr">
        <is>
          <t>PENDENTE: Ricarlos lê o contrato e o art. 182 do RG00.0048 (05C R102)</t>
        </is>
      </c>
      <c r="M35" s="242" t="inlineStr">
        <is>
          <t>Anexo VII (eventograma 19/2025), seção 3; fim provável: fim do BM13 (auditoria 15/10/2026)</t>
        </is>
      </c>
    </row>
    <row r="36">
      <c r="A36" s="234" t="inlineStr">
        <is>
          <t>MIT 450: adutora de água bruta 1 (grupo 4)</t>
        </is>
      </c>
      <c r="B36" s="235" t="n">
        <v>450</v>
      </c>
      <c r="C36" s="232">
        <f>'03. CONTRATOS'!$F$10+B36</f>
        <v>46492.0</v>
      </c>
      <c r="D36" s="267">
        <f>SUMIFS($D$44:$D$52,$B$44:$B$52,$B36)</f>
        <v>91820.01</v>
      </c>
      <c r="E36" s="267">
        <f>SUMIFS($E$44:$E$52,$B$44:$B$52,$B36)+IF(SUM(COUNTIFS('06. MEDIÇÃO (BM)'!$B$5:$B$44,"281",'06. MEDIÇÃO (BM)'!$C$5:$C$44,"BM07",'06. MEDIÇÃO (BM)'!$F$5:$F$44,{"APROVADO","FATURADO","RECEBIDO"}))&gt;0,SUMIFS($F$44:$F$52,$B$44:$B$52,$B36),0)</f>
        <v>0</v>
      </c>
      <c r="F36" s="268">
        <f>IF(D36=0,"SEM BASE",E36/D36)</f>
        <v>0</v>
      </c>
      <c r="G36" s="232">
        <f>_xlfn.MAXIFS($G$44:$G$52,$B$44:$B$52,$B36)</f>
        <v>46224.0</v>
      </c>
      <c r="H36" s="269" t="inlineStr">
        <is>
          <t>O plano FF fechava no BM05 (21/07/2026) e nada foi medido (05C R63). Ricarlos informa a data nova.</t>
        </is>
      </c>
      <c r="I36" s="232" t="str">
        <f>IF(AND(N(F36)&lt;0.995,G36&lt;DATA_GESTAO),"PENDENTE (R102)",G36)</f>
        <v>PENDENTE (R102)</v>
      </c>
      <c r="J36" s="221" t="str">
        <f>IF(ISNUMBER(I36),I36-C36,IF(C36&lt;DATA_GESTAO,DATA_GESTAO-C36,"PENDENTE"))</f>
        <v>PENDENTE</v>
      </c>
      <c r="K36" s="256" t="str">
        <f>IF(N(F36)&gt;=0.995,"CONCLUÍDO",IF(C36&lt;DATA_GESTAO,"VENCIDO SEM CONCLUIR",IF(AND(ISNUMBER(I36),I36&gt;C36),"RISCO: "&amp;(I36-C36)&amp;" dias depois do marco",IF(G36&lt;DATA_GESTAO,"ATRASADO NO PLANO",IF(AND(ISNUMBER(I36),C36-I36&lt;30),"RISCO: folga de "&amp;(C36-I36)&amp;" dias","no plano")))))</f>
        <v>ATRASADO NO PLANO</v>
      </c>
      <c r="L36" s="269" t="inlineStr">
        <is>
          <t>PENDENTE: Ricarlos lê o contrato e o art. 182 do RG00.0048 (05C R102)</t>
        </is>
      </c>
      <c r="M36" s="242" t="inlineStr">
        <is>
          <t>Anexo VII (eventograma 19/2025), seção 3</t>
        </is>
      </c>
    </row>
    <row r="37">
      <c r="A37" s="234" t="inlineStr">
        <is>
          <t>MIT 660: obra inteira (grupos 1, 2, 5, 6, 7 e 9)</t>
        </is>
      </c>
      <c r="B37" s="235" t="n">
        <v>660</v>
      </c>
      <c r="C37" s="232">
        <f>'03. CONTRATOS'!$F$10+B37</f>
        <v>46702.0</v>
      </c>
      <c r="D37" s="267">
        <f>SUMIFS($D$44:$D$52,$B$44:$B$52,$B37)</f>
        <v>16164541.25</v>
      </c>
      <c r="E37" s="267">
        <f>SUMIFS($E$44:$E$52,$B$44:$B$52,$B37)+IF(SUM(COUNTIFS('06. MEDIÇÃO (BM)'!$B$5:$B$44,"281",'06. MEDIÇÃO (BM)'!$C$5:$C$44,"BM07",'06. MEDIÇÃO (BM)'!$F$5:$F$44,{"APROVADO","FATURADO","RECEBIDO"}))&gt;0,SUMIFS($F$44:$F$52,$B$44:$B$52,$B37),0)</f>
        <v>5321833.37</v>
      </c>
      <c r="F37" s="268">
        <f>IF(D37=0,"SEM BASE",E37/D37)</f>
        <v>0.329228852690144</v>
      </c>
      <c r="G37" s="232">
        <f>_xlfn.MAXIFS($G$44:$G$52,$B$44:$B$52,$B37)</f>
        <v>46702.0</v>
      </c>
      <c r="H37" s="269" t="inlineStr">
        <is>
          <t>O plano FF termina no próprio marco (BM21): folga zero. ETA (7.1, R$ 4,56 mi) com 0,1% medido: para caber, projeto aprovado e compra até 20/12/2026 (auditoria 15/10/2026; 05C R44 e R46).</t>
        </is>
      </c>
      <c r="I37" s="232">
        <f>IF(AND(N(F37)&lt;0.995,G37&lt;DATA_GESTAO),"PENDENTE (R102)",G37)</f>
        <v>46702.0</v>
      </c>
      <c r="J37" s="221">
        <f>IF(ISNUMBER(I37),I37-C37,IF(C37&lt;DATA_GESTAO,DATA_GESTAO-C37,"PENDENTE"))</f>
        <v>0</v>
      </c>
      <c r="K37" s="256" t="str">
        <f>IF(N(F37)&gt;=0.995,"CONCLUÍDO",IF(C37&lt;DATA_GESTAO,"VENCIDO SEM CONCLUIR",IF(AND(ISNUMBER(I37),I37&gt;C37),"RISCO: "&amp;(I37-C37)&amp;" dias depois do marco",IF(G37&lt;DATA_GESTAO,"ATRASADO NO PLANO",IF(AND(ISNUMBER(I37),C37-I37&lt;30),"RISCO: folga de "&amp;(C37-I37)&amp;" dias","no plano")))))</f>
        <v>RISCO: folga de 0 dias</v>
      </c>
      <c r="L37" s="269" t="inlineStr">
        <is>
          <t>PENDENTE: Ricarlos lê o contrato e o art. 182 do RG00.0048 (05C R102)</t>
        </is>
      </c>
      <c r="M37" s="242" t="inlineStr">
        <is>
          <t>Anexo VII (eventograma 19/2025), seção 3</t>
        </is>
      </c>
    </row>
    <row r="38">
      <c r="A38" s="230" t="inlineStr">
        <is>
          <t>Contrato inteiro (281)</t>
        </is>
      </c>
      <c r="B38" s="221">
        <f>'03. CONTRATOS'!$F$11</f>
        <v>660</v>
      </c>
      <c r="C38" s="232">
        <f>'03. CONTRATOS'!$F$10+'03. CONTRATOS'!$F$11</f>
        <v>46702.0</v>
      </c>
      <c r="D38" s="267">
        <f>'03. CONTRATOS'!$F$8</f>
        <v>17120015.74</v>
      </c>
      <c r="E38" s="267">
        <f>'08B. TODAS AS OBRAS'!$C$7</f>
        <v>5719898.31</v>
      </c>
      <c r="F38" s="268">
        <f>IF(D38=0,"SEM BASE",E38/D38)</f>
        <v>0.334105902521793</v>
      </c>
      <c r="G38" s="232">
        <f>MAX(G34:G37)</f>
        <v>46702.0</v>
      </c>
      <c r="H38" s="269" t="str">
        <f>"Previsto até o último BM fechado: R$ "&amp;FIXED('08B. TODAS AS OBRAS'!$E$7,0)&amp;" · medido ÷ previsto: "&amp;FIXED('08B. TODAS AS OBRAS'!$J$7,2)</f>
        <v>Previsto até o último BM fechado: R$ 4,572,249 · medido ÷ previsto: 1.25</v>
      </c>
      <c r="I38" s="232" t="str">
        <f>IF(COUNTIF(I34:I37,"PENDENTE*")&gt;0,"PENDENTE (R102)",MAX(I34:I37))</f>
        <v>PENDENTE (R102)</v>
      </c>
      <c r="J38" s="221" t="str">
        <f>IF(ISNUMBER(I38),I38-C38,"PENDENTE")</f>
        <v>PENDENTE</v>
      </c>
      <c r="K38" s="256" t="str">
        <f>IF(N(F38)&gt;=0.995,"CONCLUÍDO",IF(C38&lt;DATA_GESTAO,"VENCIDO SEM CONCLUIR",IF(NOT(ISNUMBER(I38)),"PENDENTE: marcos sem data nova (R102)",IF(AND(ISNUMBER(I38),I38&gt;C38),"RISCO: "&amp;(I38-C38)&amp;" dias depois do marco",IF(G38&lt;DATA_GESTAO,"ATRASADO NO PLANO",IF(AND(ISNUMBER(I38),C38-I38&lt;30),"RISCO: folga de "&amp;(C38-I38)&amp;" dias","no plano"))))))</f>
        <v>PENDENTE: marcos sem data nova (R102)</v>
      </c>
      <c r="L38" s="269" t="inlineStr">
        <is>
          <t>PENDENTE: Ricarlos lê o contrato e o art. 182 do RG00.0048 (05C R102)</t>
        </is>
      </c>
      <c r="M38" s="242" t="inlineStr">
        <is>
          <t>03 e 08B</t>
        </is>
      </c>
    </row>
    <row r="39">
      <c r="A39" s="234" t="inlineStr">
        <is>
          <t>Conferência: grupos (linhas 44 a 52) = medido aprovado na 06</t>
        </is>
      </c>
      <c r="E39" s="267">
        <f>SUM(E34:E37)</f>
        <v>5719898.3</v>
      </c>
      <c r="K39" s="256" t="str">
        <f>IF(ABS(E39-'08B. TODAS AS OBRAS'!$C$7)&lt;=1,"OK","ATUALIZAR pelo cronograma FF (Ricarlos)")</f>
        <v>OK</v>
      </c>
      <c r="M39" s="242" t="inlineStr">
        <is>
          <t>08B C7</t>
        </is>
      </c>
    </row>
    <row r="40">
      <c r="A40" s="256" t="inlineStr">
        <is>
          <t>Custo do mês de atraso 281, parte da TAF (R$ por mês, estimativa)</t>
        </is>
      </c>
      <c r="D40" s="270">
        <f>(D44+D45)/('03. CONTRATOS'!$F$11/30)*'03. CONTRATOS'!$F$22</f>
        <v>32214.7045454545</v>
      </c>
      <c r="H40" s="269" t="inlineStr">
        <is>
          <t>Canteiro + administração local (grupos 1 e 2) ÷ 22 meses × 50% (03 F22). Auditoria 15/10/2026, item 4.</t>
        </is>
      </c>
    </row>
    <row r="41">
      <c r="A41" s="234" t="inlineStr">
        <is>
          <t>Só administração local, parte da TAF (R$ por mês, estimativa)</t>
        </is>
      </c>
      <c r="D41" s="267">
        <f>D45/('03. CONTRATOS'!$F$11/30)*'03. CONTRATOS'!$F$22</f>
        <v>27496.2272727273</v>
      </c>
      <c r="H41" s="269" t="inlineStr">
        <is>
          <t>Grupo 2 ÷ 22 meses × 50%. O centro ADMINISTRATIVO do consórcio gastou de R$ 109.730 a R$ 175.165 por mês (08D, auditoria 15/10/2026).</t>
        </is>
      </c>
    </row>
    <row r="42"/>
    <row r="43" ht="30" customHeight="1" s="71">
      <c r="A43" s="215" t="inlineStr">
        <is>
          <t>Grupo do cronograma FF</t>
        </is>
      </c>
      <c r="B43" s="215" t="inlineStr">
        <is>
          <t>MIT (dias)</t>
        </is>
      </c>
      <c r="C43" s="215" t="inlineStr">
        <is>
          <t>Último BM com valor</t>
        </is>
      </c>
      <c r="D43" s="215" t="inlineStr">
        <is>
          <t>Valor (R$)</t>
        </is>
      </c>
      <c r="E43" s="215" t="inlineStr">
        <is>
          <t>Medido BM01 a BM06 (R$)</t>
        </is>
      </c>
      <c r="F43" s="215" t="inlineStr">
        <is>
          <t>Medido BM07 (R$)</t>
        </is>
      </c>
      <c r="G43" s="215" t="inlineStr">
        <is>
          <t>Fim do último BM</t>
        </is>
      </c>
      <c r="H43" s="215" t="inlineStr">
        <is>
          <t>Fonte</t>
        </is>
      </c>
    </row>
    <row r="44">
      <c r="A44" s="218" t="inlineStr">
        <is>
          <t>1 Canteiro de obras e outros</t>
        </is>
      </c>
      <c r="B44" s="235" t="n">
        <v>660</v>
      </c>
      <c r="C44" s="218" t="inlineStr">
        <is>
          <t>BM21</t>
        </is>
      </c>
      <c r="D44" s="271" t="n">
        <v>207613</v>
      </c>
      <c r="E44" s="271" t="n">
        <v>58443.05</v>
      </c>
      <c r="F44" s="271" t="n">
        <v>11148.82</v>
      </c>
      <c r="G44" s="220" t="n">
        <v>46702</v>
      </c>
      <c r="H44" s="272" t="inlineStr">
        <is>
          <t>Cronograma FF da SANEAGO, aba Cronograma, linha 9 (lido em 16/10/2026)</t>
        </is>
      </c>
    </row>
    <row r="45">
      <c r="A45" s="218" t="inlineStr">
        <is>
          <t>2 Administração local</t>
        </is>
      </c>
      <c r="B45" s="235" t="n">
        <v>660</v>
      </c>
      <c r="C45" s="218" t="inlineStr">
        <is>
          <t>BM21</t>
        </is>
      </c>
      <c r="D45" s="271" t="n">
        <v>1209834</v>
      </c>
      <c r="E45" s="271" t="n">
        <v>340568.27</v>
      </c>
      <c r="F45" s="271" t="n">
        <v>64968.09</v>
      </c>
      <c r="G45" s="220" t="n">
        <v>46702</v>
      </c>
      <c r="H45" s="272" t="inlineStr">
        <is>
          <t>Cronograma FF da SANEAGO, aba Cronograma, linha 27 (lido em 16/10/2026)</t>
        </is>
      </c>
    </row>
    <row r="46">
      <c r="A46" s="218" t="inlineStr">
        <is>
          <t>3 Captação</t>
        </is>
      </c>
      <c r="B46" s="235" t="n">
        <v>390</v>
      </c>
      <c r="C46" s="218" t="inlineStr">
        <is>
          <t>BM09</t>
        </is>
      </c>
      <c r="D46" s="271" t="n">
        <v>773428.97</v>
      </c>
      <c r="E46" s="271" t="n">
        <v>318379.11</v>
      </c>
      <c r="F46" s="271" t="n">
        <v>193910.56</v>
      </c>
      <c r="G46" s="220" t="n">
        <v>46346</v>
      </c>
      <c r="H46" s="272" t="inlineStr">
        <is>
          <t>Cronograma FF da SANEAGO, aba Cronograma, linha 45 (lido em 16/10/2026)</t>
        </is>
      </c>
    </row>
    <row r="47">
      <c r="A47" s="218" t="inlineStr">
        <is>
          <t>4 Adutora de água bruta 1</t>
        </is>
      </c>
      <c r="B47" s="235" t="n">
        <v>450</v>
      </c>
      <c r="C47" s="218" t="inlineStr">
        <is>
          <t>BM05</t>
        </is>
      </c>
      <c r="D47" s="271" t="n">
        <v>91820.00999999999</v>
      </c>
      <c r="E47" s="271" t="n">
        <v>0</v>
      </c>
      <c r="F47" s="271" t="n">
        <v>0</v>
      </c>
      <c r="G47" s="220" t="n">
        <v>46224</v>
      </c>
      <c r="H47" s="272" t="inlineStr">
        <is>
          <t>Cronograma FF da SANEAGO, aba Cronograma, linha 127 (lido em 16/10/2026)</t>
        </is>
      </c>
    </row>
    <row r="48">
      <c r="A48" s="218" t="inlineStr">
        <is>
          <t>5 Elevatória de água bruta (alto)</t>
        </is>
      </c>
      <c r="B48" s="235" t="n">
        <v>660</v>
      </c>
      <c r="C48" s="218" t="inlineStr">
        <is>
          <t>BM13</t>
        </is>
      </c>
      <c r="D48" s="271" t="n">
        <v>1215398.23</v>
      </c>
      <c r="E48" s="271" t="n">
        <v>5507.25</v>
      </c>
      <c r="F48" s="271" t="n">
        <v>12088.05</v>
      </c>
      <c r="G48" s="220" t="n">
        <v>46466</v>
      </c>
      <c r="H48" s="272" t="inlineStr">
        <is>
          <t>Cronograma FF da SANEAGO, aba Cronograma, linha 147 (lido em 16/10/2026)</t>
        </is>
      </c>
    </row>
    <row r="49">
      <c r="A49" s="218" t="inlineStr">
        <is>
          <t>6 Adutora de água bruta 2</t>
        </is>
      </c>
      <c r="B49" s="235" t="n">
        <v>660</v>
      </c>
      <c r="C49" s="218" t="inlineStr">
        <is>
          <t>BM09</t>
        </is>
      </c>
      <c r="D49" s="271" t="n">
        <v>4230596.12</v>
      </c>
      <c r="E49" s="271" t="n">
        <v>3668649.67</v>
      </c>
      <c r="F49" s="271" t="n">
        <v>343671.51</v>
      </c>
      <c r="G49" s="220" t="n">
        <v>46346</v>
      </c>
      <c r="H49" s="272" t="inlineStr">
        <is>
          <t>Cronograma FF da SANEAGO, aba Cronograma, linha 255 (lido em 16/10/2026)</t>
        </is>
      </c>
    </row>
    <row r="50">
      <c r="A50" s="218" t="inlineStr">
        <is>
          <t>7 Estação de tratamento de água</t>
        </is>
      </c>
      <c r="B50" s="235" t="n">
        <v>660</v>
      </c>
      <c r="C50" s="218" t="inlineStr">
        <is>
          <t>BM21</t>
        </is>
      </c>
      <c r="D50" s="271" t="n">
        <v>9207775.49</v>
      </c>
      <c r="E50" s="271" t="n">
        <v>1225021.39</v>
      </c>
      <c r="F50" s="271" t="n">
        <v>57626.25</v>
      </c>
      <c r="G50" s="220" t="n">
        <v>46702</v>
      </c>
      <c r="H50" s="272" t="inlineStr">
        <is>
          <t>Cronograma FF da SANEAGO, aba Cronograma, linha 365 (lido em 16/10/2026)</t>
        </is>
      </c>
    </row>
    <row r="51">
      <c r="A51" s="218" t="inlineStr">
        <is>
          <t>8 Serviços diversos</t>
        </is>
      </c>
      <c r="B51" s="235" t="n">
        <v>180</v>
      </c>
      <c r="C51" s="218" t="inlineStr">
        <is>
          <t>BM05</t>
        </is>
      </c>
      <c r="D51" s="271" t="n">
        <v>90225.50999999999</v>
      </c>
      <c r="E51" s="271" t="n">
        <v>79685.82000000001</v>
      </c>
      <c r="F51" s="271" t="n">
        <v>787.73</v>
      </c>
      <c r="G51" s="220" t="n">
        <v>46224</v>
      </c>
      <c r="H51" s="272" t="inlineStr">
        <is>
          <t>Cronograma FF da SANEAGO, aba Cronograma, linha 815 (lido em 16/10/2026)</t>
        </is>
      </c>
    </row>
    <row r="52">
      <c r="A52" s="218" t="inlineStr">
        <is>
          <t>9 Projetos</t>
        </is>
      </c>
      <c r="B52" s="235" t="n">
        <v>660</v>
      </c>
      <c r="C52" s="218" t="inlineStr">
        <is>
          <t>BM21</t>
        </is>
      </c>
      <c r="D52" s="271" t="n">
        <v>93324.41</v>
      </c>
      <c r="E52" s="271" t="n">
        <v>23643.74</v>
      </c>
      <c r="F52" s="271" t="n">
        <v>4510.37</v>
      </c>
      <c r="G52" s="220" t="n">
        <v>46702</v>
      </c>
      <c r="H52" s="272" t="inlineStr">
        <is>
          <t>Cronograma FF da SANEAGO, aba Cronograma, linha 845 (lido em 16/10/2026)</t>
        </is>
      </c>
    </row>
    <row r="53">
      <c r="A53" s="230" t="inlineStr">
        <is>
          <t>Total</t>
        </is>
      </c>
      <c r="D53" s="270">
        <f>SUM(D44:D52)</f>
        <v>17120015.74</v>
      </c>
      <c r="E53" s="270">
        <f>SUM(E44:E52)</f>
        <v>5719898.3</v>
      </c>
      <c r="F53" s="270">
        <f>SUM(F44:F52)</f>
        <v>688711.38</v>
      </c>
    </row>
  </sheetData>
  <mergeCells count="1">
    <mergeCell ref="A3:H3"/>
  </mergeCells>
  <conditionalFormatting sqref="K34:K39">
    <cfRule type="expression" priority="1" dxfId="23">
      <formula>LEFT(K34,7)="VENCIDO"</formula>
    </cfRule>
    <cfRule type="expression" priority="2" dxfId="27">
      <formula>LEFT(K34,5)="RISCO"</formula>
    </cfRule>
    <cfRule type="expression" priority="3" dxfId="25">
      <formula>OR(K34="ATRASADO NO PLANO",LEFT(K34,9)="ATUALIZAR")</formula>
    </cfRule>
    <cfRule type="expression" priority="4" dxfId="24">
      <formula>OR(K34="OK",K34="no plano",K34="CONCLUÍDO")</formula>
    </cfRule>
  </conditionalFormatting>
  <pageMargins left="0.3888888888888889" right="0.3888888888888889" top="0.3888888888888889" bottom="0.3888888888888889" header="0.31496062" footer="0.31496062"/>
  <pageSetup orientation="landscape" paperSize="8"/>
  <drawing xmlns:r="http://schemas.openxmlformats.org/officeDocument/2006/relationships" r:id="rIdDrw1"/>
</worksheet>
</file>

<file path=xl/worksheets/sheet10.xml><?xml version="1.0" encoding="utf-8"?>
<worksheet xmlns="http://schemas.openxmlformats.org/spreadsheetml/2006/main">
  <sheetPr>
    <tabColor rgb="FF2E8B99"/>
    <outlinePr summaryBelow="1" summaryRight="1"/>
    <pageSetUpPr fitToPage="1"/>
  </sheetPr>
  <dimension ref="A1:F31"/>
  <sheetViews>
    <sheetView showGridLines="0" workbookViewId="0">
      <selection activeCell="A1" sqref="A1"/>
    </sheetView>
  </sheetViews>
  <sheetFormatPr baseColWidth="8" defaultRowHeight="12.75"/>
  <cols>
    <col width="6.7109375" customWidth="1" style="73" min="1" max="1"/>
    <col width="62.7109375" customWidth="1" style="73" min="2" max="2"/>
    <col width="14.7109375" customWidth="1" style="73" min="3" max="4"/>
    <col width="82.7109375" customWidth="1" style="73" min="5" max="5"/>
    <col width="34.7109375" customWidth="1" style="73" min="6" max="6"/>
    <col width="9.140625" customWidth="1" style="73" min="7" max="16384"/>
  </cols>
  <sheetData>
    <row r="1" ht="24" customHeight="1" s="71"/>
    <row r="2" ht="20.25" customHeight="1" s="71">
      <c r="A2" s="74" t="inlineStr">
        <is>
          <t>CHECKS DA OPERAÇÃO TAF: conferências do cronograma, da medição, do custo e do caixa</t>
        </is>
      </c>
    </row>
    <row r="3" ht="27.95" customHeight="1" s="71">
      <c r="A3" s="78" t="inlineStr">
        <is>
          <t>Pendências do campo e do cronograma que viram erro de medição ou dinheiro parado. Não entram no MASTER CHECK da 13. CHECKS (que confere se o arquivo fecha). OK = conferido; CONFERIR = número ou lançamento fora do esperado; PENDENTE = falta dado ou decisão.</t>
        </is>
      </c>
    </row>
    <row r="4"/>
    <row r="5" ht="25.5" customHeight="1" s="71">
      <c r="A5" s="88" t="inlineStr">
        <is>
          <t>Nº</t>
        </is>
      </c>
      <c r="B5" s="88" t="inlineStr">
        <is>
          <t>CONFERÊNCIA</t>
        </is>
      </c>
      <c r="C5" s="88" t="inlineStr">
        <is>
          <t>VALOR</t>
        </is>
      </c>
      <c r="D5" s="88" t="inlineStr">
        <is>
          <t>RESULTADO</t>
        </is>
      </c>
      <c r="E5" s="88" t="inlineStr">
        <is>
          <t>O QUE FAZER</t>
        </is>
      </c>
      <c r="F5" s="88" t="inlineStr">
        <is>
          <t>ONDE</t>
        </is>
      </c>
    </row>
    <row r="6" ht="30" customHeight="1" s="71">
      <c r="A6" s="73" t="inlineStr">
        <is>
          <t>O1</t>
        </is>
      </c>
      <c r="B6" s="173" t="inlineStr">
        <is>
          <t>Etapas sem data de início ou fim</t>
        </is>
      </c>
      <c r="C6" s="174">
        <f>COUNTIF('CRONOGRAMA PROJECT'!$P$7:$P$27,"sem data")</f>
        <v>0</v>
      </c>
      <c r="D6" s="175" t="str">
        <f>IF(C6=0,"OK","CONFERIR")</f>
        <v>OK</v>
      </c>
      <c r="E6" s="173" t="inlineStr">
        <is>
          <t>Conferir a grade mensal do cronograma (valor zero em todos os meses).</t>
        </is>
      </c>
      <c r="F6" s="176" t="inlineStr">
        <is>
          <t>CRONOGRAMA PROJECT, grade</t>
        </is>
      </c>
    </row>
    <row r="7" ht="30" customHeight="1" s="71">
      <c r="A7" s="73" t="inlineStr">
        <is>
          <t>O2</t>
        </is>
      </c>
      <c r="B7" s="173" t="inlineStr">
        <is>
          <t>Predecessora abaixo da tarefa (ordem errada)</t>
        </is>
      </c>
      <c r="C7" s="174">
        <f>COUNTIF('CRONOGRAMA PROJECT'!$P$7:$P$27,"predecessora abaixo da tarefa")</f>
        <v>0</v>
      </c>
      <c r="D7" s="175" t="str">
        <f>IF(C7=0,"OK","CONFERIR")</f>
        <v>OK</v>
      </c>
      <c r="E7" s="173" t="inlineStr">
        <is>
          <t>A predecessora tem de estar ACIMA da tarefa. Troque a ordem das linhas ou use outra predecessora (senão o cálculo fica errado).</t>
        </is>
      </c>
      <c r="F7" s="176" t="inlineStr">
        <is>
          <t>CRONOGRAMA PROJECT, colunas G a I</t>
        </is>
      </c>
    </row>
    <row r="8" ht="30" customHeight="1" s="71">
      <c r="A8" s="73" t="inlineStr">
        <is>
          <t>O3</t>
        </is>
      </c>
      <c r="B8" s="173" t="inlineStr">
        <is>
          <t>Predecessora inexistente (ID que não está na lista)</t>
        </is>
      </c>
      <c r="C8" s="174">
        <f>COUNTIF('CRONOGRAMA PROJECT'!$P$7:$P$27,"predecessora inexistente")</f>
        <v>0</v>
      </c>
      <c r="D8" s="175" t="str">
        <f>IF(C8=0,"OK","CONFERIR")</f>
        <v>OK</v>
      </c>
      <c r="E8" s="173" t="inlineStr">
        <is>
          <t>Digite o ID exatamente como está na coluna A.</t>
        </is>
      </c>
      <c r="F8" s="176" t="inlineStr">
        <is>
          <t>CRONOGRAMA PROJECT, colunas G a I</t>
        </is>
      </c>
    </row>
    <row r="9" ht="30" customHeight="1" s="71">
      <c r="A9" s="73" t="inlineStr">
        <is>
          <t>O4</t>
        </is>
      </c>
      <c r="B9" s="173" t="inlineStr">
        <is>
          <t>Etapas sem nenhuma predecessora (rede não definida)</t>
        </is>
      </c>
      <c r="C9" s="174">
        <f>COUNTIFS('CRONOGRAMA PROJECT'!$G$7:$G$27,"",'CRONOGRAMA PROJECT'!$H$7:$H$27,"",'CRONOGRAMA PROJECT'!$I$7:$I$27,"")</f>
        <v>21</v>
      </c>
      <c r="D9" s="175" t="str">
        <f>IF(C9=0,"OK","PENDENTE")</f>
        <v>PENDENTE</v>
      </c>
      <c r="E9" s="173" t="inlineStr">
        <is>
          <t>Nenhuma fonte traz as predecessoras. O engenheiro e o planejador digitam; sem elas o caminho crítico não vale.</t>
        </is>
      </c>
      <c r="F9" s="176" t="inlineStr">
        <is>
          <t>CRONOGRAMA PROJECT, colunas G a I</t>
        </is>
      </c>
    </row>
    <row r="10" ht="30" customHeight="1" s="71">
      <c r="A10" s="73" t="inlineStr">
        <is>
          <t>O5</t>
        </is>
      </c>
      <c r="B10" s="173" t="inlineStr">
        <is>
          <t>343: cronograma da CAESB difere do contrato (R$)</t>
        </is>
      </c>
      <c r="C10" s="174">
        <f>ROUND(ABS('CRONOGRAMA PROJECT'!$P$50-'03. CONTRATOS'!$D$8),2)</f>
        <v>52794.31</v>
      </c>
      <c r="D10" s="175" t="str">
        <f>IF(C10&lt;5,"OK","CONFERIR")</f>
        <v>CONFERIR</v>
      </c>
      <c r="E10" s="173" t="inlineStr">
        <is>
          <t>O cronograma da CAESB soma mais que o contrato. Conferir com a fiscalização qual valor vale para a medição.</t>
        </is>
      </c>
      <c r="F10" s="176" t="inlineStr">
        <is>
          <t>CRONOGRAMA PROJECT, grade; 03. CONTRATOS</t>
        </is>
      </c>
    </row>
    <row r="11" ht="30" customHeight="1" s="71">
      <c r="A11" s="73" t="inlineStr">
        <is>
          <t>O6</t>
        </is>
      </c>
      <c r="B11" s="173" t="inlineStr">
        <is>
          <t>342: o estudo interno estima resultado negativo após tributos (R$)</t>
        </is>
      </c>
      <c r="C11" s="174">
        <f>MAX(0,-'FLUXO PROJETADO TAF'!$C$19)</f>
        <v>231415.9929</v>
      </c>
      <c r="D11" s="175" t="str">
        <f>IF(C11=0,"OK","PENDENTE")</f>
        <v>PENDENTE</v>
      </c>
      <c r="E11" s="173" t="inlineStr">
        <is>
          <t>Decidir com Thadeu: cotar o sem cotação, rever o plano do estudo REV13 ou aceitar o resultado (13. CHECKS item 9).</t>
        </is>
      </c>
      <c r="F11" s="176" t="inlineStr">
        <is>
          <t>FLUXO PROJETADO TAF</t>
        </is>
      </c>
    </row>
    <row r="12" ht="30" customHeight="1" s="71">
      <c r="A12" s="73" t="inlineStr">
        <is>
          <t>O7</t>
        </is>
      </c>
      <c r="B12" s="173" t="inlineStr">
        <is>
          <t>342: fim do cronograma passa do fim do prazo (dias)</t>
        </is>
      </c>
      <c r="C12" s="174">
        <f>MAX(0,_xlfn.MAXIFS('CRONOGRAMA PROJECT'!$E$7:$E$27,'CRONOGRAMA PROJECT'!$BW$7:$BW$27,"342")-'03. CONTRATOS'!$B$20)</f>
        <v>1</v>
      </c>
      <c r="D12" s="175" t="str">
        <f>IF(C12=0,"OK","CONFERIR")</f>
        <v>CONFERIR</v>
      </c>
      <c r="E12" s="173" t="inlineStr">
        <is>
          <t>Fim do cronograma = último dia do último mês com valor. Conferir no Gantt assinado se o fim físico respeita o prazo de 360 dias.</t>
        </is>
      </c>
      <c r="F12" s="176" t="inlineStr">
        <is>
          <t>CRONOGRAMA PROJECT; 03. CONTRATOS</t>
        </is>
      </c>
    </row>
    <row r="13" ht="30" customHeight="1" s="71">
      <c r="A13" s="73" t="inlineStr">
        <is>
          <t>O8</t>
        </is>
      </c>
      <c r="B13" s="173" t="inlineStr">
        <is>
          <t>343: fim do cronograma passa do fim do prazo (dias)</t>
        </is>
      </c>
      <c r="C13" s="174">
        <f>MAX(0,_xlfn.MAXIFS('CRONOGRAMA PROJECT'!$E$7:$E$27,'CRONOGRAMA PROJECT'!$BW$7:$BW$27,"343")-'03. CONTRATOS'!$D$20)</f>
        <v>3</v>
      </c>
      <c r="D13" s="175" t="str">
        <f>IF(C13=0,"OK","CONFERIR")</f>
        <v>CONFERIR</v>
      </c>
      <c r="E13" s="173" t="inlineStr">
        <is>
          <t>Mesmo critério: último dia do mês 9 contra os 270 dias do contrato.</t>
        </is>
      </c>
      <c r="F13" s="176" t="inlineStr">
        <is>
          <t>CRONOGRAMA PROJECT; 03. CONTRATOS</t>
        </is>
      </c>
    </row>
    <row r="14" ht="30" customHeight="1" s="71">
      <c r="A14" s="73" t="inlineStr">
        <is>
          <t>O9</t>
        </is>
      </c>
      <c r="B14" s="173" t="inlineStr">
        <is>
          <t>Data de corte (02. PARÂMETROS) atrasada em relação a hoje (dias)</t>
        </is>
      </c>
      <c r="C14" s="174">
        <f>MAX(0,TODAY()-DATA_GESTAO)</f>
        <v>0</v>
      </c>
      <c r="D14" s="175" t="str">
        <f>IF(C14&lt;=7,"OK","CONFERIR")</f>
        <v>OK</v>
      </c>
      <c r="E14" s="173" t="inlineStr">
        <is>
          <t>Toda segunda: mudar a data de corte para a sexta anterior. Tudo o que olha a data de gestão depende dela.</t>
        </is>
      </c>
      <c r="F14" s="176" t="inlineStr">
        <is>
          <t>02. PARÂMETROS</t>
        </is>
      </c>
    </row>
    <row r="15" ht="30" customHeight="1" s="71">
      <c r="A15" s="73" t="inlineStr">
        <is>
          <t>O10</t>
        </is>
      </c>
      <c r="B15" s="173" t="inlineStr">
        <is>
          <t>Itens de custo e resultado pendentes ou a decidir no MASTER CHECK (13, itens 8 a 15)</t>
        </is>
      </c>
      <c r="C15" s="174">
        <f>COUNTIF('13. CHECKS'!$C$12:$C$19,"PENDENTE")+COUNTIF('13. CHECKS'!$C$12:$C$19,"DECIDIR")</f>
        <v>5</v>
      </c>
      <c r="D15" s="175" t="str">
        <f>IF(C15=0,"OK","PENDENTE")</f>
        <v>PENDENTE</v>
      </c>
      <c r="E15" s="173" t="inlineStr">
        <is>
          <t>Cotar os itens sem cotação da 342 (estudo REV13, aba 12) e ler o prêmio do seguro da 343 (14. FONTES).</t>
        </is>
      </c>
      <c r="F15" s="176" t="inlineStr">
        <is>
          <t>13. CHECKS; 14. FONTES</t>
        </is>
      </c>
    </row>
    <row r="16" ht="30" customHeight="1" s="71">
      <c r="A16" s="73" t="inlineStr">
        <is>
          <t>O11</t>
        </is>
      </c>
      <c r="B16" s="173" t="inlineStr">
        <is>
          <t>342: custo sem cotação da TAF no plano (R$, SEM BASE)</t>
        </is>
      </c>
      <c r="C16" s="177">
        <f>'04. PLANO DAS OBRAS'!$C$37</f>
        <v>992750.51</v>
      </c>
      <c r="D16" s="175" t="str">
        <f>IF(N(C16)&gt;0,"PENDENTE","OK")</f>
        <v>PENDENTE</v>
      </c>
      <c r="E16" s="173" t="inlineStr">
        <is>
          <t>Valor do estudo REV13, aba 00 linha 20 (itens pela meta do preço do contrato). Cotar com fornecedores.</t>
        </is>
      </c>
      <c r="F16" s="176" t="inlineStr">
        <is>
          <t>04. PLANO DAS OBRAS, linha 37</t>
        </is>
      </c>
    </row>
    <row r="17" ht="30" customHeight="1" s="71">
      <c r="A17" s="73" t="inlineStr">
        <is>
          <t>O12</t>
        </is>
      </c>
      <c r="B17" s="173" t="inlineStr">
        <is>
          <t>Medição (06) com valor e obra diferente de 342, 343 e 281</t>
        </is>
      </c>
      <c r="C17" s="174">
        <f>COUNTIFS('06. MEDIÇÃO (BM)'!$G$5:$G$44,"&lt;&gt;")-COUNTIFS('06. MEDIÇÃO (BM)'!$G$5:$G$44,"&lt;&gt;",'06. MEDIÇÃO (BM)'!$B$5:$B$44,"342")-COUNTIFS('06. MEDIÇÃO (BM)'!$G$5:$G$44,"&lt;&gt;",'06. MEDIÇÃO (BM)'!$B$5:$B$44,"343")-COUNTIFS('06. MEDIÇÃO (BM)'!$G$5:$G$44,"&lt;&gt;",'06. MEDIÇÃO (BM)'!$B$5:$B$44,"281")</f>
        <v>0</v>
      </c>
      <c r="D17" s="175" t="str">
        <f>IF(C17=0,"OK","CONFERIR")</f>
        <v>OK</v>
      </c>
      <c r="E17" s="173" t="inlineStr">
        <is>
          <t>Digitar a obra (342, 343 ou 281) em cada BM.</t>
        </is>
      </c>
      <c r="F17" s="176" t="inlineStr">
        <is>
          <t>06. MEDIÇÃO (BM)</t>
        </is>
      </c>
    </row>
    <row r="18" ht="30" customHeight="1" s="71">
      <c r="A18" s="73" t="inlineStr">
        <is>
          <t>O13</t>
        </is>
      </c>
      <c r="B18" s="173" t="inlineStr">
        <is>
          <t>Medição (06) com valor e sem mês de referência</t>
        </is>
      </c>
      <c r="C18" s="174">
        <f>COUNTIFS('06. MEDIÇÃO (BM)'!$G$5:$G$44,"&lt;&gt;",'06. MEDIÇÃO (BM)'!$D$5:$D$44,"")</f>
        <v>0</v>
      </c>
      <c r="D18" s="175" t="str">
        <f>IF(C18=0,"OK","CONFERIR")</f>
        <v>OK</v>
      </c>
      <c r="E18" s="173" t="inlineStr">
        <is>
          <t>Digitar o mês de referência do BM.</t>
        </is>
      </c>
      <c r="F18" s="176" t="inlineStr">
        <is>
          <t>06. MEDIÇÃO (BM)</t>
        </is>
      </c>
    </row>
    <row r="19" ht="30" customHeight="1" s="71">
      <c r="A19" s="73" t="inlineStr">
        <is>
          <t>O14</t>
        </is>
      </c>
      <c r="B19" s="173" t="inlineStr">
        <is>
          <t>Custo lançado (08) com valor e sem obra 342, 343 ou 281</t>
        </is>
      </c>
      <c r="C19" s="174">
        <f>COUNTIFS('08. CUSTOS'!$F$5:$F$404,"&lt;&gt;")-COUNTIFS('08. CUSTOS'!$F$5:$F$404,"&lt;&gt;",'08. CUSTOS'!$C$5:$C$404,"342")-COUNTIFS('08. CUSTOS'!$F$5:$F$404,"&lt;&gt;",'08. CUSTOS'!$C$5:$C$404,"343")-COUNTIFS('08. CUSTOS'!$F$5:$F$404,"&lt;&gt;",'08. CUSTOS'!$C$5:$C$404,"281")</f>
        <v>0</v>
      </c>
      <c r="D19" s="175" t="str">
        <f>IF(C19=0,"OK","CONFERIR")</f>
        <v>OK</v>
      </c>
      <c r="E19" s="173" t="inlineStr">
        <is>
          <t>Sem obra o custo não entra no resultado de ninguém.</t>
        </is>
      </c>
      <c r="F19" s="176" t="inlineStr">
        <is>
          <t>08. CUSTOS</t>
        </is>
      </c>
    </row>
    <row r="20" ht="30" customHeight="1" s="71">
      <c r="A20" s="73" t="inlineStr">
        <is>
          <t>O15</t>
        </is>
      </c>
      <c r="B20" s="173" t="inlineStr">
        <is>
          <t>Custo lançado (08) com valor e sem mês de competência</t>
        </is>
      </c>
      <c r="C20" s="174">
        <f>COUNTIFS('08. CUSTOS'!$F$5:$F$404,"&lt;&gt;",'08. CUSTOS'!$B$5:$B$404,"")</f>
        <v>0</v>
      </c>
      <c r="D20" s="175" t="str">
        <f>IF(C20=0,"OK","CONFERIR")</f>
        <v>OK</v>
      </c>
      <c r="E20" s="173" t="inlineStr">
        <is>
          <t>Digitar o mês de competência.</t>
        </is>
      </c>
      <c r="F20" s="176" t="inlineStr">
        <is>
          <t>08. CUSTOS</t>
        </is>
      </c>
    </row>
    <row r="21" ht="30" customHeight="1" s="71">
      <c r="A21" s="73" t="inlineStr">
        <is>
          <t>O16</t>
        </is>
      </c>
      <c r="B21" s="173" t="inlineStr">
        <is>
          <t>Medido (06) acima do valor do contrato (R$)</t>
        </is>
      </c>
      <c r="C21" s="174">
        <f>MAX(0,SUMIFS('06. MEDIÇÃO (BM)'!$G$5:$G$44,'06. MEDIÇÃO (BM)'!$B$5:$B$44,"342")-'03. CONTRATOS'!$B$8)+MAX(0,SUMIFS('06. MEDIÇÃO (BM)'!$G$5:$G$44,'06. MEDIÇÃO (BM)'!$B$5:$B$44,"343")-'03. CONTRATOS'!$D$8)</f>
        <v>0</v>
      </c>
      <c r="D21" s="175" t="str">
        <f>IF(C21=0,"OK","CONFERIR")</f>
        <v>OK</v>
      </c>
      <c r="E21" s="173" t="inlineStr">
        <is>
          <t>Conferir BM repetido ou valor digitado errado.</t>
        </is>
      </c>
      <c r="F21" s="176" t="inlineStr">
        <is>
          <t>06. MEDIÇÃO (BM)</t>
        </is>
      </c>
    </row>
    <row r="22" ht="30" customHeight="1" s="71">
      <c r="A22" s="73" t="inlineStr">
        <is>
          <t>O17</t>
        </is>
      </c>
      <c r="B22" s="173" t="inlineStr">
        <is>
          <t>Etapas com % físico lançado e obra sem BM na 06</t>
        </is>
      </c>
      <c r="C22" s="174">
        <f>SUMPRODUCT(('CRONOGRAMA PROJECT'!$J$7:$J$27&gt;0)*(COUNTIFS('06. MEDIÇÃO (BM)'!$B$5:$B$44,'CRONOGRAMA PROJECT'!$B$7:$B$27,'06. MEDIÇÃO (BM)'!$G$5:$G$44,"&lt;&gt;")=0))</f>
        <v>0</v>
      </c>
      <c r="D22" s="175" t="str">
        <f>IF(C22=0,"OK","CONFERIR")</f>
        <v>OK</v>
      </c>
      <c r="E22" s="173" t="inlineStr">
        <is>
          <t>O % físico vem do BM: lançar o BM na 06 ou limpar o %.</t>
        </is>
      </c>
      <c r="F22" s="176" t="inlineStr">
        <is>
          <t>CRONOGRAMA PROJECT, coluna J</t>
        </is>
      </c>
    </row>
    <row r="23" ht="30" customHeight="1" s="71">
      <c r="A23" s="73" t="inlineStr">
        <is>
          <t>O18</t>
        </is>
      </c>
      <c r="B23" s="173" t="inlineStr">
        <is>
          <t>Etapas que já deveriam ter terminado e sem % físico lançado</t>
        </is>
      </c>
      <c r="C23" s="174">
        <f>COUNTIFS('CRONOGRAMA PROJECT'!$E$7:$E$27,"&lt;"&amp;DATA_GESTAO,'CRONOGRAMA PROJECT'!$J$7:$J$27,"",'CRONOGRAMA PROJECT'!$BV$7:$BV$27,"Contrato")</f>
        <v>0</v>
      </c>
      <c r="D23" s="175" t="str">
        <f>IF(C23=0,"OK","PENDENTE")</f>
        <v>OK</v>
      </c>
      <c r="E23" s="173" t="inlineStr">
        <is>
          <t>Lançar o % físico do BM da etapa.</t>
        </is>
      </c>
      <c r="F23" s="176" t="inlineStr">
        <is>
          <t>CRONOGRAMA PROJECT, coluna J</t>
        </is>
      </c>
    </row>
    <row r="24" ht="30" customHeight="1" s="71">
      <c r="A24" s="73" t="inlineStr">
        <is>
          <t>O19</t>
        </is>
      </c>
      <c r="B24" s="173" t="inlineStr">
        <is>
          <t>Placar da semana do corte sem lançamento nas três obras (05)</t>
        </is>
      </c>
      <c r="C24" s="174">
        <f>IF('13. CHECKS'!$C$10="OK",0,1)</f>
        <v>1</v>
      </c>
      <c r="D24" s="175" t="str">
        <f>IF(C24=0,"OK","PENDENTE")</f>
        <v>PENDENTE</v>
      </c>
      <c r="E24" s="173" t="inlineStr">
        <is>
          <t>O apontador lança cada dia na 05B e o engenheiro confirma na 05A o que prometeu; a 05. SEMANAS calcula sozinha.</t>
        </is>
      </c>
      <c r="F24" s="176" t="inlineStr">
        <is>
          <t>05B e 05A → 05. SEMANAS</t>
        </is>
      </c>
    </row>
    <row r="25" ht="30" customHeight="1" s="71">
      <c r="A25" s="73" t="inlineStr">
        <is>
          <t>O20</t>
        </is>
      </c>
      <c r="B25" s="173" t="inlineStr">
        <is>
          <t>Fluxo: recebimentos calculados fecham com a medição prevista (R$ de diferença)</t>
        </is>
      </c>
      <c r="C25" s="174">
        <f>ROUND(ABS('FLUXO PROJETADO TAF'!$S$25+'FLUXO PROJETADO TAF'!$S$47-('FLUXO PROJETADO TAF'!$S$23+'FLUXO PROJETADO TAF'!$S$45)*(1-'FLUXO PROJETADO TAF'!$C$9)),2)</f>
        <v>0</v>
      </c>
      <c r="D25" s="175" t="str">
        <f>IF(C25&lt;1,"OK","CONFERIR")</f>
        <v>OK</v>
      </c>
      <c r="E25" s="173" t="inlineStr">
        <is>
          <t>Se não fecha, algum recebimento caiu depois de dez/27 (atraso muito grande).</t>
        </is>
      </c>
      <c r="F25" s="176" t="inlineStr">
        <is>
          <t>FLUXO PROJETADO TAF</t>
        </is>
      </c>
    </row>
    <row r="26" ht="30" customHeight="1" s="71">
      <c r="A26" s="73" t="inlineStr">
        <is>
          <t>O21</t>
        </is>
      </c>
      <c r="B26" s="173" t="inlineStr">
        <is>
          <t>Fluxo: saídas do estudo batem com a 04. PLANO DAS OBRAS (R$ de diferença)</t>
        </is>
      </c>
      <c r="C26" s="174">
        <f>ROUND(ABS('FLUXO PROJETADO TAF'!$S$32+'FLUXO PROJETADO TAF'!$S$54-('04. PLANO DAS OBRAS'!$S$12+'04. PLANO DAS OBRAS'!$S$24)),2)</f>
        <v>0</v>
      </c>
      <c r="D26" s="175" t="str">
        <f>IF(C26&lt;1,"OK","CONFERIR")</f>
        <v>OK</v>
      </c>
      <c r="E26" s="173" t="inlineStr">
        <is>
          <t>O estudo mudou depois de gerar a base? Gerar de novo.</t>
        </is>
      </c>
      <c r="F26" s="176" t="inlineStr">
        <is>
          <t>FLUXO PROJETADO TAF; 04. PLANO DAS OBRAS</t>
        </is>
      </c>
    </row>
    <row r="27" ht="30" customHeight="1" s="71">
      <c r="A27" s="73" t="inlineStr">
        <is>
          <t>O22</t>
        </is>
      </c>
      <c r="B27" s="173" t="inlineStr">
        <is>
          <t>342: medição do fluxo bate com a grade do eventograma (R$ de diferença)</t>
        </is>
      </c>
      <c r="C27" s="174">
        <f>ROUND(ABS('FLUXO PROJETADO TAF'!$S$23-'CRONOGRAMA PROJECT'!$P$49),2)</f>
        <v>0</v>
      </c>
      <c r="D27" s="175" t="str">
        <f>IF(C27&lt;5,"OK","CONFERIR")</f>
        <v>OK</v>
      </c>
      <c r="E27" s="173" t="inlineStr">
        <is>
          <t>As duas vêm do eventograma Anexo VII (estudo REV13): grade pelos dias de execução, fluxo pelo BM.</t>
        </is>
      </c>
      <c r="F27" s="176" t="inlineStr">
        <is>
          <t>FLUXO PROJETADO TAF; CRONOGRAMA PROJECT</t>
        </is>
      </c>
    </row>
    <row r="28" ht="30" customHeight="1" s="71">
      <c r="A28" s="73" t="inlineStr">
        <is>
          <t>O23</t>
        </is>
      </c>
      <c r="B28" s="173" t="inlineStr">
        <is>
          <t>343: plano do motor difere do contrato mais que 0,5% (R$)</t>
        </is>
      </c>
      <c r="C28" s="174">
        <f>MAX(0,ABS('FLUXO PROJETADO TAF'!$S$45-'03. CONTRATOS'!$D$8)-0.005*'03. CONTRATOS'!$D$8)</f>
        <v>0</v>
      </c>
      <c r="D28" s="175" t="str">
        <f>IF(C28=0,"OK","CONFERIR")</f>
        <v>OK</v>
      </c>
      <c r="E28" s="173" t="inlineStr">
        <is>
          <t>Mesma tolerância do check 5 da 13. CHECKS.</t>
        </is>
      </c>
      <c r="F28" s="176" t="inlineStr">
        <is>
          <t>FLUXO PROJETADO TAF</t>
        </is>
      </c>
    </row>
    <row r="29" ht="30" customHeight="1" s="71">
      <c r="A29" s="73" t="inlineStr">
        <is>
          <t>O24</t>
        </is>
      </c>
      <c r="B29" s="173" t="inlineStr">
        <is>
          <t>Cenário sem atraso e sem glosa igual ao cenário ativo, quando C8 e C9 estão zerados (R$ de diferença)</t>
        </is>
      </c>
      <c r="C29" s="174">
        <f>IF(AND('FLUXO PROJETADO TAF'!$C$8=0,'FLUXO PROJETADO TAF'!$C$9=0),ROUND(ABS('FLUXO PROJETADO TAF'!$E$14-'FLUXO PROJETADO TAF'!$C$85),2),0)</f>
        <v>0</v>
      </c>
      <c r="D29" s="175" t="str">
        <f>IF(C29&lt;1,"OK","CONFERIR")</f>
        <v>OK</v>
      </c>
      <c r="E29" s="173" t="inlineStr">
        <is>
          <t>Se difere, a fórmula do cenário não é a do fluxo.</t>
        </is>
      </c>
      <c r="F29" s="176" t="inlineStr">
        <is>
          <t>FLUXO PROJETADO TAF</t>
        </is>
      </c>
    </row>
    <row r="30"/>
    <row r="31">
      <c r="B31" s="81" t="inlineStr">
        <is>
          <t>Resumo da operação</t>
        </is>
      </c>
      <c r="D31" s="81" t="str">
        <f>COUNTIF(D6:D29,"CONFERIR")&amp;" a conferir · "&amp;COUNTIF(D6:D29,"PENDENTE")&amp;" pendentes"</f>
        <v>3 a conferir · 5 pendentes</v>
      </c>
    </row>
  </sheetData>
  <mergeCells count="1">
    <mergeCell ref="A3:F3"/>
  </mergeCells>
  <conditionalFormatting sqref="D6:D29">
    <cfRule type="cellIs" priority="1" operator="equal" dxfId="2" stopIfTrue="1">
      <formula>"CONFERIR"</formula>
    </cfRule>
    <cfRule type="cellIs" priority="2" operator="equal" dxfId="1" stopIfTrue="1">
      <formula>"OK"</formula>
    </cfRule>
    <cfRule type="cellIs" priority="3" operator="equal" dxfId="0" stopIfTrue="1">
      <formula>"PENDENTE"</formula>
    </cfRule>
  </conditionalFormatting>
  <pageMargins left="0.3888888888888889" right="0.3888888888888889" top="0.3888888888888889" bottom="0.3888888888888889" header="0.31496062" footer="0.31496062"/>
  <pageSetup orientation="landscape" paperSize="8" scale="93" fitToHeight="0"/>
  <drawing xmlns:r="http://schemas.openxmlformats.org/officeDocument/2006/relationships" r:id="rIdDrw1"/>
</worksheet>
</file>

<file path=xl/worksheets/sheet11.xml><?xml version="1.0" encoding="utf-8"?>
<worksheet xmlns="http://schemas.openxmlformats.org/spreadsheetml/2006/main">
  <sheetPr>
    <tabColor rgb="FFA6A6A6"/>
    <outlinePr summaryBelow="1" summaryRight="1"/>
    <pageSetUpPr fitToPage="1"/>
  </sheetPr>
  <dimension ref="A1:L13"/>
  <sheetViews>
    <sheetView showGridLines="0" workbookViewId="0">
      <selection activeCell="A1" sqref="A1"/>
    </sheetView>
  </sheetViews>
  <sheetFormatPr baseColWidth="8" defaultRowHeight="15"/>
  <cols>
    <col width="44" customWidth="1" style="71" min="1" max="1"/>
    <col width="15" customWidth="1" style="71" min="2" max="11"/>
  </cols>
  <sheetData>
    <row r="1" ht="26.1" customHeight="1" s="71">
      <c r="A1" s="1" t="inlineStr">
        <is>
          <t>01. PAINEL — TAF em uma página</t>
        </is>
      </c>
      <c r="B1" s="2" t="n"/>
      <c r="C1" s="2" t="n"/>
      <c r="D1" s="2" t="n"/>
      <c r="E1" s="2" t="n"/>
      <c r="F1" s="2" t="n"/>
      <c r="G1" s="2" t="n"/>
      <c r="H1" s="2" t="n"/>
      <c r="I1" s="2" t="n"/>
      <c r="J1" s="2" t="n"/>
      <c r="K1" s="2" t="n"/>
      <c r="L1" s="3" t="inlineStr">
        <is>
          <t>◀ MENU</t>
        </is>
      </c>
    </row>
    <row r="2">
      <c r="A2" s="4" t="inlineStr">
        <is>
          <t>Tudo fórmula. Data de corte na 02. PARÂMETROS.</t>
        </is>
      </c>
    </row>
    <row r="3">
      <c r="A3" s="8" t="inlineStr">
        <is>
          <t>Data de corte:</t>
        </is>
      </c>
      <c r="B3" s="17">
        <f>'02. PARÂMETROS'!$B$5</f>
        <v>46311.0</v>
      </c>
      <c r="F3" s="18" t="str">
        <f>"MASTER CHECK: "&amp;H3</f>
        <v>MASTER CHECK: DECIDIR</v>
      </c>
      <c r="H3" s="19" t="str">
        <f>'13. CHECKS'!$C$3</f>
        <v>DECIDIR</v>
      </c>
    </row>
    <row r="4"/>
    <row r="5">
      <c r="A5" s="20" t="inlineStr">
        <is>
          <t>CONTRATADO (3 obras, 100% de cada)</t>
        </is>
      </c>
      <c r="B5" s="21" t="n"/>
      <c r="C5" s="20" t="inlineStr">
        <is>
          <t>MEDIDO ATÉ O CORTE</t>
        </is>
      </c>
      <c r="D5" s="21" t="n"/>
      <c r="E5" s="20" t="inlineStr">
        <is>
          <t>RECEBIDO</t>
        </is>
      </c>
      <c r="F5" s="21" t="n"/>
      <c r="G5" s="20" t="inlineStr">
        <is>
          <t>CUSTO REALIZADO</t>
        </is>
      </c>
      <c r="H5" s="21" t="n"/>
      <c r="I5" s="20" t="inlineStr">
        <is>
          <t>CAPITAL DE GIRO (342 e 343, sem a 281, sem adm central e sem juro; com juro na 10. CAIXA)</t>
        </is>
      </c>
      <c r="J5" s="21" t="n"/>
    </row>
    <row r="6" ht="20.25" customHeight="1" s="71">
      <c r="A6" s="273">
        <f>'08B. TODAS AS OBRAS'!B8</f>
        <v>25604649.77</v>
      </c>
      <c r="B6" s="21" t="n"/>
      <c r="C6" s="273">
        <f>'08B. TODAS AS OBRAS'!C8</f>
        <v>5719898.31</v>
      </c>
      <c r="D6" s="21" t="n"/>
      <c r="E6" s="273">
        <f>'08B. TODAS AS OBRAS'!F8</f>
        <v>554203.24</v>
      </c>
      <c r="F6" s="21" t="n"/>
      <c r="G6" s="273">
        <f>'08B. TODAS AS OBRAS'!G8</f>
        <v>1103553.37</v>
      </c>
      <c r="H6" s="21" t="n"/>
      <c r="I6" s="273">
        <f>'FLUXO PROJETADO TAF'!$E$16</f>
        <v>1966458.646</v>
      </c>
      <c r="J6" s="21" t="n"/>
    </row>
    <row r="7">
      <c r="A7" s="274">
        <f>'08B. TODAS AS OBRAS'!B9</f>
        <v>17044641.9</v>
      </c>
      <c r="B7" s="21" t="n"/>
      <c r="C7" s="274">
        <f>'08B. TODAS AS OBRAS'!C9</f>
        <v>2859949.155</v>
      </c>
      <c r="D7" s="21" t="n"/>
      <c r="E7" s="274">
        <f>'08B. TODAS AS OBRAS'!F9</f>
        <v>277101.62</v>
      </c>
      <c r="F7" s="21" t="n"/>
      <c r="G7" s="274">
        <f>'08B. TODAS AS OBRAS'!G9</f>
        <v>551776.685</v>
      </c>
      <c r="H7" s="21" t="n"/>
      <c r="I7" s="21" t="n"/>
      <c r="J7" s="21" t="n"/>
    </row>
    <row r="8">
      <c r="A8" s="10" t="inlineStr">
        <is>
          <t>POR OBRA</t>
        </is>
      </c>
      <c r="B8" s="11" t="n"/>
      <c r="C8" s="11" t="n"/>
      <c r="D8" s="11" t="n"/>
      <c r="E8" s="11" t="n"/>
      <c r="F8" s="11" t="n"/>
      <c r="G8" s="11" t="n"/>
      <c r="H8" s="11" t="n"/>
      <c r="I8" s="11" t="n"/>
      <c r="J8" s="11" t="n"/>
      <c r="K8" s="11" t="n"/>
    </row>
    <row r="9" ht="30" customHeight="1" s="71">
      <c r="A9" s="23" t="inlineStr">
        <is>
          <t>OBRA</t>
        </is>
      </c>
      <c r="B9" s="23" t="n"/>
      <c r="C9" s="23" t="inlineStr">
        <is>
          <t>CONTRATO</t>
        </is>
      </c>
      <c r="D9" s="23" t="inlineStr">
        <is>
          <t>% MEDIDO</t>
        </is>
      </c>
      <c r="E9" s="23" t="inlineStr">
        <is>
          <t>IDP (só BM aprovado)</t>
        </is>
      </c>
      <c r="F9" s="23" t="inlineStr">
        <is>
          <t>CUSTO ÷ PREVISTO</t>
        </is>
      </c>
      <c r="G9" s="23" t="inlineStr">
        <is>
          <t>CAIXA DA OBRA</t>
        </is>
      </c>
      <c r="H9" s="23" t="inlineStr">
        <is>
          <t>RESULTADO REALIZADO</t>
        </is>
      </c>
      <c r="I9" s="23" t="inlineStr">
        <is>
          <t>RESULTADO PREVISTO (o estudo interno estima)</t>
        </is>
      </c>
      <c r="J9" s="23" t="inlineStr">
        <is>
          <t>PICO PREVISTO (pessoas)</t>
        </is>
      </c>
      <c r="K9" s="23" t="inlineStr">
        <is>
          <t>FIM DO PRAZO</t>
        </is>
      </c>
    </row>
    <row r="10">
      <c r="A10" s="5" t="inlineStr">
        <is>
          <t>342 — SANEAGO UTR Santo Antônio do Descoberto</t>
        </is>
      </c>
      <c r="B10" s="24" t="n"/>
      <c r="C10" s="275">
        <f>'08B. TODAS AS OBRAS'!B5</f>
        <v>3258000</v>
      </c>
      <c r="D10" s="276">
        <f>'08B. TODAS AS OBRAS'!D5</f>
        <v>0</v>
      </c>
      <c r="E10" s="27" t="str">
        <f>'08B. TODAS AS OBRAS'!J5</f>
        <v>SEM BASE</v>
      </c>
      <c r="F10" s="27" t="str">
        <f>IF(OR(DATA_GESTAO-'08B. TODAS AS OBRAS'!$K$5&gt;'01A. GESTÃO DA SEMANA'!$C$54,N('08B. TODAS AS OBRAS'!H5)=0),"SEM BASE",'08B. TODAS AS OBRAS'!G5/'08B. TODAS AS OBRAS'!H5)</f>
        <v>SEM BASE</v>
      </c>
      <c r="G10" s="275" t="str">
        <f>'08B. TODAS AS OBRAS'!I5</f>
        <v>SEM BASE</v>
      </c>
      <c r="H10" s="275" t="str">
        <f>IF(DATA_GESTAO-'08B. TODAS AS OBRAS'!$K$5&gt;'01A. GESTÃO DA SEMANA'!$C$54,"SEM BASE",'08C. RESULTADO POR OBRA'!B12)</f>
        <v>SEM BASE</v>
      </c>
      <c r="I10" s="275" t="str">
        <f>IF(N('04. PLANO DAS OBRAS'!$C$37)&gt;0,"SEM BASE",'04. PLANO DAS OBRAS'!C31)</f>
        <v>SEM BASE</v>
      </c>
      <c r="J10" s="28">
        <f>'04. PLANO DAS OBRAS'!C35</f>
        <v>43</v>
      </c>
      <c r="K10" s="29">
        <f>'03. CONTRATOS'!$B$20</f>
        <v>46625.0</v>
      </c>
    </row>
    <row r="11">
      <c r="A11" s="5" t="inlineStr">
        <is>
          <t>343 — CAESB Subadutora Sobradinho</t>
        </is>
      </c>
      <c r="B11" s="24" t="n"/>
      <c r="C11" s="275">
        <f>'08B. TODAS AS OBRAS'!B6</f>
        <v>5226634.03</v>
      </c>
      <c r="D11" s="276">
        <f>'08B. TODAS AS OBRAS'!D6</f>
        <v>0</v>
      </c>
      <c r="E11" s="27" t="str">
        <f>'08B. TODAS AS OBRAS'!J6</f>
        <v>SEM BASE</v>
      </c>
      <c r="F11" s="27" t="str">
        <f>IF(OR(DATA_GESTAO-'08B. TODAS AS OBRAS'!$K$6&gt;'01A. GESTÃO DA SEMANA'!$C$54,N('08B. TODAS AS OBRAS'!H6)=0),"SEM BASE",'08B. TODAS AS OBRAS'!G6/'08B. TODAS AS OBRAS'!H6)</f>
        <v>SEM BASE</v>
      </c>
      <c r="G11" s="275" t="str">
        <f>'08B. TODAS AS OBRAS'!I6</f>
        <v>SEM BASE</v>
      </c>
      <c r="H11" s="275" t="str">
        <f>IF(DATA_GESTAO-'08B. TODAS AS OBRAS'!$K$6&gt;'01A. GESTÃO DA SEMANA'!$C$54,"SEM BASE",'08C. RESULTADO POR OBRA'!B24)</f>
        <v>SEM BASE</v>
      </c>
      <c r="I11" s="275">
        <f>IF(OR(N('04. PLANO DAS OBRAS'!$D$37)&gt;0,AND(ABS(N('04. PLANO DAS OBRAS'!$D$30)-N('04. PLANO DAS OBRAS'!$S$24)-N('13. CHECKS'!$E$16))&gt;1,ABS(N('04. PLANO DAS OBRAS'!$D$30)-N('04. PLANO DAS OBRAS'!$S$24))&gt;1)),"SEM BASE",'04. PLANO DAS OBRAS'!D31)</f>
        <v>1080334.13700116</v>
      </c>
      <c r="J11" s="28">
        <f>'04. PLANO DAS OBRAS'!D35</f>
        <v>11.3108</v>
      </c>
      <c r="K11" s="29">
        <f>'03. CONTRATOS'!$D$20</f>
        <v>46535.0</v>
      </c>
    </row>
    <row r="12">
      <c r="A12" s="5" t="inlineStr">
        <is>
          <t>281 — SANEAGO Mozarlândia (consórcio TAF TECNOBOMBAS)</t>
        </is>
      </c>
      <c r="B12" s="24" t="n"/>
      <c r="C12" s="275">
        <f>'08B. TODAS AS OBRAS'!B7</f>
        <v>17120015.74</v>
      </c>
      <c r="D12" s="276">
        <f>'08B. TODAS AS OBRAS'!D7</f>
        <v>0.334105902521793</v>
      </c>
      <c r="E12" s="27">
        <f>'08B. TODAS AS OBRAS'!J7</f>
        <v>1.25100319828372</v>
      </c>
      <c r="F12" s="27" t="str">
        <f>IF(OR(NOT(ISNUMBER('08B. TODAS AS OBRAS'!H7)),DATA_GESTAO-'08B. TODAS AS OBRAS'!$K$7&gt;'01A. GESTÃO DA SEMANA'!$C$54,N('08B. TODAS AS OBRAS'!H7)=0),"SEM BASE",'08B. TODAS AS OBRAS'!G7/'08B. TODAS AS OBRAS'!H7)</f>
        <v>SEM BASE</v>
      </c>
      <c r="G12" s="275" t="str">
        <f>'08B. TODAS AS OBRAS'!I7</f>
        <v>faltam NFs de BMs na 07</v>
      </c>
      <c r="H12" s="275" t="str">
        <f>IF(ISTEXT('08C. RESULTADO POR OBRA'!B36),'08C. RESULTADO POR OBRA'!B36,'08C. RESULTADO POR OBRA'!B40)</f>
        <v>custo lançado só até 30/05/26</v>
      </c>
      <c r="I12" s="275" t="str">
        <f>IF(N('04. PLANO DAS OBRAS'!$E$30)=0,"SEM BASE",'04. PLANO DAS OBRAS'!E31)</f>
        <v>SEM BASE</v>
      </c>
      <c r="J12" s="28" t="str">
        <f>"sem histograma"</f>
        <v>sem histograma</v>
      </c>
      <c r="K12" s="29">
        <f>'03. CONTRATOS'!$F$20</f>
        <v>46702.0</v>
      </c>
    </row>
    <row r="13">
      <c r="A13" s="4" t="inlineStr">
        <is>
          <t>Leitura rápida: IDP abaixo de 1 = atrasado no que o cliente paga (só BM aprovado; com o enviado e o do mês na 01C); custo ÷ previsto acima de 1 = gastando mais que o plano; caixa da obra negativo = a TAF está financiando. SEM BASE = falta dado (custo sem cotação, custo lançado há mais de 35 dias ou custo sem conferência). Linha 7 = parte da TAF (08B coluna Q). Luzes da semana: 01A. 281: sem orçamento de custo e com custo lançado só até a data da 08B, coluna K.</t>
        </is>
      </c>
    </row>
  </sheetData>
  <conditionalFormatting sqref="F3">
    <cfRule type="expression" priority="1" dxfId="16">
      <formula>$H$3="OK"</formula>
    </cfRule>
    <cfRule type="expression" priority="2" dxfId="15">
      <formula>$H$3="PENDENTE"</formula>
    </cfRule>
    <cfRule type="expression" priority="3" dxfId="14">
      <formula>$H$3="ERRO"</formula>
    </cfRule>
    <cfRule type="expression" priority="4" dxfId="25">
      <formula>$H$3="DECIDIR"</formula>
    </cfRule>
  </conditionalFormatting>
  <hyperlinks>
    <hyperlink ref="L1" location="'00A. MENU'!A1" display="◀ MENU"/>
    <hyperlink ref="F3" location="'13. CHECKS'!A1" display="'13. CHECKS'!A1"/>
  </hyperlinks>
  <pageMargins left="0.75" right="0.75" top="1" bottom="1" header="0.5" footer="0.5"/>
  <pageSetup orientation="landscape" fitToHeight="0"/>
</worksheet>
</file>

<file path=xl/worksheets/sheet12.xml><?xml version="1.0" encoding="utf-8"?>
<worksheet xmlns="http://schemas.openxmlformats.org/spreadsheetml/2006/main">
  <sheetPr>
    <tabColor rgb="FF70AD47"/>
    <outlinePr summaryBelow="1" summaryRight="1"/>
    <pageSetUpPr/>
  </sheetPr>
  <dimension ref="A1:J60"/>
  <sheetViews>
    <sheetView showGridLines="0" workbookViewId="0">
      <pane ySplit="5" topLeftCell="A6" activePane="bottomLeft" state="frozen"/>
      <selection pane="bottomLeft" activeCell="A1" sqref="A1"/>
    </sheetView>
  </sheetViews>
  <sheetFormatPr baseColWidth="8" defaultRowHeight="15"/>
  <cols>
    <col width="13" customWidth="1" style="71" min="1" max="1"/>
    <col width="56" customWidth="1" style="71" min="2" max="2"/>
    <col width="15" customWidth="1" style="71" min="3" max="3"/>
    <col width="12" customWidth="1" style="71" min="4" max="4"/>
    <col width="15" customWidth="1" style="71" min="5" max="5"/>
    <col width="12" customWidth="1" style="71" min="6" max="6"/>
    <col width="15" customWidth="1" style="71" min="7" max="7"/>
    <col width="12" customWidth="1" style="71" min="8" max="8"/>
    <col width="44" customWidth="1" style="71" min="9" max="9"/>
    <col width="26" customWidth="1" style="71" min="10" max="10"/>
  </cols>
  <sheetData>
    <row r="1" ht="30" customHeight="1" s="71">
      <c r="A1" s="1" t="inlineStr">
        <is>
          <t>01A. GESTÃO DA SEMANA — 10 perguntas, 3 luzes e 1 decisão por obra</t>
        </is>
      </c>
      <c r="B1" s="2" t="n"/>
      <c r="C1" s="2" t="n"/>
      <c r="D1" s="2" t="n"/>
      <c r="E1" s="2" t="n"/>
      <c r="F1" s="2" t="n"/>
      <c r="G1" s="2" t="n"/>
      <c r="H1" s="2" t="n"/>
      <c r="I1" s="2" t="n"/>
      <c r="J1" s="277" t="inlineStr">
        <is>
          <t>◀ MENU</t>
        </is>
      </c>
    </row>
    <row r="2"/>
    <row r="3">
      <c r="A3" s="18" t="inlineStr">
        <is>
          <t>Corte</t>
        </is>
      </c>
      <c r="B3" s="69">
        <f>DATA_GESTAO</f>
        <v>46311.0</v>
      </c>
      <c r="C3" s="54" t="str">
        <f>"semana de "&amp;TEXT(DAY(DATA_GESTAO-4),"00")&amp;"/"&amp;TEXT(MONTH(DATA_GESTAO-4),"00")&amp;" a "&amp;TEXT(DAY(DATA_GESTAO),"00")&amp;"/"&amp;TEXT(MONTH(DATA_GESTAO),"00")&amp;"/"&amp;YEAR(DATA_GESTAO)</f>
        <v>semana de 12/10 a 16/10/2026</v>
      </c>
    </row>
    <row r="4"/>
    <row r="5" ht="42" customHeight="1" s="71">
      <c r="A5" s="215" t="inlineStr">
        <is>
          <t>Nº</t>
        </is>
      </c>
      <c r="B5" s="215" t="inlineStr">
        <is>
          <t>PERGUNTA</t>
        </is>
      </c>
      <c r="C5" s="215" t="inlineStr">
        <is>
          <t>342 · NÚMERO</t>
        </is>
      </c>
      <c r="D5" s="215" t="inlineStr">
        <is>
          <t>342 · COR</t>
        </is>
      </c>
      <c r="E5" s="215" t="inlineStr">
        <is>
          <t>343 · NÚMERO</t>
        </is>
      </c>
      <c r="F5" s="215" t="inlineStr">
        <is>
          <t>343 · COR</t>
        </is>
      </c>
      <c r="G5" s="215" t="inlineStr">
        <is>
          <t>281 · NÚMERO</t>
        </is>
      </c>
      <c r="H5" s="215" t="inlineStr">
        <is>
          <t>281 · COR</t>
        </is>
      </c>
      <c r="I5" s="215" t="inlineStr">
        <is>
          <t>REGRA DA COR</t>
        </is>
      </c>
      <c r="J5" s="215" t="inlineStr">
        <is>
          <t>DE ONDE VEM</t>
        </is>
      </c>
    </row>
    <row r="6" ht="52" customHeight="1" s="71">
      <c r="A6" s="278" t="inlineStr">
        <is>
          <t>P1</t>
        </is>
      </c>
      <c r="B6" s="279" t="inlineStr">
        <is>
          <t>O que produzo vai dar lucro? (IDC a custo: valor agregado a custo ÷ custo lançado)</t>
        </is>
      </c>
      <c r="C6" s="280" t="str">
        <f>'12. EVM E CURVA S'!$G$38</f>
        <v>sem custo lançado</v>
      </c>
      <c r="D6" s="278" t="str">
        <f>IF(ISTEXT(C6),"SEM BASE",IF(C6&gt;=1,"VERDE",IF(C6&gt;=$C$49,"AMARELO","VERMELHO")))</f>
        <v>SEM BASE</v>
      </c>
      <c r="E6" s="280" t="str">
        <f>IF('08B. TODAS AS OBRAS'!G6=0,"sem custo lançado",IF(DATA_GESTAO-'08B. TODAS AS OBRAS'!$K$6&gt;'01A. GESTÃO DA SEMANA'!$C$54,"custo lançado só até "&amp;TEXT(DAY('08B. TODAS AS OBRAS'!$K$6),"00")&amp;"/"&amp;TEXT(MONTH('08B. TODAS AS OBRAS'!$K$6),"00")&amp;"/"&amp;RIGHT(YEAR('08B. TODAS AS OBRAS'!$K$6),2),IF('08B. TODAS AS OBRAS'!C6=0,"sem BM aprovado",IF(N('04. PLANO DAS OBRAS'!$S$18)=0,"sem plano",'08B. TODAS AS OBRAS'!C6*'04. PLANO DAS OBRAS'!$S$24/'04. PLANO DAS OBRAS'!$S$18/'08B. TODAS AS OBRAS'!G6))))</f>
        <v>sem custo lançado</v>
      </c>
      <c r="F6" s="278" t="str">
        <f>IF(ISTEXT(E6),"SEM BASE",IF(E6&gt;=1,"VERDE",IF(E6&gt;=$C$49,"AMARELO","VERMELHO")))</f>
        <v>SEM BASE</v>
      </c>
      <c r="G6" s="280" t="str">
        <f>IF(N('04. PLANO DAS OBRAS'!$E$30)=0,"sem orçamento de custo",IF('08B. TODAS AS OBRAS'!G7=0,"sem custo lançado",IF(DATA_GESTAO-'08B. TODAS AS OBRAS'!$K$7&gt;'01A. GESTÃO DA SEMANA'!$C$54,"custo lançado só até "&amp;TEXT(DAY('08B. TODAS AS OBRAS'!$K$7),"00")&amp;"/"&amp;TEXT(MONTH('08B. TODAS AS OBRAS'!$K$7),"00")&amp;"/"&amp;RIGHT(YEAR('08B. TODAS AS OBRAS'!$K$7),2),'08B. TODAS AS OBRAS'!C7*'04. PLANO DAS OBRAS'!$E$30/'03. CONTRATOS'!$F$8/'08B. TODAS AS OBRAS'!G7)))</f>
        <v>sem orçamento de custo</v>
      </c>
      <c r="H6" s="278" t="str">
        <f>IF(ISTEXT(G6),"SEM BASE",IF(G6&gt;=1,"VERDE",IF(G6&gt;=$C$49,"AMARELO","VERMELHO")))</f>
        <v>SEM BASE</v>
      </c>
      <c r="I6" s="269" t="inlineStr">
        <is>
          <t>Verde: IDC a custo ≥ 1,00 (o feito custou o que o estudo previa). Amarelo: ≥ L9. Sem custo lançado, custo lançado há mais de 35 dias, sem % físico (342) ou sem orçamento de custo (281): SEM BASE.</t>
        </is>
      </c>
      <c r="J6" s="269" t="inlineStr">
        <is>
          <t>342: 12. EVM linha 38 (custo da etapa × % físico); 343: 08B e 04 S24 ÷ S18; 281: 04 E30</t>
        </is>
      </c>
    </row>
    <row r="7" ht="52" customHeight="1" s="71">
      <c r="A7" s="278" t="inlineStr">
        <is>
          <t>P2</t>
        </is>
      </c>
      <c r="B7" s="279" t="inlineStr">
        <is>
          <t>Vai chegar no planejado? (PPC da semana)</t>
        </is>
      </c>
      <c r="C7" s="281" t="str">
        <f>IF(SUMIFS('05. SEMANAS'!$C$5:$C$64,'05. SEMANAS'!$A$5:$A$64,DATA_GESTAO,'05. SEMANAS'!$B$5:$B$64,"342")=0,"sem compromisso confirmado",SUMIFS('05. SEMANAS'!$D$5:$D$64,'05. SEMANAS'!$A$5:$A$64,DATA_GESTAO,'05. SEMANAS'!$B$5:$B$64,"342")/SUMIFS('05. SEMANAS'!$C$5:$C$64,'05. SEMANAS'!$A$5:$A$64,DATA_GESTAO,'05. SEMANAS'!$B$5:$B$64,"342"))</f>
        <v>sem compromisso confirmado</v>
      </c>
      <c r="D7" s="278" t="str">
        <f>IF(ISTEXT(C7),"SEM BASE",IF(C7&gt;=$C$41,"VERDE",IF(C7&gt;=$C$42,"AMARELO","VERMELHO")))</f>
        <v>SEM BASE</v>
      </c>
      <c r="E7" s="281" t="str">
        <f>IF(SUMIFS('05. SEMANAS'!$C$5:$C$64,'05. SEMANAS'!$A$5:$A$64,DATA_GESTAO,'05. SEMANAS'!$B$5:$B$64,"343")=0,"sem compromisso confirmado",SUMIFS('05. SEMANAS'!$D$5:$D$64,'05. SEMANAS'!$A$5:$A$64,DATA_GESTAO,'05. SEMANAS'!$B$5:$B$64,"343")/SUMIFS('05. SEMANAS'!$C$5:$C$64,'05. SEMANAS'!$A$5:$A$64,DATA_GESTAO,'05. SEMANAS'!$B$5:$B$64,"343"))</f>
        <v>sem compromisso confirmado</v>
      </c>
      <c r="F7" s="278" t="str">
        <f>IF(ISTEXT(E7),"SEM BASE",IF(E7&gt;=$C$41,"VERDE",IF(E7&gt;=$C$42,"AMARELO","VERMELHO")))</f>
        <v>SEM BASE</v>
      </c>
      <c r="G7" s="281" t="str">
        <f>IF(SUMIFS('05. SEMANAS'!$C$5:$C$64,'05. SEMANAS'!$A$5:$A$64,DATA_GESTAO,'05. SEMANAS'!$B$5:$B$64,"281")=0,"sem compromisso confirmado",SUMIFS('05. SEMANAS'!$D$5:$D$64,'05. SEMANAS'!$A$5:$A$64,DATA_GESTAO,'05. SEMANAS'!$B$5:$B$64,"281")/SUMIFS('05. SEMANAS'!$C$5:$C$64,'05. SEMANAS'!$A$5:$A$64,DATA_GESTAO,'05. SEMANAS'!$B$5:$B$64,"281"))</f>
        <v>sem compromisso confirmado</v>
      </c>
      <c r="H7" s="278" t="str">
        <f>IF(ISTEXT(G7),"SEM BASE",IF(G7&gt;=$C$41,"VERDE",IF(G7&gt;=$C$42,"AMARELO","VERMELHO")))</f>
        <v>SEM BASE</v>
      </c>
      <c r="I7" s="269" t="inlineStr">
        <is>
          <t>Verde ≥ 80%; amarelo ≥ 60%. Sem compromisso confirmado na 05A: SEM BASE.</t>
        </is>
      </c>
      <c r="J7" s="269" t="inlineStr">
        <is>
          <t>05. SEMANAS ← 05A</t>
        </is>
      </c>
    </row>
    <row r="8" ht="52" customHeight="1" s="71">
      <c r="A8" s="278" t="inlineStr">
        <is>
          <t>P3</t>
        </is>
      </c>
      <c r="B8" s="279" t="inlineStr">
        <is>
          <t>Gente suficiente? (efetivo apontado ÷ previsto no mês)</t>
        </is>
      </c>
      <c r="C8" s="281" t="str">
        <f>IF(C30&lt;$C$53,"apontamento abaixo do mínimo",'01C. PLACAR SEMANAL'!C8)</f>
        <v>apontamento abaixo do mínimo</v>
      </c>
      <c r="D8" s="278" t="str">
        <f>IF(ISTEXT(C8),"SEM BASE",IF(ABS(C8-1)&lt;=$C$43,"VERDE",IF(ABS(C8-1)&lt;=$C$44,"AMARELO","VERMELHO")))</f>
        <v>SEM BASE</v>
      </c>
      <c r="E8" s="281" t="str">
        <f>IF(E30&lt;$C$53,"apontamento abaixo do mínimo",'01C. PLACAR SEMANAL'!D8)</f>
        <v>apontamento abaixo do mínimo</v>
      </c>
      <c r="F8" s="278" t="str">
        <f>IF(ISTEXT(E8),"SEM BASE",IF(ABS(E8-1)&lt;=$C$43,"VERDE",IF(ABS(E8-1)&lt;=$C$44,"AMARELO","VERMELHO")))</f>
        <v>SEM BASE</v>
      </c>
      <c r="G8" s="281" t="str">
        <f>IF(G30&lt;$C$53,"apontamento abaixo do mínimo",'01C. PLACAR SEMANAL'!E8)</f>
        <v>apontamento abaixo do mínimo</v>
      </c>
      <c r="H8" s="278" t="str">
        <f>IF(ISTEXT(G8),"SEM BASE",IF(ABS(G8-1)&lt;=$C$43,"VERDE",IF(ABS(G8-1)&lt;=$C$44,"AMARELO","VERMELHO")))</f>
        <v>SEM BASE</v>
      </c>
      <c r="I8" s="269" t="inlineStr">
        <is>
          <t>Verde entre 90% e 110%; amarelo entre 75% e 125%. Cobertura do apontamento abaixo de 80% ou sem efetivo previsto: SEM BASE.</t>
        </is>
      </c>
      <c r="J8" s="269" t="inlineStr">
        <is>
          <t>01C linha 8 ← 05B e 04</t>
        </is>
      </c>
    </row>
    <row r="9" ht="52" customHeight="1" s="71">
      <c r="A9" s="278" t="inlineStr">
        <is>
          <t>P4</t>
        </is>
      </c>
      <c r="B9" s="279" t="inlineStr">
        <is>
          <t>Produtividade boa? (quantidade apontada ÷ prometida)</t>
        </is>
      </c>
      <c r="C9" s="281" t="str">
        <f>IF(C30&lt;$C$53,"apontamento abaixo do mínimo",IF(ISNUMBER(C37),C37,"sem quantidade prometida"))</f>
        <v>apontamento abaixo do mínimo</v>
      </c>
      <c r="D9" s="278" t="str">
        <f>IF(ISTEXT(C9),"SEM BASE",IF(C9&gt;=$C$45,"VERDE",IF(C9&gt;=$C$46,"AMARELO","VERMELHO")))</f>
        <v>SEM BASE</v>
      </c>
      <c r="E9" s="281" t="str">
        <f>IF(E30&lt;$C$53,"apontamento abaixo do mínimo",IF(ISNUMBER(E37),E37,"sem quantidade prometida"))</f>
        <v>apontamento abaixo do mínimo</v>
      </c>
      <c r="F9" s="278" t="str">
        <f>IF(ISTEXT(E9),"SEM BASE",IF(E9&gt;=$C$45,"VERDE",IF(E9&gt;=$C$46,"AMARELO","VERMELHO")))</f>
        <v>SEM BASE</v>
      </c>
      <c r="G9" s="281" t="str">
        <f>IF(G30&lt;$C$53,"apontamento abaixo do mínimo",IF(ISNUMBER(G37),G37,"sem quantidade prometida"))</f>
        <v>apontamento abaixo do mínimo</v>
      </c>
      <c r="H9" s="278" t="str">
        <f>IF(ISTEXT(G9),"SEM BASE",IF(G9&gt;=$C$45,"VERDE",IF(G9&gt;=$C$46,"AMARELO","VERMELHO")))</f>
        <v>SEM BASE</v>
      </c>
      <c r="I9" s="269" t="inlineStr">
        <is>
          <t>Verde ≥ 90%; amarelo ≥ 70%. Sem apontamento ou sem quantidade prometida: SEM BASE.</t>
        </is>
      </c>
      <c r="J9" s="269" t="inlineStr">
        <is>
          <t>05A ← 05B</t>
        </is>
      </c>
    </row>
    <row r="10" ht="52" customHeight="1" s="71">
      <c r="A10" s="278" t="inlineStr">
        <is>
          <t>P5</t>
        </is>
      </c>
      <c r="B10" s="279" t="inlineStr">
        <is>
          <t>A obra tem bom lucro? (margem do plano sobre a receita líquida)</t>
        </is>
      </c>
      <c r="C10" s="282" t="str">
        <f>IF(AND(ISNUMBER('04. PLANO DAS OBRAS'!C37),N('04. PLANO DAS OBRAS'!C37)&gt;$C$51*N('04. PLANO DAS OBRAS'!C30)),ROUND(100*'04. PLANO DAS OBRAS'!C37/'04. PLANO DAS OBRAS'!C30,0)&amp;"% do custo sem cotação",'04. PLANO DAS OBRAS'!C32)</f>
        <v>31% do custo sem cotação</v>
      </c>
      <c r="D10" s="278" t="str">
        <f>IF(NOT(ISNUMBER(C10)),"SEM BASE",IF(AND(ISNUMBER('04. PLANO DAS OBRAS'!C37),N('04. PLANO DAS OBRAS'!C37)&gt;$C$51*'04. PLANO DAS OBRAS'!C30),"SEM BASE",IF(C10&lt;'02. PARÂMETROS'!$B$9,"VERMELHO",IF(OR(C10&lt;'02. PARÂMETROS'!$B$12,'04. PLANO DAS OBRAS'!C37=""),"AMARELO","VERDE"))))</f>
        <v>SEM BASE</v>
      </c>
      <c r="E10" s="282">
        <f>IF(AND(ABS(N('04. PLANO DAS OBRAS'!$D$30)-N('04. PLANO DAS OBRAS'!$S$24)-N('13. CHECKS'!$E$16))&gt;1,ABS(N('04. PLANO DAS OBRAS'!$D$30)-N('04. PLANO DAS OBRAS'!$S$24))&gt;1),"custo sem conferência: motor "&amp;FIXED('04. PLANO DAS OBRAS'!$D$30,0)&amp;" × plano mensal "&amp;FIXED('04. PLANO DAS OBRAS'!$S$24,0),IF(AND(ISNUMBER('04. PLANO DAS OBRAS'!D37),N('04. PLANO DAS OBRAS'!D37)&gt;$C$51*N('04. PLANO DAS OBRAS'!D30)),ROUND(100*'04. PLANO DAS OBRAS'!D37/'04. PLANO DAS OBRAS'!D30,0)&amp;"% do custo sem cotação",'04. PLANO DAS OBRAS'!D32))</f>
        <v>0.225899314764708</v>
      </c>
      <c r="F10" s="278" t="str">
        <f>IF(NOT(ISNUMBER(E10)),"SEM BASE",IF(AND(ISNUMBER('04. PLANO DAS OBRAS'!D37),N('04. PLANO DAS OBRAS'!D37)&gt;$C$51*'04. PLANO DAS OBRAS'!D30),"SEM BASE",IF(E10&lt;'02. PARÂMETROS'!$B$9,"VERMELHO",IF(OR(E10&lt;'02. PARÂMETROS'!$B$12,'04. PLANO DAS OBRAS'!D37=""),"AMARELO","VERDE"))))</f>
        <v>AMARELO</v>
      </c>
      <c r="G10" s="282" t="str">
        <f>IF(AND(ISNUMBER('04. PLANO DAS OBRAS'!E37),N('04. PLANO DAS OBRAS'!E37)&gt;$C$51*N('04. PLANO DAS OBRAS'!E30)),ROUND(100*'04. PLANO DAS OBRAS'!E37/'04. PLANO DAS OBRAS'!E30,0)&amp;"% do custo sem cotação",'04. PLANO DAS OBRAS'!E32)</f>
        <v>sem orçamento de custo</v>
      </c>
      <c r="H10" s="278" t="str">
        <f>IF(NOT(ISNUMBER(G10)),"SEM BASE",IF(AND(ISNUMBER('04. PLANO DAS OBRAS'!E37),N('04. PLANO DAS OBRAS'!E37)&gt;$C$51*'04. PLANO DAS OBRAS'!E30),"SEM BASE",IF(G10&lt;'02. PARÂMETROS'!$B$9,"VERMELHO",IF(OR(G10&lt;'02. PARÂMETROS'!$B$12,'04. PLANO DAS OBRAS'!E37=""),"AMARELO","VERDE"))))</f>
        <v>SEM BASE</v>
      </c>
      <c r="I10" s="269" t="inlineStr">
        <is>
          <t>Verde ≥ margem-alvo (02 B12); amarelo ≥ administração central (02 B9). Sem orçamento de custo, ou mais de 20% do custo sem cotação: SEM BASE. 343 com diferença entre o custo do motor (04 D30) e o plano mensal (04 S24) que não seja a já explicada na 13. CHECKS E16: SEM BASE.</t>
        </is>
      </c>
      <c r="J10" s="269" t="inlineStr">
        <is>
          <t>04 linhas 30 a 37</t>
        </is>
      </c>
    </row>
    <row r="11" ht="52" customHeight="1" s="71">
      <c r="A11" s="278" t="inlineStr">
        <is>
          <t>P6</t>
        </is>
      </c>
      <c r="B11" s="279" t="inlineStr">
        <is>
          <t>O que impede de chegar? (restrições vencidas)</t>
        </is>
      </c>
      <c r="C11" s="283">
        <f>C33</f>
        <v>8</v>
      </c>
      <c r="D11" s="278" t="str">
        <f>IF(C11=0,IF(C34+C35&gt;0,"AMARELO","VERDE"),IF(C11&lt;=$C$50,"AMARELO","VERMELHO"))</f>
        <v>VERMELHO</v>
      </c>
      <c r="E11" s="283">
        <f>E33</f>
        <v>0</v>
      </c>
      <c r="F11" s="278" t="str">
        <f>IF(E11=0,IF(E34+E35&gt;0,"AMARELO","VERDE"),IF(E11&lt;=$C$50,"AMARELO","VERMELHO"))</f>
        <v>AMARELO</v>
      </c>
      <c r="G11" s="283">
        <f>G33</f>
        <v>4</v>
      </c>
      <c r="H11" s="278" t="str">
        <f>IF(G11=0,IF(G34+G35&gt;0,"AMARELO","VERDE"),IF(G11&lt;=$C$50,"AMARELO","VERMELHO"))</f>
        <v>VERMELHO</v>
      </c>
      <c r="I11" s="269" t="inlineStr">
        <is>
          <t>Verde: nenhuma vencida e nada vencendo na semana. Amarelo: até 2 vencidas, ou alguma vence esta semana. Vermelho: 3 ou mais vencidas.</t>
        </is>
      </c>
      <c r="J11" s="269" t="inlineStr">
        <is>
          <t>05C</t>
        </is>
      </c>
    </row>
    <row r="12" ht="52" customHeight="1" s="71">
      <c r="A12" s="278" t="inlineStr">
        <is>
          <t>P7</t>
        </is>
      </c>
      <c r="B12" s="279" t="inlineStr">
        <is>
          <t>O resultado é satisfatório? (margem realizada até o corte)</t>
        </is>
      </c>
      <c r="C12" s="282" t="str">
        <f>IF(OR('08B. TODAS AS OBRAS'!C5=0,'08B. TODAS AS OBRAS'!G5=0),"sem BM e custo lançados",IF(DATA_GESTAO-'08B. TODAS AS OBRAS'!K5&gt;$C$54,"custo lançado só até "&amp;TEXT(DAY('08B. TODAS AS OBRAS'!K5),"00")&amp;"/"&amp;TEXT(MONTH('08B. TODAS AS OBRAS'!K5),"00")&amp;"/"&amp;RIGHT(YEAR('08B. TODAS AS OBRAS'!K5),2),'08C. RESULTADO POR OBRA'!B12/('08B. TODAS AS OBRAS'!C5*(1-'02. PARÂMETROS'!$F$6-'02. PARÂMETROS'!$B$7))))</f>
        <v>sem BM e custo lançados</v>
      </c>
      <c r="D12" s="278" t="str">
        <f>IF(OR(ISTEXT(C12),NOT(ISNUMBER('04. PLANO DAS OBRAS'!C32))),"SEM BASE",IF(C12&gt;='04. PLANO DAS OBRAS'!C32,"VERDE",IF(C12&gt;='04. PLANO DAS OBRAS'!C32-0.05,"AMARELO","VERMELHO")))</f>
        <v>SEM BASE</v>
      </c>
      <c r="E12" s="282" t="str">
        <f>IF(OR('08B. TODAS AS OBRAS'!C6=0,'08B. TODAS AS OBRAS'!G6=0),"sem BM e custo lançados",IF(DATA_GESTAO-'08B. TODAS AS OBRAS'!K6&gt;$C$54,"custo lançado só até "&amp;TEXT(DAY('08B. TODAS AS OBRAS'!K6),"00")&amp;"/"&amp;TEXT(MONTH('08B. TODAS AS OBRAS'!K6),"00")&amp;"/"&amp;RIGHT(YEAR('08B. TODAS AS OBRAS'!K6),2),'08C. RESULTADO POR OBRA'!B24/('08B. TODAS AS OBRAS'!C6*(1-'02. PARÂMETROS'!$G$6-'02. PARÂMETROS'!$B$7))))</f>
        <v>sem BM e custo lançados</v>
      </c>
      <c r="F12" s="278" t="str">
        <f>IF(OR(ISTEXT(E12),NOT(ISNUMBER('04. PLANO DAS OBRAS'!D32))),"SEM BASE",IF(E12&gt;='04. PLANO DAS OBRAS'!D32,"VERDE",IF(E12&gt;='04. PLANO DAS OBRAS'!D32-0.05,"AMARELO","VERMELHO")))</f>
        <v>SEM BASE</v>
      </c>
      <c r="G12" s="282" t="str">
        <f>IF(OR('08B. TODAS AS OBRAS'!C7=0,'08B. TODAS AS OBRAS'!G7=0),"sem BM e custo lançados",IF(DATA_GESTAO-'08B. TODAS AS OBRAS'!K7&gt;$C$54,"custo lançado só até "&amp;TEXT(DAY('08B. TODAS AS OBRAS'!K7),"00")&amp;"/"&amp;TEXT(MONTH('08B. TODAS AS OBRAS'!K7),"00")&amp;"/"&amp;RIGHT(YEAR('08B. TODAS AS OBRAS'!K7),2),IF(NOT(ISNUMBER('08C. RESULTADO POR OBRA'!B40)),"sem termo do consórcio (08C B39)",'08C. RESULTADO POR OBRA'!B40/('08B. TODAS AS OBRAS'!C7*'03. CONTRATOS'!$F$22*(1-'02. PARÂMETROS'!$H$6-'02. PARÂMETROS'!$B$7)))))</f>
        <v>custo lançado só até 30/05/26</v>
      </c>
      <c r="H12" s="278" t="str">
        <f>IF(OR(ISTEXT(G12),NOT(ISNUMBER('04. PLANO DAS OBRAS'!E32))),"SEM BASE",IF(G12&gt;='04. PLANO DAS OBRAS'!E32,"VERDE",IF(G12&gt;='04. PLANO DAS OBRAS'!E32-0.05,"AMARELO","VERMELHO")))</f>
        <v>SEM BASE</v>
      </c>
      <c r="I12" s="269" t="inlineStr">
        <is>
          <t>Verde ≥ margem do plano; amarelo até 5 pontos abaixo. Sem BM e custo lançados, custo lançado atrasado ou sem margem do plano: SEM BASE.</t>
        </is>
      </c>
      <c r="J12" s="269" t="inlineStr">
        <is>
          <t>08C e 08B (06 e 08)</t>
        </is>
      </c>
    </row>
    <row r="13" ht="52" customHeight="1" s="71">
      <c r="A13" s="278" t="inlineStr">
        <is>
          <t>P8</t>
        </is>
      </c>
      <c r="B13" s="279" t="inlineStr">
        <is>
          <t>Obra planejada? (compromisso da próxima semana)</t>
        </is>
      </c>
      <c r="C13" s="284" t="str">
        <f>C31&amp;" confirmadas · "&amp;C32&amp;" só propostas"&amp;IF(COUNTIFS('05A. COMPROMISSO DA SEMANA'!$A$5:$A$204,DATA_GESTAO+7,'05A. COMPROMISSO DA SEMANA'!$B$5:$B$204,"342",'05A. COMPROMISSO DA SEMANA'!$I$5:$I$204,"SIM")&gt;0," · "&amp;COUNTIFS('05A. COMPROMISSO DA SEMANA'!$A$5:$A$204,DATA_GESTAO+7,'05A. COMPROMISSO DA SEMANA'!$B$5:$B$204,"342",'05A. COMPROMISSO DA SEMANA'!$I$5:$I$204,"SIM")&amp;" em frente travada","")</f>
        <v>0 confirmadas · 4 só propostas · 4 em frente travada</v>
      </c>
      <c r="D13" s="278" t="str">
        <f>IF(AND(C31&gt;0,C35=0,COUNTIFS('05A. COMPROMISSO DA SEMANA'!$A$5:$A$204,DATA_GESTAO+7,'05A. COMPROMISSO DA SEMANA'!$B$5:$B$204,"342",'05A. COMPROMISSO DA SEMANA'!$J$5:$J$204,"SIM",'05A. COMPROMISSO DA SEMANA'!$I$5:$I$204,"SIM")=0),"VERDE",IF(C31+C32&gt;0,"AMARELO","VERMELHO"))</f>
        <v>AMARELO</v>
      </c>
      <c r="E13" s="284" t="str">
        <f>E31&amp;" confirmadas · "&amp;E32&amp;" só propostas"&amp;IF(COUNTIFS('05A. COMPROMISSO DA SEMANA'!$A$5:$A$204,DATA_GESTAO+7,'05A. COMPROMISSO DA SEMANA'!$B$5:$B$204,"343",'05A. COMPROMISSO DA SEMANA'!$I$5:$I$204,"SIM")&gt;0," · "&amp;COUNTIFS('05A. COMPROMISSO DA SEMANA'!$A$5:$A$204,DATA_GESTAO+7,'05A. COMPROMISSO DA SEMANA'!$B$5:$B$204,"343",'05A. COMPROMISSO DA SEMANA'!$I$5:$I$204,"SIM")&amp;" em frente travada","")</f>
        <v>0 confirmadas · 2 só propostas · 2 em frente travada</v>
      </c>
      <c r="F13" s="278" t="str">
        <f>IF(AND(E31&gt;0,E35=0,COUNTIFS('05A. COMPROMISSO DA SEMANA'!$A$5:$A$204,DATA_GESTAO+7,'05A. COMPROMISSO DA SEMANA'!$B$5:$B$204,"343",'05A. COMPROMISSO DA SEMANA'!$J$5:$J$204,"SIM",'05A. COMPROMISSO DA SEMANA'!$I$5:$I$204,"SIM")=0),"VERDE",IF(E31+E32&gt;0,"AMARELO","VERMELHO"))</f>
        <v>AMARELO</v>
      </c>
      <c r="G13" s="284" t="str">
        <f>G31&amp;" confirmadas · "&amp;G32&amp;" só propostas"&amp;IF(COUNTIFS('05A. COMPROMISSO DA SEMANA'!$A$5:$A$204,DATA_GESTAO+7,'05A. COMPROMISSO DA SEMANA'!$B$5:$B$204,"281",'05A. COMPROMISSO DA SEMANA'!$I$5:$I$204,"SIM")&gt;0," · "&amp;COUNTIFS('05A. COMPROMISSO DA SEMANA'!$A$5:$A$204,DATA_GESTAO+7,'05A. COMPROMISSO DA SEMANA'!$B$5:$B$204,"281",'05A. COMPROMISSO DA SEMANA'!$I$5:$I$204,"SIM")&amp;" em frente travada","")</f>
        <v>0 confirmadas · 4 só propostas · 4 em frente travada</v>
      </c>
      <c r="H13" s="278" t="str">
        <f>IF(AND(G31&gt;0,G35=0,COUNTIFS('05A. COMPROMISSO DA SEMANA'!$A$5:$A$204,DATA_GESTAO+7,'05A. COMPROMISSO DA SEMANA'!$B$5:$B$204,"281",'05A. COMPROMISSO DA SEMANA'!$J$5:$J$204,"SIM",'05A. COMPROMISSO DA SEMANA'!$I$5:$I$204,"SIM")=0),"VERDE",IF(G31+G32&gt;0,"AMARELO","VERMELHO"))</f>
        <v>AMARELO</v>
      </c>
      <c r="I13" s="269" t="inlineStr">
        <is>
          <t>Verde: tarefas confirmadas, nenhuma delas em frente com restrição aberta (05A coluna I) e nenhuma restrição sem dono ou prazo. Amarelo: tarefas só propostas ou em frente travada. Vermelho: nenhuma tarefa.</t>
        </is>
      </c>
      <c r="J13" s="269" t="inlineStr">
        <is>
          <t>05A e 05C</t>
        </is>
      </c>
    </row>
    <row r="14" ht="52" customHeight="1" s="71">
      <c r="A14" s="278" t="inlineStr">
        <is>
          <t>P9</t>
        </is>
      </c>
      <c r="B14" s="279" t="inlineStr">
        <is>
          <t>Obra projetada? (pior saldo do caixa projetado)</t>
        </is>
      </c>
      <c r="C14" s="285">
        <f>'FLUXO PROJETADO TAF'!C14</f>
        <v>-1151141.8869</v>
      </c>
      <c r="D14" s="278" t="str">
        <f>IF(OR(ISTEXT(C14),N('02. PARÂMETROS'!$B$11)=0),"SEM BASE",IF(C14&gt;=-'02. PARÂMETROS'!$B$11*$C$52,"VERDE",IF(C14&gt;=-'02. PARÂMETROS'!$B$11,"AMARELO","VERMELHO")))</f>
        <v>SEM BASE</v>
      </c>
      <c r="E14" s="285">
        <f>'FLUXO PROJETADO TAF'!D14</f>
        <v>-1401325.62</v>
      </c>
      <c r="F14" s="278" t="str">
        <f>IF(OR(ISTEXT(E14),N('02. PARÂMETROS'!$B$11)=0),"SEM BASE",IF(E14&gt;=-'02. PARÂMETROS'!$B$11*$C$52,"VERDE",IF(E14&gt;=-'02. PARÂMETROS'!$B$11,"AMARELO","VERMELHO")))</f>
        <v>SEM BASE</v>
      </c>
      <c r="G14" s="285" t="str">
        <f>"sem fluxo da obra (falta plano de custo)"</f>
        <v>sem fluxo da obra (falta plano de custo)</v>
      </c>
      <c r="H14" s="278" t="str">
        <f>IF(OR(ISTEXT(G14),N('02. PARÂMETROS'!$B$11)=0),"SEM BASE",IF(G14&gt;=-'02. PARÂMETROS'!$B$11*$C$52,"VERDE",IF(G14&gt;=-'02. PARÂMETROS'!$B$11,"AMARELO","VERMELHO")))</f>
        <v>SEM BASE</v>
      </c>
      <c r="I14" s="269" t="inlineStr">
        <is>
          <t>Verde: pior saldo dentro de 80% do limite de caixa (02 B11); amarelo dentro do limite. Sem limite definido ou sem fluxo da obra: SEM BASE.</t>
        </is>
      </c>
      <c r="J14" s="269" t="inlineStr">
        <is>
          <t>FLUXO PROJETADO TAF linha 14; 02 B11</t>
        </is>
      </c>
    </row>
    <row r="15" ht="52" customHeight="1" s="71">
      <c r="A15" s="278" t="inlineStr">
        <is>
          <t>P10</t>
        </is>
      </c>
      <c r="B15" s="279" t="inlineStr">
        <is>
          <t>Cronograma reflete a obra? (IDP: medido ÷ previsto até o último BM)</t>
        </is>
      </c>
      <c r="C15" s="280" t="str">
        <f>IF(NOT(ISNUMBER('08B. TODAS AS OBRAS'!$O$5)),IF('08B. TODAS AS OBRAS'!$N$5=0,"sem BM lançado","previsto zero até o último BM"),IF(ISNUMBER('08B. TODAS AS OBRAS'!$J$5),FIXED('08B. TODAS AS OBRAS'!$J$5,2)&amp;" aprovado","sem BM aprovado")&amp;" · "&amp;FIXED('08B. TODAS AS OBRAS'!$O$5,2)&amp;" com enviado · "&amp;IF(ISNUMBER('08B. TODAS AS OBRAS'!$P$5),FIXED('08B. TODAS AS OBRAS'!$P$5,2),"sem base")&amp;" no mês")</f>
        <v>sem BM lançado</v>
      </c>
      <c r="D15" s="278" t="str">
        <f>IF(NOT(ISNUMBER('08B. TODAS AS OBRAS'!$O$5)),"SEM BASE",IF(AND('08B. TODAS AS OBRAS'!$O$5&gt;=$C$47,N('08B. TODAS AS OBRAS'!$J$5)&gt;=$C$48,OR(NOT(ISNUMBER('08B. TODAS AS OBRAS'!$P$5)),N('08B. TODAS AS OBRAS'!$P$5)&gt;=$C$48)),"VERDE",IF('08B. TODAS AS OBRAS'!$O$5&gt;=$C$48,"AMARELO","VERMELHO")))</f>
        <v>SEM BASE</v>
      </c>
      <c r="E15" s="280" t="str">
        <f>IF(NOT(ISNUMBER('08B. TODAS AS OBRAS'!$O$6)),IF('08B. TODAS AS OBRAS'!$N$6=0,"sem BM lançado","previsto zero até o último BM"),IF(ISNUMBER('08B. TODAS AS OBRAS'!$J$6),FIXED('08B. TODAS AS OBRAS'!$J$6,2)&amp;" aprovado","sem BM aprovado")&amp;" · "&amp;FIXED('08B. TODAS AS OBRAS'!$O$6,2)&amp;" com enviado · "&amp;IF(ISNUMBER('08B. TODAS AS OBRAS'!$P$6),FIXED('08B. TODAS AS OBRAS'!$P$6,2),"sem base")&amp;" no mês")</f>
        <v>sem BM lançado</v>
      </c>
      <c r="F15" s="278" t="str">
        <f>IF(NOT(ISNUMBER('08B. TODAS AS OBRAS'!$O$6)),"SEM BASE",IF(AND('08B. TODAS AS OBRAS'!$O$6&gt;=$C$47,N('08B. TODAS AS OBRAS'!$J$6)&gt;=$C$48,OR(NOT(ISNUMBER('08B. TODAS AS OBRAS'!$P$6)),N('08B. TODAS AS OBRAS'!$P$6)&gt;=$C$48)),"VERDE",IF('08B. TODAS AS OBRAS'!$O$6&gt;=$C$48,"AMARELO","VERMELHO")))</f>
        <v>SEM BASE</v>
      </c>
      <c r="G15" s="280" t="str">
        <f>IF(NOT(ISNUMBER('08B. TODAS AS OBRAS'!$O$7)),IF('08B. TODAS AS OBRAS'!$N$7=0,"sem BM lançado","previsto zero até o último BM"),IF(ISNUMBER('08B. TODAS AS OBRAS'!$J$7),FIXED('08B. TODAS AS OBRAS'!$J$7,2)&amp;" aprovado","sem BM aprovado")&amp;" · "&amp;FIXED('08B. TODAS AS OBRAS'!$O$7,2)&amp;" com enviado · "&amp;IF(ISNUMBER('08B. TODAS AS OBRAS'!$P$7),FIXED('08B. TODAS AS OBRAS'!$P$7,2),"sem base")&amp;" no mês")</f>
        <v>1.25 aprovado · 1.04 com enviado · 0.43 no mês</v>
      </c>
      <c r="H15" s="278" t="str">
        <f>IF(NOT(ISNUMBER('08B. TODAS AS OBRAS'!$O$7)),"SEM BASE",IF(AND('08B. TODAS AS OBRAS'!$O$7&gt;=$C$47,N('08B. TODAS AS OBRAS'!$J$7)&gt;=$C$48,OR(NOT(ISNUMBER('08B. TODAS AS OBRAS'!$P$7)),N('08B. TODAS AS OBRAS'!$P$7)&gt;=$C$48)),"VERDE",IF('08B. TODAS AS OBRAS'!$O$7&gt;=$C$48,"AMARELO","VERMELHO")))</f>
        <v>AMARELO</v>
      </c>
      <c r="I15" s="269" t="inlineStr">
        <is>
          <t>Cor pelo IDP com o enviado: verde ≥ L7, amarelo ≥ L8. Não fica verde se o IDP só do aprovado ou o IDP do mês ficar abaixo de L8. Sem BM ou previsto zero: SEM BASE.</t>
        </is>
      </c>
      <c r="J15" s="269" t="inlineStr">
        <is>
          <t>08B colunas J, O e P (06 e 04)</t>
        </is>
      </c>
    </row>
    <row r="16"/>
    <row r="17" ht="30" customHeight="1" s="71">
      <c r="A17" s="215" t="inlineStr">
        <is>
          <t>LUZ</t>
        </is>
      </c>
      <c r="B17" s="215" t="inlineStr">
        <is>
          <t>PERGUNTAS QUE ENTRAM (a pior cor manda; SEM BASE nunca vira verde)</t>
        </is>
      </c>
      <c r="C17" s="215" t="inlineStr"/>
      <c r="D17" s="215" t="inlineStr">
        <is>
          <t>342</t>
        </is>
      </c>
      <c r="E17" s="215" t="inlineStr"/>
      <c r="F17" s="215" t="inlineStr">
        <is>
          <t>343</t>
        </is>
      </c>
      <c r="G17" s="215" t="inlineStr"/>
      <c r="H17" s="215" t="inlineStr">
        <is>
          <t>281</t>
        </is>
      </c>
      <c r="I17" s="215" t="inlineStr"/>
      <c r="J17" s="215" t="inlineStr"/>
    </row>
    <row r="18" ht="24" customHeight="1" s="71">
      <c r="A18" s="230" t="inlineStr">
        <is>
          <t>PRODUÇÃO</t>
        </is>
      </c>
      <c r="B18" s="222" t="inlineStr">
        <is>
          <t>P2, P3 e P4</t>
        </is>
      </c>
      <c r="D18" s="286" t="str">
        <f>INDEX($A$57:$A$60,MAX(MATCH(D7,$A$57:$A$60,0),MATCH(D8,$A$57:$A$60,0),MATCH(D9,$A$57:$A$60,0)))</f>
        <v>SEM BASE</v>
      </c>
      <c r="F18" s="286" t="str">
        <f>INDEX($A$57:$A$60,MAX(MATCH(F7,$A$57:$A$60,0),MATCH(F8,$A$57:$A$60,0),MATCH(F9,$A$57:$A$60,0)))</f>
        <v>SEM BASE</v>
      </c>
      <c r="H18" s="286" t="str">
        <f>INDEX($A$57:$A$60,MAX(MATCH(H7,$A$57:$A$60,0),MATCH(H8,$A$57:$A$60,0),MATCH(H9,$A$57:$A$60,0)))</f>
        <v>SEM BASE</v>
      </c>
    </row>
    <row r="19" ht="24" customHeight="1" s="71">
      <c r="A19" s="230" t="inlineStr">
        <is>
          <t>DINHEIRO</t>
        </is>
      </c>
      <c r="B19" s="222" t="inlineStr">
        <is>
          <t>P1, P5, P7 e P9</t>
        </is>
      </c>
      <c r="D19" s="286" t="str">
        <f>INDEX($A$57:$A$60,MAX(MATCH(D6,$A$57:$A$60,0),MATCH(D10,$A$57:$A$60,0),MATCH(D12,$A$57:$A$60,0),MATCH(D14,$A$57:$A$60,0)))</f>
        <v>SEM BASE</v>
      </c>
      <c r="F19" s="286" t="str">
        <f>INDEX($A$57:$A$60,MAX(MATCH(F6,$A$57:$A$60,0),MATCH(F10,$A$57:$A$60,0),MATCH(F12,$A$57:$A$60,0),MATCH(F14,$A$57:$A$60,0)))</f>
        <v>AMARELO</v>
      </c>
      <c r="H19" s="286" t="str">
        <f>INDEX($A$57:$A$60,MAX(MATCH(H6,$A$57:$A$60,0),MATCH(H10,$A$57:$A$60,0),MATCH(H12,$A$57:$A$60,0),MATCH(H14,$A$57:$A$60,0)))</f>
        <v>SEM BASE</v>
      </c>
    </row>
    <row r="20" ht="24" customHeight="1" s="71">
      <c r="A20" s="230" t="inlineStr">
        <is>
          <t>PLANO</t>
        </is>
      </c>
      <c r="B20" s="222" t="inlineStr">
        <is>
          <t>P6, P8 e P10</t>
        </is>
      </c>
      <c r="D20" s="286" t="str">
        <f>INDEX($A$57:$A$60,MAX(MATCH(D11,$A$57:$A$60,0),MATCH(D13,$A$57:$A$60,0),MATCH(D15,$A$57:$A$60,0)))</f>
        <v>VERMELHO</v>
      </c>
      <c r="F20" s="286" t="str">
        <f>INDEX($A$57:$A$60,MAX(MATCH(F11,$A$57:$A$60,0),MATCH(F13,$A$57:$A$60,0),MATCH(F15,$A$57:$A$60,0)))</f>
        <v>AMARELO</v>
      </c>
      <c r="H20" s="286" t="str">
        <f>INDEX($A$57:$A$60,MAX(MATCH(H11,$A$57:$A$60,0),MATCH(H13,$A$57:$A$60,0),MATCH(H15,$A$57:$A$60,0)))</f>
        <v>VERMELHO</v>
      </c>
    </row>
    <row r="21"/>
    <row r="22" ht="30" customHeight="1" s="71">
      <c r="A22" s="215" t="inlineStr">
        <is>
          <t>OBRA</t>
        </is>
      </c>
      <c r="B22" s="215" t="inlineStr">
        <is>
          <t>DECISÃO DA SEMANA (uma por obra; aprovar na segunda)</t>
        </is>
      </c>
      <c r="C22" s="215" t="inlineStr">
        <is>
          <t>DONO</t>
        </is>
      </c>
      <c r="D22" s="215" t="inlineStr">
        <is>
          <t>PRAZO</t>
        </is>
      </c>
      <c r="E22" s="215" t="inlineStr">
        <is>
          <t>SITUAÇÃO</t>
        </is>
      </c>
      <c r="F22" s="215" t="inlineStr">
        <is>
          <t>POR QUÊ</t>
        </is>
      </c>
      <c r="G22" s="215" t="inlineStr"/>
      <c r="H22" s="215" t="inlineStr"/>
      <c r="I22" s="215" t="inlineStr"/>
      <c r="J22" s="215" t="inlineStr"/>
    </row>
    <row r="23" ht="58" customHeight="1" s="71">
      <c r="A23" s="230" t="inlineStr">
        <is>
          <t>342</t>
        </is>
      </c>
      <c r="B23" s="287" t="inlineStr">
        <is>
          <t>Começar em 19/10 pela terraplenagem (compactação e movimentação de solo) junto com o canteiro, com o pacote TERRA contratado, o layout do canteiro aprovado e a topografia protocolada (05C, R01, R05 e R14). O FoFo só começa depois que a SANEAGO aprovar o eventograma (R30). Sequência da lista do Felipe (15/10).</t>
        </is>
      </c>
      <c r="C23" s="288" t="inlineStr">
        <is>
          <t>Tiago Marinho</t>
        </is>
      </c>
      <c r="D23" s="224" t="n">
        <v>46311</v>
      </c>
      <c r="E23" s="288" t="inlineStr">
        <is>
          <t>PROPOSTA</t>
        </is>
      </c>
      <c r="F23" s="269" t="str">
        <f>"Restrições vencidas hoje na 342: "&amp;C33&amp;". Terraplenagem e FoFo sem contrato (META DE COMPRA)."</f>
        <v>Restrições vencidas hoje na 342: 8. Terraplenagem e FoFo sem contrato (META DE COMPRA).</v>
      </c>
      <c r="G23" s="289" t="n"/>
      <c r="H23" s="289" t="n"/>
      <c r="I23" s="289" t="n"/>
      <c r="J23" s="290" t="n"/>
    </row>
    <row r="24" ht="58" customHeight="1" s="71">
      <c r="A24" s="230" t="inlineStr">
        <is>
          <t>343</t>
        </is>
      </c>
      <c r="B24" s="287" t="inlineStr">
        <is>
          <t>Fechar o BM de outubro com o fiscal pela quantidade executada e confirmar se mede pelo contrato ou pelo cronograma CAESB (05C, R37 e R38).</t>
        </is>
      </c>
      <c r="C24" s="288" t="inlineStr">
        <is>
          <t>Gerente da 343</t>
        </is>
      </c>
      <c r="D24" s="224" t="n">
        <v>46325</v>
      </c>
      <c r="E24" s="288" t="inlineStr">
        <is>
          <t>PROPOSTA</t>
        </is>
      </c>
      <c r="F24" s="269" t="inlineStr">
        <is>
          <t>Primeira medição da 343 no plano: R$ 1,18 mi em out/26 (04 linha 18); sem metros apontados não há BM.</t>
        </is>
      </c>
      <c r="G24" s="289" t="n"/>
      <c r="H24" s="289" t="n"/>
      <c r="I24" s="289" t="n"/>
      <c r="J24" s="290" t="n"/>
    </row>
    <row r="25" ht="58" customHeight="1" s="71">
      <c r="A25" s="230" t="inlineStr">
        <is>
          <t>281</t>
        </is>
      </c>
      <c r="B25" s="287" t="inlineStr">
        <is>
          <t>Fechar o BM08 em 20/10 com o que estiver pronto (reservatório 7.7.5, cloro 7.4.13, subestação da ETA) e cobrar na SANEAGO a aprovação do projeto da ETA e da base da UTR, que liberam o 7.1.4 e a instalação da UTR (05C).</t>
        </is>
      </c>
      <c r="C25" s="288" t="inlineStr">
        <is>
          <t>Thadeu</t>
        </is>
      </c>
      <c r="D25" s="224" t="n">
        <v>46315</v>
      </c>
      <c r="E25" s="288" t="inlineStr">
        <is>
          <t>PROPOSTA</t>
        </is>
      </c>
      <c r="F25" s="269" t="inlineStr">
        <is>
          <t>BM08 previsto em R$ 1,44 mi (cronograma FF). A antecipação da ETA (R$ 408.555,88) está atrasada desde o BM06 e a EEAT (R$ 335 mil) desde o BM07.</t>
        </is>
      </c>
      <c r="G25" s="289" t="n"/>
      <c r="H25" s="289" t="n"/>
      <c r="I25" s="289" t="n"/>
      <c r="J25" s="290" t="n"/>
    </row>
    <row r="26"/>
    <row r="27" ht="30" customHeight="1" s="71">
      <c r="A27" s="215" t="inlineStr">
        <is>
          <t>Nº</t>
        </is>
      </c>
      <c r="B27" s="215" t="inlineStr">
        <is>
          <t>BASE DA SEMANA</t>
        </is>
      </c>
      <c r="C27" s="215" t="inlineStr">
        <is>
          <t>342</t>
        </is>
      </c>
      <c r="D27" s="215" t="inlineStr"/>
      <c r="E27" s="215" t="inlineStr">
        <is>
          <t>343</t>
        </is>
      </c>
      <c r="F27" s="215" t="inlineStr"/>
      <c r="G27" s="215" t="inlineStr">
        <is>
          <t>281</t>
        </is>
      </c>
      <c r="H27" s="215" t="inlineStr"/>
      <c r="I27" s="215" t="inlineStr">
        <is>
          <t>COMO SE CALCULA</t>
        </is>
      </c>
      <c r="J27" s="215" t="inlineStr">
        <is>
          <t>DE ONDE VEM</t>
        </is>
      </c>
    </row>
    <row r="28">
      <c r="A28" s="222" t="inlineStr">
        <is>
          <t>B1</t>
        </is>
      </c>
      <c r="B28" s="234" t="inlineStr">
        <is>
          <t>Dias úteis da semana do corte</t>
        </is>
      </c>
      <c r="C28" s="291">
        <f>SUMIFS('05. SEMANAS'!$H$5:$H$64,'05. SEMANAS'!$A$5:$A$64,DATA_GESTAO,'05. SEMANAS'!$B$5:$B$64,"342")</f>
        <v>4</v>
      </c>
      <c r="E28" s="291">
        <f>SUMIFS('05. SEMANAS'!$H$5:$H$64,'05. SEMANAS'!$A$5:$A$64,DATA_GESTAO,'05. SEMANAS'!$B$5:$B$64,"343")</f>
        <v>4</v>
      </c>
      <c r="G28" s="291">
        <f>SUMIFS('05. SEMANAS'!$H$5:$H$64,'05. SEMANAS'!$A$5:$A$64,DATA_GESTAO,'05. SEMANAS'!$B$5:$B$64,"281")</f>
        <v>4</v>
      </c>
      <c r="I28" s="269" t="inlineStr">
        <is>
          <t>Dias úteis de segunda a sexta, menos feriados</t>
        </is>
      </c>
      <c r="J28" s="272" t="inlineStr">
        <is>
          <t>05. SEMANAS ← 02 (feriados)</t>
        </is>
      </c>
    </row>
    <row r="29">
      <c r="A29" s="222" t="inlineStr">
        <is>
          <t>B2</t>
        </is>
      </c>
      <c r="B29" s="234" t="inlineStr">
        <is>
          <t>Dias com apontamento na semana</t>
        </is>
      </c>
      <c r="C29" s="291">
        <f>SUMIFS('05. SEMANAS'!$G$5:$G$64,'05. SEMANAS'!$A$5:$A$64,DATA_GESTAO,'05. SEMANAS'!$B$5:$B$64,"342")</f>
        <v>0</v>
      </c>
      <c r="E29" s="291">
        <f>SUMIFS('05. SEMANAS'!$G$5:$G$64,'05. SEMANAS'!$A$5:$A$64,DATA_GESTAO,'05. SEMANAS'!$B$5:$B$64,"343")</f>
        <v>0</v>
      </c>
      <c r="G29" s="291">
        <f>SUMIFS('05. SEMANAS'!$G$5:$G$64,'05. SEMANAS'!$A$5:$A$64,DATA_GESTAO,'05. SEMANAS'!$B$5:$B$64,"281")</f>
        <v>0</v>
      </c>
      <c r="I29" s="269" t="inlineStr">
        <is>
          <t>Dias com pelo menos uma linha na 05B</t>
        </is>
      </c>
      <c r="J29" s="272" t="inlineStr">
        <is>
          <t>05. SEMANAS ← 05B</t>
        </is>
      </c>
    </row>
    <row r="30">
      <c r="A30" s="222" t="inlineStr">
        <is>
          <t>B3</t>
        </is>
      </c>
      <c r="B30" s="234" t="inlineStr">
        <is>
          <t>Cobertura do apontamento</t>
        </is>
      </c>
      <c r="C30" s="292">
        <f>IF(C28=0,0,C29/C28)</f>
        <v>0</v>
      </c>
      <c r="E30" s="292">
        <f>IF(E28=0,0,E29/E28)</f>
        <v>0</v>
      </c>
      <c r="G30" s="292">
        <f>IF(G28=0,0,G29/G28)</f>
        <v>0</v>
      </c>
      <c r="I30" s="269" t="inlineStr">
        <is>
          <t>Dias apontados ÷ dias úteis</t>
        </is>
      </c>
      <c r="J30" s="272" t="inlineStr">
        <is>
          <t>05. SEMANAS</t>
        </is>
      </c>
    </row>
    <row r="31">
      <c r="A31" s="222" t="inlineStr">
        <is>
          <t>B4</t>
        </is>
      </c>
      <c r="B31" s="234" t="inlineStr">
        <is>
          <t>Tarefas confirmadas para a próxima semana</t>
        </is>
      </c>
      <c r="C31" s="291">
        <f>COUNTIFS('05A. COMPROMISSO DA SEMANA'!$A$5:$A$204,DATA_GESTAO+7,'05A. COMPROMISSO DA SEMANA'!$B$5:$B$204,"342",'05A. COMPROMISSO DA SEMANA'!$J$5:$J$204,"SIM")</f>
        <v>0</v>
      </c>
      <c r="E31" s="291">
        <f>COUNTIFS('05A. COMPROMISSO DA SEMANA'!$A$5:$A$204,DATA_GESTAO+7,'05A. COMPROMISSO DA SEMANA'!$B$5:$B$204,"343",'05A. COMPROMISSO DA SEMANA'!$J$5:$J$204,"SIM")</f>
        <v>0</v>
      </c>
      <c r="G31" s="291">
        <f>COUNTIFS('05A. COMPROMISSO DA SEMANA'!$A$5:$A$204,DATA_GESTAO+7,'05A. COMPROMISSO DA SEMANA'!$B$5:$B$204,"281",'05A. COMPROMISSO DA SEMANA'!$J$5:$J$204,"SIM")</f>
        <v>0</v>
      </c>
      <c r="I31" s="269" t="inlineStr">
        <is>
          <t>Sexta seguinte ao corte, coluna J = SIM</t>
        </is>
      </c>
      <c r="J31" s="272" t="inlineStr">
        <is>
          <t>05A</t>
        </is>
      </c>
    </row>
    <row r="32">
      <c r="A32" s="222" t="inlineStr">
        <is>
          <t>B5</t>
        </is>
      </c>
      <c r="B32" s="234" t="inlineStr">
        <is>
          <t>Tarefas só propostas para a próxima semana</t>
        </is>
      </c>
      <c r="C32" s="291">
        <f>COUNTIFS('05A. COMPROMISSO DA SEMANA'!$A$5:$A$204,DATA_GESTAO+7,'05A. COMPROMISSO DA SEMANA'!$B$5:$B$204,"342",'05A. COMPROMISSO DA SEMANA'!$D$5:$D$204,"&lt;&gt;")-C31</f>
        <v>4</v>
      </c>
      <c r="E32" s="291">
        <f>COUNTIFS('05A. COMPROMISSO DA SEMANA'!$A$5:$A$204,DATA_GESTAO+7,'05A. COMPROMISSO DA SEMANA'!$B$5:$B$204,"343",'05A. COMPROMISSO DA SEMANA'!$D$5:$D$204,"&lt;&gt;")-E31</f>
        <v>2</v>
      </c>
      <c r="G32" s="291">
        <f>COUNTIFS('05A. COMPROMISSO DA SEMANA'!$A$5:$A$204,DATA_GESTAO+7,'05A. COMPROMISSO DA SEMANA'!$B$5:$B$204,"281",'05A. COMPROMISSO DA SEMANA'!$D$5:$D$204,"&lt;&gt;")-G31</f>
        <v>4</v>
      </c>
      <c r="I32" s="269" t="inlineStr">
        <is>
          <t>Linhas da próxima semana sem confirmação</t>
        </is>
      </c>
      <c r="J32" s="272" t="inlineStr">
        <is>
          <t>05A</t>
        </is>
      </c>
    </row>
    <row r="33">
      <c r="A33" s="222" t="inlineStr">
        <is>
          <t>B6</t>
        </is>
      </c>
      <c r="B33" s="234" t="inlineStr">
        <is>
          <t>Restrições vencidas</t>
        </is>
      </c>
      <c r="C33" s="291">
        <f>COUNTIFS('05C. RESTRIÇÕES'!$B$5:$B$204,"342",'05C. RESTRIÇÕES'!$L$5:$L$204,"VENCIDA")</f>
        <v>8</v>
      </c>
      <c r="E33" s="291">
        <f>COUNTIFS('05C. RESTRIÇÕES'!$B$5:$B$204,"343",'05C. RESTRIÇÕES'!$L$5:$L$204,"VENCIDA")</f>
        <v>0</v>
      </c>
      <c r="G33" s="291">
        <f>COUNTIFS('05C. RESTRIÇÕES'!$B$5:$B$204,"281",'05C. RESTRIÇÕES'!$L$5:$L$204,"VENCIDA")</f>
        <v>4</v>
      </c>
      <c r="I33" s="269" t="inlineStr">
        <is>
          <t>Precisa até antes do corte e ainda aberta</t>
        </is>
      </c>
      <c r="J33" s="272" t="inlineStr">
        <is>
          <t>05C</t>
        </is>
      </c>
    </row>
    <row r="34">
      <c r="A34" s="222" t="inlineStr">
        <is>
          <t>B7</t>
        </is>
      </c>
      <c r="B34" s="234" t="inlineStr">
        <is>
          <t>Restrições que vencem esta semana</t>
        </is>
      </c>
      <c r="C34" s="291">
        <f>COUNTIFS('05C. RESTRIÇÕES'!$B$5:$B$204,"342",'05C. RESTRIÇÕES'!$K$5:$K$204,"&gt;=0",'05C. RESTRIÇÕES'!$K$5:$K$204,"&lt;=7")</f>
        <v>26</v>
      </c>
      <c r="E34" s="291">
        <f>COUNTIFS('05C. RESTRIÇÕES'!$B$5:$B$204,"343",'05C. RESTRIÇÕES'!$K$5:$K$204,"&gt;=0",'05C. RESTRIÇÕES'!$K$5:$K$204,"&lt;=7")</f>
        <v>6</v>
      </c>
      <c r="G34" s="291">
        <f>COUNTIFS('05C. RESTRIÇÕES'!$B$5:$B$204,"281",'05C. RESTRIÇÕES'!$K$5:$K$204,"&gt;=0",'05C. RESTRIÇÕES'!$K$5:$K$204,"&lt;=7")</f>
        <v>16</v>
      </c>
      <c r="I34" s="269" t="inlineStr">
        <is>
          <t>Vencem nos 7 dias depois do corte</t>
        </is>
      </c>
      <c r="J34" s="272" t="inlineStr">
        <is>
          <t>05C</t>
        </is>
      </c>
    </row>
    <row r="35">
      <c r="A35" s="222" t="inlineStr">
        <is>
          <t>B8</t>
        </is>
      </c>
      <c r="B35" s="234" t="inlineStr">
        <is>
          <t>Restrições sem dono ou sem prazo</t>
        </is>
      </c>
      <c r="C35" s="291">
        <f>COUNTIFS('05C. RESTRIÇÕES'!$B$5:$B$204,"342",'05C. RESTRIÇÕES'!$L$5:$L$204,"SEM DONO")+COUNTIFS('05C. RESTRIÇÕES'!$B$5:$B$204,"342",'05C. RESTRIÇÕES'!$L$5:$L$204,"SEM PRAZO")</f>
        <v>1</v>
      </c>
      <c r="E35" s="291">
        <f>COUNTIFS('05C. RESTRIÇÕES'!$B$5:$B$204,"343",'05C. RESTRIÇÕES'!$L$5:$L$204,"SEM DONO")+COUNTIFS('05C. RESTRIÇÕES'!$B$5:$B$204,"343",'05C. RESTRIÇÕES'!$L$5:$L$204,"SEM PRAZO")</f>
        <v>0</v>
      </c>
      <c r="G35" s="291">
        <f>COUNTIFS('05C. RESTRIÇÕES'!$B$5:$B$204,"281",'05C. RESTRIÇÕES'!$L$5:$L$204,"SEM DONO")+COUNTIFS('05C. RESTRIÇÕES'!$B$5:$B$204,"281",'05C. RESTRIÇÕES'!$L$5:$L$204,"SEM PRAZO")</f>
        <v>1</v>
      </c>
      <c r="I35" s="269" t="inlineStr">
        <is>
          <t>Abertas sem dono ou sem data</t>
        </is>
      </c>
      <c r="J35" s="272" t="inlineStr">
        <is>
          <t>05C</t>
        </is>
      </c>
    </row>
    <row r="36">
      <c r="A36" s="222" t="inlineStr">
        <is>
          <t>B9</t>
        </is>
      </c>
      <c r="B36" s="234" t="inlineStr">
        <is>
          <t>Horas paradas na semana</t>
        </is>
      </c>
      <c r="C36" s="293">
        <f>SUMIFS('05B. APONTAMENTO DIÁRIO'!$M$5:$M$1004,'05B. APONTAMENTO DIÁRIO'!$B$5:$B$1004,"342",'05B. APONTAMENTO DIÁRIO'!$A$5:$A$1004,"&gt;="&amp;(DATA_GESTAO-4),'05B. APONTAMENTO DIÁRIO'!$A$5:$A$1004,"&lt;="&amp;DATA_GESTAO)</f>
        <v>0</v>
      </c>
      <c r="E36" s="293">
        <f>SUMIFS('05B. APONTAMENTO DIÁRIO'!$M$5:$M$1004,'05B. APONTAMENTO DIÁRIO'!$B$5:$B$1004,"343",'05B. APONTAMENTO DIÁRIO'!$A$5:$A$1004,"&gt;="&amp;(DATA_GESTAO-4),'05B. APONTAMENTO DIÁRIO'!$A$5:$A$1004,"&lt;="&amp;DATA_GESTAO)</f>
        <v>0</v>
      </c>
      <c r="G36" s="293">
        <f>SUMIFS('05B. APONTAMENTO DIÁRIO'!$M$5:$M$1004,'05B. APONTAMENTO DIÁRIO'!$B$5:$B$1004,"281",'05B. APONTAMENTO DIÁRIO'!$A$5:$A$1004,"&gt;="&amp;(DATA_GESTAO-4),'05B. APONTAMENTO DIÁRIO'!$A$5:$A$1004,"&lt;="&amp;DATA_GESTAO)</f>
        <v>0</v>
      </c>
      <c r="I36" s="269" t="inlineStr">
        <is>
          <t>Soma das horas paradas (motivo na coluna L da 05B)</t>
        </is>
      </c>
      <c r="J36" s="272" t="inlineStr">
        <is>
          <t>05B</t>
        </is>
      </c>
    </row>
    <row r="37">
      <c r="A37" s="222" t="inlineStr">
        <is>
          <t>B10</t>
        </is>
      </c>
      <c r="B37" s="234" t="inlineStr">
        <is>
          <t>Quantidade apontada ÷ prometida (tarefas confirmadas da semana do corte)</t>
        </is>
      </c>
      <c r="C37" s="292">
        <f>IFERROR(SUMIFS('05A. COMPROMISSO DA SEMANA'!$K$5:$K$204,'05A. COMPROMISSO DA SEMANA'!$A$5:$A$204,DATA_GESTAO,'05A. COMPROMISSO DA SEMANA'!$B$5:$B$204,"342",'05A. COMPROMISSO DA SEMANA'!$J$5:$J$204,"SIM")/SUMIFS('05A. COMPROMISSO DA SEMANA'!$F$5:$F$204,'05A. COMPROMISSO DA SEMANA'!$A$5:$A$204,DATA_GESTAO,'05A. COMPROMISSO DA SEMANA'!$B$5:$B$204,"342",'05A. COMPROMISSO DA SEMANA'!$J$5:$J$204,"SIM"),"")</f>
      </c>
      <c r="E37" s="292">
        <f>IFERROR(SUMIFS('05A. COMPROMISSO DA SEMANA'!$K$5:$K$204,'05A. COMPROMISSO DA SEMANA'!$A$5:$A$204,DATA_GESTAO,'05A. COMPROMISSO DA SEMANA'!$B$5:$B$204,"343",'05A. COMPROMISSO DA SEMANA'!$J$5:$J$204,"SIM")/SUMIFS('05A. COMPROMISSO DA SEMANA'!$F$5:$F$204,'05A. COMPROMISSO DA SEMANA'!$A$5:$A$204,DATA_GESTAO,'05A. COMPROMISSO DA SEMANA'!$B$5:$B$204,"343",'05A. COMPROMISSO DA SEMANA'!$J$5:$J$204,"SIM"),"")</f>
      </c>
      <c r="G37" s="292">
        <f>IFERROR(SUMIFS('05A. COMPROMISSO DA SEMANA'!$K$5:$K$204,'05A. COMPROMISSO DA SEMANA'!$A$5:$A$204,DATA_GESTAO,'05A. COMPROMISSO DA SEMANA'!$B$5:$B$204,"281",'05A. COMPROMISSO DA SEMANA'!$J$5:$J$204,"SIM")/SUMIFS('05A. COMPROMISSO DA SEMANA'!$F$5:$F$204,'05A. COMPROMISSO DA SEMANA'!$A$5:$A$204,DATA_GESTAO,'05A. COMPROMISSO DA SEMANA'!$B$5:$B$204,"281",'05A. COMPROMISSO DA SEMANA'!$J$5:$J$204,"SIM"),"")</f>
      </c>
      <c r="I37" s="269" t="inlineStr">
        <is>
          <t>Soma do apontado ÷ soma do prometido</t>
        </is>
      </c>
      <c r="J37" s="272" t="inlineStr">
        <is>
          <t>05A ← 05B</t>
        </is>
      </c>
    </row>
    <row r="38"/>
    <row r="39" ht="30" customHeight="1" s="71">
      <c r="A39" s="215" t="inlineStr">
        <is>
          <t>Nº</t>
        </is>
      </c>
      <c r="B39" s="215" t="inlineStr">
        <is>
          <t>LIMITES DAS CORES (azul = mudar aqui)</t>
        </is>
      </c>
      <c r="C39" s="215" t="inlineStr">
        <is>
          <t>VALOR</t>
        </is>
      </c>
      <c r="D39" s="215" t="inlineStr"/>
      <c r="E39" s="215" t="inlineStr"/>
      <c r="F39" s="215" t="inlineStr"/>
      <c r="G39" s="215" t="inlineStr"/>
      <c r="H39" s="215" t="inlineStr"/>
      <c r="I39" s="215" t="inlineStr"/>
      <c r="J39" s="215" t="inlineStr"/>
    </row>
    <row r="40">
      <c r="B40" s="242" t="inlineStr">
        <is>
          <t>Margem-alvo e limite de caixa ficam na 02. PARÂMETROS (B12 e B11).</t>
        </is>
      </c>
    </row>
    <row r="41">
      <c r="A41" s="222" t="inlineStr">
        <is>
          <t>L1</t>
        </is>
      </c>
      <c r="B41" s="234" t="inlineStr">
        <is>
          <t>PPC: verde a partir de</t>
        </is>
      </c>
      <c r="C41" s="294" t="n">
        <v>0.8</v>
      </c>
    </row>
    <row r="42">
      <c r="A42" s="222" t="inlineStr">
        <is>
          <t>L2</t>
        </is>
      </c>
      <c r="B42" s="234" t="inlineStr">
        <is>
          <t>PPC: amarelo a partir de</t>
        </is>
      </c>
      <c r="C42" s="294" t="n">
        <v>0.6</v>
      </c>
    </row>
    <row r="43">
      <c r="A43" s="222" t="inlineStr">
        <is>
          <t>L3</t>
        </is>
      </c>
      <c r="B43" s="234" t="inlineStr">
        <is>
          <t>Efetivo ÷ previsto: verde se a diferença para 100% for até</t>
        </is>
      </c>
      <c r="C43" s="294" t="n">
        <v>0.1</v>
      </c>
    </row>
    <row r="44">
      <c r="A44" s="222" t="inlineStr">
        <is>
          <t>L4</t>
        </is>
      </c>
      <c r="B44" s="234" t="inlineStr">
        <is>
          <t>Efetivo ÷ previsto: amarelo se a diferença for até</t>
        </is>
      </c>
      <c r="C44" s="294" t="n">
        <v>0.25</v>
      </c>
    </row>
    <row r="45">
      <c r="A45" s="222" t="inlineStr">
        <is>
          <t>L5</t>
        </is>
      </c>
      <c r="B45" s="234" t="inlineStr">
        <is>
          <t>Quantidade apontada ÷ prometida: verde a partir de</t>
        </is>
      </c>
      <c r="C45" s="294" t="n">
        <v>0.9</v>
      </c>
    </row>
    <row r="46">
      <c r="A46" s="222" t="inlineStr">
        <is>
          <t>L6</t>
        </is>
      </c>
      <c r="B46" s="234" t="inlineStr">
        <is>
          <t>Quantidade apontada ÷ prometida: amarelo a partir de</t>
        </is>
      </c>
      <c r="C46" s="294" t="n">
        <v>0.7</v>
      </c>
    </row>
    <row r="47">
      <c r="A47" s="222" t="inlineStr">
        <is>
          <t>L7</t>
        </is>
      </c>
      <c r="B47" s="234" t="inlineStr">
        <is>
          <t>IDP: verde a partir de</t>
        </is>
      </c>
      <c r="C47" s="295" t="n">
        <v>0.95</v>
      </c>
    </row>
    <row r="48">
      <c r="A48" s="222" t="inlineStr">
        <is>
          <t>L8</t>
        </is>
      </c>
      <c r="B48" s="234" t="inlineStr">
        <is>
          <t>IDP: amarelo a partir de</t>
        </is>
      </c>
      <c r="C48" s="295" t="n">
        <v>0.85</v>
      </c>
    </row>
    <row r="49">
      <c r="A49" s="222" t="inlineStr">
        <is>
          <t>L9</t>
        </is>
      </c>
      <c r="B49" s="234" t="inlineStr">
        <is>
          <t>IDC a custo: amarelo a partir de</t>
        </is>
      </c>
      <c r="C49" s="294" t="n">
        <v>0.95</v>
      </c>
    </row>
    <row r="50">
      <c r="A50" s="222" t="inlineStr">
        <is>
          <t>L10</t>
        </is>
      </c>
      <c r="B50" s="234" t="inlineStr">
        <is>
          <t>Restrições vencidas: amarelo até</t>
        </is>
      </c>
      <c r="C50" s="235" t="n">
        <v>2</v>
      </c>
    </row>
    <row r="51">
      <c r="A51" s="222" t="inlineStr">
        <is>
          <t>L11</t>
        </is>
      </c>
      <c r="B51" s="234" t="inlineStr">
        <is>
          <t>Parcela máxima do custo sem cotação para julgar a margem</t>
        </is>
      </c>
      <c r="C51" s="294" t="n">
        <v>0.2</v>
      </c>
    </row>
    <row r="52">
      <c r="A52" s="222" t="inlineStr">
        <is>
          <t>L12</t>
        </is>
      </c>
      <c r="B52" s="234" t="inlineStr">
        <is>
          <t>Caixa: verde se o pior saldo usar até esta fração do limite</t>
        </is>
      </c>
      <c r="C52" s="294" t="n">
        <v>0.8</v>
      </c>
    </row>
    <row r="53">
      <c r="A53" s="222" t="inlineStr">
        <is>
          <t>L13</t>
        </is>
      </c>
      <c r="B53" s="234" t="inlineStr">
        <is>
          <t>Cobertura mínima do apontamento para julgar produção</t>
        </is>
      </c>
      <c r="C53" s="294" t="n">
        <v>0.8</v>
      </c>
    </row>
    <row r="54">
      <c r="A54" s="222" t="inlineStr">
        <is>
          <t>L14</t>
        </is>
      </c>
      <c r="B54" s="234" t="inlineStr">
        <is>
          <t>Custo lançado vale para IDC e margem se o último pagamento lançado tiver até estes dias antes do corte</t>
        </is>
      </c>
      <c r="C54" s="235" t="n">
        <v>35</v>
      </c>
    </row>
    <row r="55"/>
    <row r="56" ht="20" customHeight="1" s="71">
      <c r="A56" s="215" t="inlineStr">
        <is>
          <t>ORDEM DE GRAVIDADE (para as luzes)</t>
        </is>
      </c>
      <c r="B56" s="215" t="inlineStr"/>
      <c r="C56" s="215" t="inlineStr"/>
      <c r="D56" s="215" t="inlineStr"/>
      <c r="E56" s="215" t="inlineStr"/>
      <c r="F56" s="215" t="inlineStr"/>
      <c r="G56" s="215" t="inlineStr"/>
      <c r="H56" s="215" t="inlineStr"/>
      <c r="I56" s="215" t="inlineStr"/>
      <c r="J56" s="215" t="inlineStr"/>
    </row>
    <row r="57">
      <c r="A57" s="222" t="inlineStr">
        <is>
          <t>VERDE</t>
        </is>
      </c>
      <c r="B57" s="272" t="n">
        <v>1</v>
      </c>
    </row>
    <row r="58">
      <c r="A58" s="222" t="inlineStr">
        <is>
          <t>SEM BASE</t>
        </is>
      </c>
      <c r="B58" s="272" t="n">
        <v>2</v>
      </c>
    </row>
    <row r="59">
      <c r="A59" s="222" t="inlineStr">
        <is>
          <t>AMARELO</t>
        </is>
      </c>
      <c r="B59" s="272" t="n">
        <v>3</v>
      </c>
    </row>
    <row r="60">
      <c r="A60" s="222" t="inlineStr">
        <is>
          <t>VERMELHO</t>
        </is>
      </c>
      <c r="B60" s="272" t="n">
        <v>4</v>
      </c>
    </row>
  </sheetData>
  <mergeCells count="3">
    <mergeCell ref="F24:J24"/>
    <mergeCell ref="F25:J25"/>
    <mergeCell ref="F23:J23"/>
  </mergeCells>
  <conditionalFormatting sqref="D6:D15">
    <cfRule type="cellIs" priority="1" operator="equal" dxfId="24">
      <formula>"VERDE"</formula>
    </cfRule>
    <cfRule type="cellIs" priority="2" operator="equal" dxfId="27">
      <formula>"AMARELO"</formula>
    </cfRule>
    <cfRule type="cellIs" priority="3" operator="equal" dxfId="23">
      <formula>"VERMELHO"</formula>
    </cfRule>
    <cfRule type="cellIs" priority="4" operator="equal" dxfId="26">
      <formula>"SEM BASE"</formula>
    </cfRule>
  </conditionalFormatting>
  <conditionalFormatting sqref="F6:F15">
    <cfRule type="cellIs" priority="5" operator="equal" dxfId="24">
      <formula>"VERDE"</formula>
    </cfRule>
    <cfRule type="cellIs" priority="6" operator="equal" dxfId="27">
      <formula>"AMARELO"</formula>
    </cfRule>
    <cfRule type="cellIs" priority="7" operator="equal" dxfId="23">
      <formula>"VERMELHO"</formula>
    </cfRule>
    <cfRule type="cellIs" priority="8" operator="equal" dxfId="26">
      <formula>"SEM BASE"</formula>
    </cfRule>
  </conditionalFormatting>
  <conditionalFormatting sqref="H6:H15">
    <cfRule type="cellIs" priority="9" operator="equal" dxfId="24">
      <formula>"VERDE"</formula>
    </cfRule>
    <cfRule type="cellIs" priority="10" operator="equal" dxfId="27">
      <formula>"AMARELO"</formula>
    </cfRule>
    <cfRule type="cellIs" priority="11" operator="equal" dxfId="23">
      <formula>"VERMELHO"</formula>
    </cfRule>
    <cfRule type="cellIs" priority="12" operator="equal" dxfId="26">
      <formula>"SEM BASE"</formula>
    </cfRule>
  </conditionalFormatting>
  <conditionalFormatting sqref="D18:D20">
    <cfRule type="cellIs" priority="13" operator="equal" dxfId="24">
      <formula>"VERDE"</formula>
    </cfRule>
    <cfRule type="cellIs" priority="14" operator="equal" dxfId="27">
      <formula>"AMARELO"</formula>
    </cfRule>
    <cfRule type="cellIs" priority="15" operator="equal" dxfId="23">
      <formula>"VERMELHO"</formula>
    </cfRule>
    <cfRule type="cellIs" priority="16" operator="equal" dxfId="26">
      <formula>"SEM BASE"</formula>
    </cfRule>
  </conditionalFormatting>
  <conditionalFormatting sqref="F18:F20">
    <cfRule type="cellIs" priority="17" operator="equal" dxfId="24">
      <formula>"VERDE"</formula>
    </cfRule>
    <cfRule type="cellIs" priority="18" operator="equal" dxfId="27">
      <formula>"AMARELO"</formula>
    </cfRule>
    <cfRule type="cellIs" priority="19" operator="equal" dxfId="23">
      <formula>"VERMELHO"</formula>
    </cfRule>
    <cfRule type="cellIs" priority="20" operator="equal" dxfId="26">
      <formula>"SEM BASE"</formula>
    </cfRule>
  </conditionalFormatting>
  <conditionalFormatting sqref="H18:H20">
    <cfRule type="cellIs" priority="21" operator="equal" dxfId="24">
      <formula>"VERDE"</formula>
    </cfRule>
    <cfRule type="cellIs" priority="22" operator="equal" dxfId="27">
      <formula>"AMARELO"</formula>
    </cfRule>
    <cfRule type="cellIs" priority="23" operator="equal" dxfId="23">
      <formula>"VERMELHO"</formula>
    </cfRule>
    <cfRule type="cellIs" priority="24" operator="equal" dxfId="26">
      <formula>"SEM BASE"</formula>
    </cfRule>
  </conditionalFormatting>
  <conditionalFormatting sqref="A57:A60">
    <cfRule type="cellIs" priority="25" operator="equal" dxfId="24">
      <formula>"VERDE"</formula>
    </cfRule>
    <cfRule type="cellIs" priority="26" operator="equal" dxfId="27">
      <formula>"AMARELO"</formula>
    </cfRule>
    <cfRule type="cellIs" priority="27" operator="equal" dxfId="23">
      <formula>"VERMELHO"</formula>
    </cfRule>
    <cfRule type="cellIs" priority="28" operator="equal" dxfId="26">
      <formula>"SEM BASE"</formula>
    </cfRule>
  </conditionalFormatting>
  <dataValidations count="1">
    <dataValidation sqref="E23:E25" showDropDown="0" showInputMessage="0" showErrorMessage="0" allowBlank="1" type="list">
      <formula1>"PROPOSTA,APROVADA,FEITA,CANCELADA"</formula1>
    </dataValidation>
  </dataValidations>
  <hyperlinks>
    <hyperlink ref="J1" location="'00A. MENU'!A1" display="◀ MENU"/>
  </hyperlinks>
  <pageMargins left="0.75" right="0.75" top="1" bottom="1" header="0.5" footer="0.5"/>
</worksheet>
</file>

<file path=xl/worksheets/sheet13.xml><?xml version="1.0" encoding="utf-8"?>
<worksheet xmlns="http://schemas.openxmlformats.org/spreadsheetml/2006/main">
  <sheetPr>
    <tabColor rgb="FF70AD47"/>
    <outlinePr summaryBelow="1" summaryRight="1"/>
    <pageSetUpPr fitToPage="1"/>
  </sheetPr>
  <dimension ref="A1:G20"/>
  <sheetViews>
    <sheetView showGridLines="0" workbookViewId="0">
      <selection activeCell="A1" sqref="A1"/>
    </sheetView>
  </sheetViews>
  <sheetFormatPr baseColWidth="8" defaultRowHeight="15"/>
  <cols>
    <col width="6" customWidth="1" style="71" min="1" max="1"/>
    <col width="60" customWidth="1" style="71" min="2" max="2"/>
    <col width="16" customWidth="1" style="71" min="3" max="3"/>
    <col width="16" customWidth="1" style="71" min="4" max="4"/>
    <col width="16" customWidth="1" style="71" min="5" max="5"/>
    <col width="44" customWidth="1" style="71" min="6" max="6"/>
  </cols>
  <sheetData>
    <row r="1" ht="26.1" customHeight="1" s="71">
      <c r="A1" s="1" t="inlineStr">
        <is>
          <t>01C. PLACAR SEMANAL — os números da reunião de segunda (5 a 15, nunca só o PPC)</t>
        </is>
      </c>
      <c r="B1" s="2" t="n"/>
      <c r="C1" s="2" t="n"/>
      <c r="D1" s="2" t="n"/>
      <c r="E1" s="2" t="n"/>
      <c r="F1" s="2" t="n"/>
      <c r="G1" s="3" t="inlineStr">
        <is>
          <t>◀ MENU</t>
        </is>
      </c>
    </row>
    <row r="2">
      <c r="A2" s="4" t="inlineStr">
        <is>
          <t>Mesma rotina da WCR: 90 min, mesmo dia e hora. PPC sozinho não mede resultado (explica menos de 10 % do desvio de custo): leia sempre junto com custo e caixa.</t>
        </is>
      </c>
    </row>
    <row r="3"/>
    <row r="4" ht="30" customHeight="1" s="71">
      <c r="A4" s="23" t="inlineStr">
        <is>
          <t>Nº</t>
        </is>
      </c>
      <c r="B4" s="23" t="inlineStr">
        <is>
          <t>NÚMERO</t>
        </is>
      </c>
      <c r="C4" s="23" t="inlineStr">
        <is>
          <t>342</t>
        </is>
      </c>
      <c r="D4" s="23" t="inlineStr">
        <is>
          <t>343</t>
        </is>
      </c>
      <c r="E4" s="23" t="inlineStr">
        <is>
          <t>281</t>
        </is>
      </c>
      <c r="F4" s="23" t="inlineStr">
        <is>
          <t>DE ONDE VEM / COMO LER</t>
        </is>
      </c>
    </row>
    <row r="5">
      <c r="A5" s="30" t="n">
        <v>1</v>
      </c>
      <c r="B5" s="5" t="inlineStr">
        <is>
          <t>IDP: medido aprovado ÷ previsto até o último BM fechado</t>
        </is>
      </c>
      <c r="C5" s="31" t="str">
        <f>'08B. TODAS AS OBRAS'!J5</f>
        <v>SEM BASE</v>
      </c>
      <c r="D5" s="31" t="str">
        <f>'08B. TODAS AS OBRAS'!J6</f>
        <v>SEM BASE</v>
      </c>
      <c r="E5" s="31">
        <f>'08B. TODAS AS OBRAS'!J7</f>
        <v>1.25100319828372</v>
      </c>
      <c r="F5" s="32" t="inlineStr">
        <is>
          <t>08B. Abaixo de 1 = atrasado no que o cliente paga. Só BM APROVADO, FATURADO ou RECEBIDO.</t>
        </is>
      </c>
    </row>
    <row r="6">
      <c r="A6" s="30" t="n">
        <v>2</v>
      </c>
      <c r="B6" s="5" t="inlineStr">
        <is>
          <t>Custo realizado ÷ custo previsto até o corte</t>
        </is>
      </c>
      <c r="C6" s="31" t="str">
        <f>IF(OR(DATA_GESTAO-'08B. TODAS AS OBRAS'!$K$5&gt;'01A. GESTÃO DA SEMANA'!$C$54,N('08B. TODAS AS OBRAS'!H5)=0),"SEM BASE",'08B. TODAS AS OBRAS'!G5/'08B. TODAS AS OBRAS'!H5)</f>
        <v>SEM BASE</v>
      </c>
      <c r="D6" s="31" t="str">
        <f>IF(OR(DATA_GESTAO-'08B. TODAS AS OBRAS'!$K$6&gt;'01A. GESTÃO DA SEMANA'!$C$54,N('08B. TODAS AS OBRAS'!H6)=0),"SEM BASE",'08B. TODAS AS OBRAS'!G6/'08B. TODAS AS OBRAS'!H6)</f>
        <v>SEM BASE</v>
      </c>
      <c r="E6" s="31" t="str">
        <f>IF(ISTEXT('08B. TODAS AS OBRAS'!H7),'08B. TODAS AS OBRAS'!H7,IF(OR(DATA_GESTAO-'08B. TODAS AS OBRAS'!$K$7&gt;'01A. GESTÃO DA SEMANA'!$C$54,N('08B. TODAS AS OBRAS'!H7)=0),"SEM BASE",'08B. TODAS AS OBRAS'!G7/'08B. TODAS AS OBRAS'!H7))</f>
        <v>sem plano de custo</v>
      </c>
      <c r="F6" s="32" t="inlineStr">
        <is>
          <t>08B. Acima de 1 = gastando mais que o plano. Custo lançado há mais de 35 dias: SEM BASE.</t>
        </is>
      </c>
    </row>
    <row r="7">
      <c r="A7" s="30" t="n">
        <v>3</v>
      </c>
      <c r="B7" s="5" t="inlineStr">
        <is>
          <t>Caixa da obra: recebido − pago (R$)</t>
        </is>
      </c>
      <c r="C7" s="296" t="str">
        <f>'08B. TODAS AS OBRAS'!I5</f>
        <v>SEM BASE</v>
      </c>
      <c r="D7" s="296" t="str">
        <f>'08B. TODAS AS OBRAS'!I6</f>
        <v>SEM BASE</v>
      </c>
      <c r="E7" s="296" t="str">
        <f>'08B. TODAS AS OBRAS'!I7</f>
        <v>faltam NFs de BMs na 07</v>
      </c>
      <c r="F7" s="32" t="inlineStr">
        <is>
          <t>08B. Negativo = a TAF está financiando a obra.</t>
        </is>
      </c>
    </row>
    <row r="8" ht="24" customHeight="1" s="71">
      <c r="A8" s="30" t="n">
        <v>4</v>
      </c>
      <c r="B8" s="5" t="inlineStr">
        <is>
          <t>Efetivo em campo ÷ efetivo previsto no mês</t>
        </is>
      </c>
      <c r="C8" s="31" t="str">
        <f>IF(SUMIFS('05. SEMANAS'!$G$5:$G$64,'05. SEMANAS'!$A$5:$A$64,'02. PARÂMETROS'!$B$5,'05. SEMANAS'!$B$5:$B$64,"342")=0,"sem apontamento",IFERROR(SUMIFS('05. SEMANAS'!$F$5:$F$64,'05. SEMANAS'!$A$5:$A$64,'02. PARÂMETROS'!$B$5,'05. SEMANAS'!$B$5:$B$64,"342")/INDEX('04. PLANO DAS OBRAS'!$C$14:$R$14,MAX(1,MAX(0,MIN(16,(YEAR('02. PARÂMETROS'!$B$5)-2026)*12+MONTH('02. PARÂMETROS'!$B$5)-8)))),0))</f>
        <v>sem apontamento</v>
      </c>
      <c r="D8" s="31" t="str">
        <f>IF(SUMIFS('05. SEMANAS'!$G$5:$G$64,'05. SEMANAS'!$A$5:$A$64,'02. PARÂMETROS'!$B$5,'05. SEMANAS'!$B$5:$B$64,"343")=0,"sem apontamento",IFERROR(SUMIFS('05. SEMANAS'!$F$5:$F$64,'05. SEMANAS'!$A$5:$A$64,'02. PARÂMETROS'!$B$5,'05. SEMANAS'!$B$5:$B$64,"343")/INDEX('04. PLANO DAS OBRAS'!$C$26:$R$26,MAX(1,MAX(0,MIN(16,(YEAR('02. PARÂMETROS'!$B$5)-2026)*12+MONTH('02. PARÂMETROS'!$B$5)-8)))),0))</f>
        <v>sem apontamento</v>
      </c>
      <c r="E8" s="31" t="str">
        <f>IF(SUMIFS('05. SEMANAS'!$G$5:$G$64,'05. SEMANAS'!$A$5:$A$64,'02. PARÂMETROS'!$B$5,'05. SEMANAS'!$B$5:$B$64,"281")=0,"sem apontamento","sem efetivo previsto")</f>
        <v>sem apontamento</v>
      </c>
      <c r="F8" s="32" t="inlineStr">
        <is>
          <t>05 ÷ 04. Muito abaixo = obra vai atrasar; muito acima = custo vai estourar.</t>
        </is>
      </c>
    </row>
    <row r="9" ht="24" customHeight="1" s="71">
      <c r="A9" s="30" t="n">
        <v>5</v>
      </c>
      <c r="B9" s="5" t="inlineStr">
        <is>
          <t>PPC da semana</t>
        </is>
      </c>
      <c r="C9" s="34" t="str">
        <f>IF(SUMIFS('05. SEMANAS'!$C$5:$C$64,'05. SEMANAS'!$A$5:$A$64,'02. PARÂMETROS'!$B$5,'05. SEMANAS'!$B$5:$B$64,"342")=0,"sem compromisso",IFERROR(SUMIFS('05. SEMANAS'!$D$5:$D$64,'05. SEMANAS'!$A$5:$A$64,'02. PARÂMETROS'!$B$5,'05. SEMANAS'!$B$5:$B$64,"342")/SUMIFS('05. SEMANAS'!$C$5:$C$64,'05. SEMANAS'!$A$5:$A$64,'02. PARÂMETROS'!$B$5,'05. SEMANAS'!$B$5:$B$64,"342"),0))</f>
        <v>sem compromisso</v>
      </c>
      <c r="D9" s="34" t="str">
        <f>IF(SUMIFS('05. SEMANAS'!$C$5:$C$64,'05. SEMANAS'!$A$5:$A$64,'02. PARÂMETROS'!$B$5,'05. SEMANAS'!$B$5:$B$64,"343")=0,"sem compromisso",IFERROR(SUMIFS('05. SEMANAS'!$D$5:$D$64,'05. SEMANAS'!$A$5:$A$64,'02. PARÂMETROS'!$B$5,'05. SEMANAS'!$B$5:$B$64,"343")/SUMIFS('05. SEMANAS'!$C$5:$C$64,'05. SEMANAS'!$A$5:$A$64,'02. PARÂMETROS'!$B$5,'05. SEMANAS'!$B$5:$B$64,"343"),0))</f>
        <v>sem compromisso</v>
      </c>
      <c r="E9" s="34" t="str">
        <f>IF(SUMIFS('05. SEMANAS'!$C$5:$C$64,'05. SEMANAS'!$A$5:$A$64,'02. PARÂMETROS'!$B$5,'05. SEMANAS'!$B$5:$B$64,"281")=0,"sem compromisso",IFERROR(SUMIFS('05. SEMANAS'!$D$5:$D$64,'05. SEMANAS'!$A$5:$A$64,'02. PARÂMETROS'!$B$5,'05. SEMANAS'!$B$5:$B$64,"281")/SUMIFS('05. SEMANAS'!$C$5:$C$64,'05. SEMANAS'!$A$5:$A$64,'02. PARÂMETROS'!$B$5,'05. SEMANAS'!$B$5:$B$64,"281"),0))</f>
        <v>sem compromisso</v>
      </c>
      <c r="F9" s="32" t="inlineStr">
        <is>
          <t>05. Confiabilidade do plano do encarregado. Nunca ler sozinho.</t>
        </is>
      </c>
    </row>
    <row r="10" ht="24" customHeight="1" s="71">
      <c r="A10" s="30" t="n">
        <v>6</v>
      </c>
      <c r="B10" s="5" t="inlineStr">
        <is>
          <t>Apontamentos entregues ÷ dias úteis da semana (adoção)</t>
        </is>
      </c>
      <c r="C10" s="34">
        <f>IFERROR(SUMIFS('05. SEMANAS'!$G$5:$G$64,'05. SEMANAS'!$A$5:$A$64,'02. PARÂMETROS'!$B$5,'05. SEMANAS'!$B$5:$B$64,"342")/SUMIFS('05. SEMANAS'!$H$5:$H$64,'05. SEMANAS'!$A$5:$A$64,'02. PARÂMETROS'!$B$5,'05. SEMANAS'!$B$5:$B$64,"342"),0)</f>
        <v>0</v>
      </c>
      <c r="D10" s="34">
        <f>IFERROR(SUMIFS('05. SEMANAS'!$G$5:$G$64,'05. SEMANAS'!$A$5:$A$64,'02. PARÂMETROS'!$B$5,'05. SEMANAS'!$B$5:$B$64,"343")/SUMIFS('05. SEMANAS'!$H$5:$H$64,'05. SEMANAS'!$A$5:$A$64,'02. PARÂMETROS'!$B$5,'05. SEMANAS'!$B$5:$B$64,"343"),0)</f>
        <v>0</v>
      </c>
      <c r="E10" s="34">
        <f>IFERROR(SUMIFS('05. SEMANAS'!$G$5:$G$64,'05. SEMANAS'!$A$5:$A$64,'02. PARÂMETROS'!$B$5,'05. SEMANAS'!$B$5:$B$64,"281")/SUMIFS('05. SEMANAS'!$H$5:$H$64,'05. SEMANAS'!$A$5:$A$64,'02. PARÂMETROS'!$B$5,'05. SEMANAS'!$B$5:$B$64,"281"),0)</f>
        <v>0</v>
      </c>
      <c r="F10" s="32" t="inlineStr">
        <is>
          <t>05. Meta 100 %: sem apontamento não há controle (motor 4-CONTROLE).</t>
        </is>
      </c>
    </row>
    <row r="11">
      <c r="A11" s="30" t="n">
        <v>7</v>
      </c>
      <c r="B11" s="5" t="inlineStr">
        <is>
          <t>Ocorrências abertas + pendências do cliente</t>
        </is>
      </c>
      <c r="C11" s="35">
        <f>SUMIFS('05. SEMANAS'!$I$5:$I$64,'05. SEMANAS'!$A$5:$A$64,'02. PARÂMETROS'!$B$5,'05. SEMANAS'!$B$5:$B$64,"342")+SUMIFS('05. SEMANAS'!$J$5:$J$64,'05. SEMANAS'!$A$5:$A$64,'02. PARÂMETROS'!$B$5,'05. SEMANAS'!$B$5:$B$64,"342")</f>
        <v>56</v>
      </c>
      <c r="D11" s="35">
        <f>SUMIFS('05. SEMANAS'!$I$5:$I$64,'05. SEMANAS'!$A$5:$A$64,'02. PARÂMETROS'!$B$5,'05. SEMANAS'!$B$5:$B$64,"343")+SUMIFS('05. SEMANAS'!$J$5:$J$64,'05. SEMANAS'!$A$5:$A$64,'02. PARÂMETROS'!$B$5,'05. SEMANAS'!$B$5:$B$64,"343")</f>
        <v>11</v>
      </c>
      <c r="E11" s="35">
        <f>SUMIFS('05. SEMANAS'!$I$5:$I$64,'05. SEMANAS'!$A$5:$A$64,'02. PARÂMETROS'!$B$5,'05. SEMANAS'!$B$5:$B$64,"281")+SUMIFS('05. SEMANAS'!$J$5:$J$64,'05. SEMANAS'!$A$5:$A$64,'02. PARÂMETROS'!$B$5,'05. SEMANAS'!$B$5:$B$64,"281")</f>
        <v>27</v>
      </c>
      <c r="F11" s="32" t="inlineStr">
        <is>
          <t>05. Cada uma com dono e prazo na ata.</t>
        </is>
      </c>
    </row>
    <row r="12">
      <c r="A12" s="24" t="n"/>
      <c r="B12" s="5" t="inlineStr">
        <is>
          <t>TAF — caixa acumulado realizado (R$)</t>
        </is>
      </c>
      <c r="C12" s="297">
        <f>INDEX('10. CAIXA'!$C$13:$R$13,MAX(1,MAX(0,MIN(16,(YEAR('02. PARÂMETROS'!$B$5)-2026)*12+MONTH('02. PARÂMETROS'!$B$5)-8))))</f>
        <v>0</v>
      </c>
      <c r="D12" s="24" t="n"/>
      <c r="E12" s="24" t="n"/>
      <c r="F12" s="24" t="n"/>
    </row>
    <row r="13">
      <c r="A13" s="24" t="n"/>
      <c r="B13" s="5" t="inlineStr">
        <is>
          <t>TAF — caixa acumulado previsto no mesmo mês (R$)</t>
        </is>
      </c>
      <c r="C13" s="297">
        <f>INDEX('10. CAIXA'!$C$8:$R$8,MAX(1,MAX(0,MIN(16,(YEAR('02. PARÂMETROS'!$B$5)-2026)*12+MONTH('02. PARÂMETROS'!$B$5)-8))))</f>
        <v>-851003.8214</v>
      </c>
      <c r="D13" s="24" t="n"/>
      <c r="E13" s="24" t="n"/>
      <c r="F13" s="24" t="n"/>
    </row>
    <row r="14"/>
    <row r="15">
      <c r="B15" s="4" t="inlineStr">
        <is>
          <t>Regra de ouro: meta, prazo e caixa são da diretoria; o plano da semana e a causa do não-cumprimento são do encarregado de cada obra.</t>
        </is>
      </c>
    </row>
    <row r="16">
      <c r="B16" s="4" t="inlineStr">
        <is>
          <t>Pergunte primeiro o que a TAF não fez (mão de obra, planejamento, material): cerca de 80 % das causas de não cumprir o plano são internas.</t>
        </is>
      </c>
    </row>
    <row r="17"/>
    <row r="18">
      <c r="A18" s="30" t="inlineStr">
        <is>
          <t>1b</t>
        </is>
      </c>
      <c r="B18" s="5" t="inlineStr">
        <is>
          <t>Medido enviado, ainda sem aprovação (R$)</t>
        </is>
      </c>
      <c r="C18" s="296">
        <f>'08B. TODAS AS OBRAS'!L5</f>
        <v>0</v>
      </c>
      <c r="D18" s="296">
        <f>'08B. TODAS AS OBRAS'!L6</f>
        <v>0</v>
      </c>
      <c r="E18" s="296">
        <f>'08B. TODAS AS OBRAS'!L7</f>
        <v>688711.37</v>
      </c>
      <c r="F18" s="32" t="inlineStr">
        <is>
          <t>06, situação ENVIADO. Cobrar a aprovação do fiscal.</t>
        </is>
      </c>
    </row>
    <row r="19">
      <c r="A19" s="30" t="inlineStr">
        <is>
          <t>1c</t>
        </is>
      </c>
      <c r="B19" s="5" t="inlineStr">
        <is>
          <t>IDP com o enviado (aprovado + enviado ÷ previsto até o último BM)</t>
        </is>
      </c>
      <c r="C19" s="31" t="str">
        <f>'08B. TODAS AS OBRAS'!O5</f>
        <v>SEM BASE</v>
      </c>
      <c r="D19" s="31" t="str">
        <f>'08B. TODAS AS OBRAS'!O6</f>
        <v>SEM BASE</v>
      </c>
      <c r="E19" s="31">
        <f>'08B. TODAS AS OBRAS'!O7</f>
        <v>1.03775415015938</v>
      </c>
      <c r="F19" s="32" t="inlineStr">
        <is>
          <t>08B. Se o enviado for aprovado, o IDP vai para cá.</t>
        </is>
      </c>
    </row>
    <row r="20">
      <c r="A20" s="30" t="inlineStr">
        <is>
          <t>1d</t>
        </is>
      </c>
      <c r="B20" s="5" t="inlineStr">
        <is>
          <t>IDP do mês (último BM ÷ previsto do mesmo mês)</t>
        </is>
      </c>
      <c r="C20" s="31" t="str">
        <f>'08B. TODAS AS OBRAS'!P5</f>
        <v>SEM BASE</v>
      </c>
      <c r="D20" s="31" t="str">
        <f>'08B. TODAS AS OBRAS'!P6</f>
        <v>SEM BASE</v>
      </c>
      <c r="E20" s="31">
        <f>'08B. TODAS AS OBRAS'!P7</f>
        <v>0.429582415547765</v>
      </c>
      <c r="F20" s="32" t="inlineStr">
        <is>
          <t>08B. Mostra se o ritmo do último mês caiu.</t>
        </is>
      </c>
    </row>
  </sheetData>
  <hyperlinks>
    <hyperlink ref="G1" location="'00A. MENU'!A1" display="◀ MENU"/>
  </hyperlinks>
  <pageMargins left="0.75" right="0.75" top="1" bottom="1" header="0.5" footer="0.5"/>
  <pageSetup orientation="landscape" fitToHeight="0"/>
</worksheet>
</file>

<file path=xl/worksheets/sheet14.xml><?xml version="1.0" encoding="utf-8"?>
<worksheet xmlns="http://schemas.openxmlformats.org/spreadsheetml/2006/main">
  <sheetPr>
    <tabColor rgb="FFFFC000"/>
    <outlinePr summaryBelow="1" summaryRight="1"/>
    <pageSetUpPr fitToPage="1"/>
  </sheetPr>
  <dimension ref="A1:I121"/>
  <sheetViews>
    <sheetView showGridLines="0" workbookViewId="0">
      <selection activeCell="A1" sqref="A1"/>
    </sheetView>
  </sheetViews>
  <sheetFormatPr baseColWidth="8" defaultRowHeight="15"/>
  <cols>
    <col width="46" customWidth="1" style="71" min="1" max="1"/>
    <col width="18" customWidth="1" style="71" min="2" max="2"/>
    <col width="90" customWidth="1" style="71" min="3" max="3"/>
    <col width="34" customWidth="1" style="71" min="5" max="5"/>
    <col width="14" customWidth="1" style="71" min="6" max="6"/>
    <col width="14" customWidth="1" style="71" min="7" max="7"/>
    <col width="12" customWidth="1" style="71" min="8" max="8"/>
    <col width="14" customWidth="1" style="71" min="9" max="9"/>
  </cols>
  <sheetData>
    <row r="1" ht="26.1" customHeight="1" s="71">
      <c r="A1" s="1" t="inlineStr">
        <is>
          <t>02. PARÂMETROS — o que vale para a empresa inteira</t>
        </is>
      </c>
      <c r="B1" s="2" t="n"/>
      <c r="C1" s="2" t="n"/>
      <c r="D1" s="2" t="n"/>
      <c r="E1" s="2" t="n"/>
      <c r="F1" s="2" t="n"/>
      <c r="G1" s="3" t="inlineStr">
        <is>
          <t>◀ MENU</t>
        </is>
      </c>
    </row>
    <row r="2">
      <c r="A2" s="4" t="inlineStr">
        <is>
          <t>Azul = digitar. Amarelo = confirmar. Mude aqui e o resto recalcula.</t>
        </is>
      </c>
    </row>
    <row r="3"/>
    <row r="4" ht="30" customHeight="1" s="71">
      <c r="A4" s="23" t="inlineStr">
        <is>
          <t>PARÂMETRO</t>
        </is>
      </c>
      <c r="B4" s="23" t="inlineStr">
        <is>
          <t>VALOR</t>
        </is>
      </c>
      <c r="C4" s="23" t="inlineStr">
        <is>
          <t>FONTE / POR QUÊ</t>
        </is>
      </c>
      <c r="E4" s="215" t="inlineStr">
        <is>
          <t>ISS POR OBRA (LC 116/2003)</t>
        </is>
      </c>
      <c r="F4" s="215" t="inlineStr">
        <is>
          <t>342</t>
        </is>
      </c>
      <c r="G4" s="215" t="inlineStr">
        <is>
          <t>343</t>
        </is>
      </c>
      <c r="H4" s="215" t="inlineStr">
        <is>
          <t>281</t>
        </is>
      </c>
    </row>
    <row r="5" ht="40" customHeight="1" s="71">
      <c r="A5" s="30" t="inlineStr">
        <is>
          <t>Data de corte (fim da semana que está sendo analisada)</t>
        </is>
      </c>
      <c r="B5" s="37" t="n">
        <v>46311</v>
      </c>
      <c r="C5" s="32" t="inlineStr">
        <is>
          <t>Toda segunda-feira: mude para a sexta-feira anterior. Placar, luzes (01A), EVM e checks leem daqui. rev2: 16/10/2026.</t>
        </is>
      </c>
      <c r="E5" s="234" t="inlineStr">
        <is>
          <t>Município onde o ISS é devido (local da obra, art. 3º)</t>
        </is>
      </c>
      <c r="F5" s="298" t="inlineStr">
        <is>
          <t>Santo Antônio do Descoberto/GO</t>
        </is>
      </c>
      <c r="G5" s="298" t="inlineStr">
        <is>
          <t>Brasília/DF</t>
        </is>
      </c>
      <c r="H5" s="298" t="inlineStr">
        <is>
          <t>Mozarlândia/GO</t>
        </is>
      </c>
    </row>
    <row r="6" ht="28" customHeight="1" s="71">
      <c r="A6" s="30" t="inlineStr">
        <is>
          <t>ISS sobre a medição (padrão; a alíquota de cada obra fica em F6:H6)</t>
        </is>
      </c>
      <c r="B6" s="299" t="n">
        <v>0.02</v>
      </c>
      <c r="C6" s="32" t="inlineStr">
        <is>
          <t>Viabilidade TAF CAESB Sobradinho REV00 (aba RESUMO DA VIABILIDADE). Não conferido na lei de cada município: SEM BASE até conferir (F8:H8). FLUXO e 08C usam a alíquota de cada obra (F6:H6).</t>
        </is>
      </c>
      <c r="E6" s="234" t="inlineStr">
        <is>
          <t>Alíquota em uso (piso 2%, art. 8-A; teto 5%, art. 8º, II)</t>
        </is>
      </c>
      <c r="F6" s="300">
        <f>$B$6</f>
        <v>0.02</v>
      </c>
      <c r="G6" s="300">
        <f>$B$6</f>
        <v>0.02</v>
      </c>
      <c r="H6" s="300">
        <f>$B$6</f>
        <v>0.02</v>
      </c>
    </row>
    <row r="7" ht="28" customHeight="1" s="71">
      <c r="A7" s="30" t="inlineStr">
        <is>
          <t>Tributos do lucro presumido (PIS, COFINS, IRPJ, CSLL) sobre a receita</t>
        </is>
      </c>
      <c r="B7" s="299" t="n">
        <v>0.065</v>
      </c>
      <c r="C7" s="32" t="inlineStr">
        <is>
          <t>Viabilidade TAF CAESB Sobradinho REV00: 'Alíquota sobre lucro presumido 6,5 %'. Confirmar com a contabilidade da TAF.</t>
        </is>
      </c>
      <c r="E7" s="234" t="inlineStr">
        <is>
          <t>Conferida na lei do município? (Financeiro TAF)</t>
        </is>
      </c>
      <c r="F7" s="288" t="inlineStr">
        <is>
          <t>NÃO</t>
        </is>
      </c>
      <c r="G7" s="288" t="inlineStr">
        <is>
          <t>NÃO</t>
        </is>
      </c>
      <c r="H7" s="288" t="inlineStr">
        <is>
          <t>NÃO</t>
        </is>
      </c>
    </row>
    <row r="8" ht="28" customHeight="1" s="71">
      <c r="A8" s="30" t="inlineStr">
        <is>
          <t>Encargos sociais sobre salário (horista e mensalista)</t>
        </is>
      </c>
      <c r="B8" s="299" t="n">
        <v>0.7323</v>
      </c>
      <c r="C8" s="32" t="inlineStr">
        <is>
          <t>Viabilidade TAF (aba CPUs INTERNAS).</t>
        </is>
      </c>
      <c r="E8" s="234" t="inlineStr">
        <is>
          <t>Situação da alíquota</t>
        </is>
      </c>
      <c r="F8" s="222" t="str">
        <f>IF(F7="SIM","CONFERIDA","SEM BASE")</f>
        <v>SEM BASE</v>
      </c>
      <c r="G8" s="222" t="str">
        <f>IF(G7="SIM","CONFERIDA","SEM BASE")</f>
        <v>SEM BASE</v>
      </c>
      <c r="H8" s="222" t="str">
        <f>IF(H7="SIM","CONFERIDA","SEM BASE")</f>
        <v>SEM BASE</v>
      </c>
    </row>
    <row r="9" ht="28" customHeight="1" s="71">
      <c r="A9" s="30" t="inlineStr">
        <is>
          <t>Taxa de administração central (sobre o preço)</t>
        </is>
      </c>
      <c r="B9" s="299" t="n">
        <v>0.05</v>
      </c>
      <c r="C9" s="32" t="inlineStr">
        <is>
          <t>Viabilidade TAF (RESUMO). O resultado das obras sai ANTES desta taxa. É só o teto: o custo real do escritório entra na 10. CAIXA, C22.</t>
        </is>
      </c>
      <c r="E9" s="234" t="inlineStr">
        <is>
          <t>O cliente retém ISS na nota? (07, coluna G; o retido sai do devido, não soma)</t>
        </is>
      </c>
      <c r="F9" s="222" t="str">
        <f>IF(COUNTIFS('07. FATURAMENTO E RECEBIMENTO'!$B$5:$B$44,"342",'07. FATURAMENTO E RECEBIMENTO'!$F$5:$F$44,"&lt;&gt;")=0,"A CONFERIR",IF(SUMIFS('07. FATURAMENTO E RECEBIMENTO'!$G$5:$G$44,'07. FATURAMENTO E RECEBIMENTO'!$B$5:$B$44,"342")&gt;0,"SIM","NÃO"))</f>
        <v>A CONFERIR</v>
      </c>
      <c r="G9" s="222" t="str">
        <f>IF(COUNTIFS('07. FATURAMENTO E RECEBIMENTO'!$B$5:$B$44,"343",'07. FATURAMENTO E RECEBIMENTO'!$F$5:$F$44,"&lt;&gt;")=0,"A CONFERIR",IF(SUMIFS('07. FATURAMENTO E RECEBIMENTO'!$G$5:$G$44,'07. FATURAMENTO E RECEBIMENTO'!$B$5:$B$44,"343")&gt;0,"SIM","NÃO"))</f>
        <v>A CONFERIR</v>
      </c>
      <c r="H9" s="222" t="str">
        <f>IF(COUNTIFS('07. FATURAMENTO E RECEBIMENTO'!$B$5:$B$44,"281",'07. FATURAMENTO E RECEBIMENTO'!$F$5:$F$44,"&lt;&gt;")=0,"A CONFERIR",IF(SUMIFS('07. FATURAMENTO E RECEBIMENTO'!$G$5:$G$44,'07. FATURAMENTO E RECEBIMENTO'!$B$5:$B$44,"281")&gt;0,"SIM","NÃO"))</f>
        <v>NÃO</v>
      </c>
    </row>
    <row r="10" ht="28" customHeight="1" s="71">
      <c r="A10" s="30" t="inlineStr">
        <is>
          <t>Custo do capital (% ao mês)</t>
        </is>
      </c>
      <c r="B10" s="299" t="n">
        <v>0.015</v>
      </c>
      <c r="C10" s="32" t="inlineStr">
        <is>
          <t>Premissa. Confirmar o custo real do dinheiro da TAF. Usado no juro da 10. CAIXA (linha 28).</t>
        </is>
      </c>
      <c r="E10" s="234" t="inlineStr">
        <is>
          <t>Cada ponto de ISS vale (R$, 1% do contrato)</t>
        </is>
      </c>
      <c r="F10" s="267">
        <f>'03. CONTRATOS'!$B$8*0.01</f>
        <v>32580</v>
      </c>
      <c r="G10" s="267">
        <f>'03. CONTRATOS'!$D$8*0.01</f>
        <v>52266.3403</v>
      </c>
      <c r="H10" s="267">
        <f>'03. CONTRATOS'!$F$8*0.01</f>
        <v>171200.1574</v>
      </c>
    </row>
    <row r="11" ht="28" customHeight="1" s="71">
      <c r="A11" s="30" t="inlineStr">
        <is>
          <t>Limite de caixa negativo aceitável (R$)</t>
        </is>
      </c>
      <c r="B11" s="301" t="n"/>
      <c r="C11" s="32" t="inlineStr">
        <is>
          <t>Defina com os sócios: acima disso o MASTER CHECK acende PENDENTE.</t>
        </is>
      </c>
      <c r="E11" s="234" t="inlineStr">
        <is>
          <t>No teto de 5%: ISS a mais que o em uso (R$)</t>
        </is>
      </c>
      <c r="F11" s="267">
        <f>'03. CONTRATOS'!$B$8*(0.05-F6)</f>
        <v>97740</v>
      </c>
      <c r="G11" s="267">
        <f>'03. CONTRATOS'!$D$8*(0.05-G6)</f>
        <v>156799.0209</v>
      </c>
      <c r="H11" s="267">
        <f>'03. CONTRATOS'!$F$8*(0.05-H6)</f>
        <v>513600.4722</v>
      </c>
    </row>
    <row r="12">
      <c r="A12" s="222" t="inlineStr">
        <is>
          <t>Margem-alvo da obra (sobre a receita líquida, antes da administração central)</t>
        </is>
      </c>
      <c r="B12" s="300" t="n">
        <v>0.1</v>
      </c>
      <c r="C12" s="269" t="inlineStr">
        <is>
          <t>Premissa da rev2 até os sócios definirem. Pergunta 5 da 01A: verde a partir daqui; amarelo a partir da administração central (B9).</t>
        </is>
      </c>
    </row>
    <row r="13">
      <c r="A13" s="222" t="inlineStr">
        <is>
          <t>Capital de giro: fator sobre o pior saldo acumulado previsto (regra única)</t>
        </is>
      </c>
      <c r="B13" s="302" t="n">
        <v>1.15</v>
      </c>
      <c r="C13" s="269" t="inlineStr">
        <is>
          <t>Premissa da rev1 (pior saldo × 1,15). Vale para FLUXO C16:E16, 10. CAIXA C17 e 04 C33:D33. A LINHA DE BASE B14 guarda o valor congelado.</t>
        </is>
      </c>
    </row>
    <row r="14">
      <c r="A14" s="4" t="inlineStr">
        <is>
          <t>Regime de medição, prazo de pagamento, garantia e fiscais de cada contrato ficam na 03. CONTRATOS.</t>
        </is>
      </c>
    </row>
    <row r="15"/>
    <row r="16">
      <c r="A16" s="10" t="inlineStr">
        <is>
          <t>FERIADOS (dias úteis do apontamento, da 05. SEMANAS e do compromisso)</t>
        </is>
      </c>
      <c r="B16" s="11" t="n"/>
      <c r="C16" s="11" t="n"/>
      <c r="D16" s="11" t="n"/>
      <c r="E16" s="11" t="n"/>
      <c r="F16" s="11" t="n"/>
      <c r="G16" s="11" t="n"/>
      <c r="H16" s="11" t="n"/>
      <c r="I16" s="11" t="n"/>
    </row>
    <row r="17" ht="30" customHeight="1" s="71">
      <c r="A17" s="215" t="inlineStr">
        <is>
          <t>Data</t>
        </is>
      </c>
      <c r="B17" s="215" t="inlineStr">
        <is>
          <t>Feriado</t>
        </is>
      </c>
      <c r="C17" s="215" t="inlineStr">
        <is>
          <t>Vale na 342</t>
        </is>
      </c>
      <c r="D17" s="215" t="inlineStr">
        <is>
          <t>Vale na 343</t>
        </is>
      </c>
      <c r="E17" s="215" t="inlineStr">
        <is>
          <t>Fonte</t>
        </is>
      </c>
      <c r="F17" s="215" t="inlineStr">
        <is>
          <t>Data na 342 (cálculo)</t>
        </is>
      </c>
      <c r="G17" s="215" t="inlineStr">
        <is>
          <t>Data na 343 (cálculo)</t>
        </is>
      </c>
      <c r="H17" s="215" t="inlineStr">
        <is>
          <t>Vale na 281</t>
        </is>
      </c>
      <c r="I17" s="215" t="inlineStr">
        <is>
          <t>Data na 281 (cálculo)</t>
        </is>
      </c>
    </row>
    <row r="18">
      <c r="A18" s="220" t="n">
        <v>46307</v>
      </c>
      <c r="B18" s="218" t="inlineStr">
        <is>
          <t>Nossa Senhora Aparecida</t>
        </is>
      </c>
      <c r="C18" s="218" t="inlineStr">
        <is>
          <t>SIM</t>
        </is>
      </c>
      <c r="D18" s="218" t="inlineStr">
        <is>
          <t>SIM</t>
        </is>
      </c>
      <c r="E18" s="272" t="inlineStr">
        <is>
          <t>nacional</t>
        </is>
      </c>
      <c r="F18" s="303">
        <f>IF(AND(A18&lt;&gt;"",C18="SIM"),A18,0)</f>
        <v>46307.0</v>
      </c>
      <c r="G18" s="303">
        <f>IF(AND(A18&lt;&gt;"",D18="SIM"),A18,0)</f>
        <v>46307.0</v>
      </c>
      <c r="H18" s="218" t="inlineStr">
        <is>
          <t>SIM</t>
        </is>
      </c>
      <c r="I18" s="303">
        <f>IF(AND(A18&lt;&gt;"",H18="SIM"),A18,0)</f>
        <v>46307.0</v>
      </c>
    </row>
    <row r="19">
      <c r="A19" s="220" t="n">
        <v>46328</v>
      </c>
      <c r="B19" s="218" t="inlineStr">
        <is>
          <t>Finados</t>
        </is>
      </c>
      <c r="C19" s="218" t="inlineStr">
        <is>
          <t>SIM</t>
        </is>
      </c>
      <c r="D19" s="218" t="inlineStr">
        <is>
          <t>SIM</t>
        </is>
      </c>
      <c r="E19" s="272" t="inlineStr">
        <is>
          <t>nacional</t>
        </is>
      </c>
      <c r="F19" s="303">
        <f>IF(AND(A19&lt;&gt;"",C19="SIM"),A19,0)</f>
        <v>46328.0</v>
      </c>
      <c r="G19" s="303">
        <f>IF(AND(A19&lt;&gt;"",D19="SIM"),A19,0)</f>
        <v>46328.0</v>
      </c>
      <c r="H19" s="218" t="inlineStr">
        <is>
          <t>SIM</t>
        </is>
      </c>
      <c r="I19" s="303">
        <f>IF(AND(A19&lt;&gt;"",H19="SIM"),A19,0)</f>
        <v>46328.0</v>
      </c>
    </row>
    <row r="20">
      <c r="A20" s="220" t="n">
        <v>46341</v>
      </c>
      <c r="B20" s="218" t="inlineStr">
        <is>
          <t>Proclamação da República</t>
        </is>
      </c>
      <c r="C20" s="218" t="inlineStr">
        <is>
          <t>SIM</t>
        </is>
      </c>
      <c r="D20" s="218" t="inlineStr">
        <is>
          <t>SIM</t>
        </is>
      </c>
      <c r="E20" s="272" t="inlineStr">
        <is>
          <t>nacional</t>
        </is>
      </c>
      <c r="F20" s="303">
        <f>IF(AND(A20&lt;&gt;"",C20="SIM"),A20,0)</f>
        <v>46341.0</v>
      </c>
      <c r="G20" s="303">
        <f>IF(AND(A20&lt;&gt;"",D20="SIM"),A20,0)</f>
        <v>46341.0</v>
      </c>
      <c r="H20" s="218" t="inlineStr">
        <is>
          <t>SIM</t>
        </is>
      </c>
      <c r="I20" s="303">
        <f>IF(AND(A20&lt;&gt;"",H20="SIM"),A20,0)</f>
        <v>46341.0</v>
      </c>
    </row>
    <row r="21">
      <c r="A21" s="220" t="n">
        <v>46346</v>
      </c>
      <c r="B21" s="218" t="inlineStr">
        <is>
          <t>Consciência Negra</t>
        </is>
      </c>
      <c r="C21" s="218" t="inlineStr">
        <is>
          <t>SIM</t>
        </is>
      </c>
      <c r="D21" s="218" t="inlineStr">
        <is>
          <t>SIM</t>
        </is>
      </c>
      <c r="E21" s="272" t="inlineStr">
        <is>
          <t>nacional</t>
        </is>
      </c>
      <c r="F21" s="303">
        <f>IF(AND(A21&lt;&gt;"",C21="SIM"),A21,0)</f>
        <v>46346.0</v>
      </c>
      <c r="G21" s="303">
        <f>IF(AND(A21&lt;&gt;"",D21="SIM"),A21,0)</f>
        <v>46346.0</v>
      </c>
      <c r="H21" s="218" t="inlineStr">
        <is>
          <t>SIM</t>
        </is>
      </c>
      <c r="I21" s="303">
        <f>IF(AND(A21&lt;&gt;"",H21="SIM"),A21,0)</f>
        <v>46346.0</v>
      </c>
    </row>
    <row r="22">
      <c r="A22" s="220" t="n">
        <v>46356</v>
      </c>
      <c r="B22" s="218" t="inlineStr">
        <is>
          <t>Dia do Evangélico</t>
        </is>
      </c>
      <c r="C22" s="218" t="inlineStr">
        <is>
          <t>SIM</t>
        </is>
      </c>
      <c r="D22" s="218" t="inlineStr">
        <is>
          <t>SIM</t>
        </is>
      </c>
      <c r="E22" s="272" t="inlineStr">
        <is>
          <t>municipal em Santo Antônio do Descoberto (342; estudo REV13 aba 34) e distrital no DF (343)</t>
        </is>
      </c>
      <c r="F22" s="303">
        <f>IF(AND(A22&lt;&gt;"",C22="SIM"),A22,0)</f>
        <v>46356.0</v>
      </c>
      <c r="G22" s="303">
        <f>IF(AND(A22&lt;&gt;"",D22="SIM"),A22,0)</f>
        <v>46356.0</v>
      </c>
      <c r="H22" s="218" t="inlineStr">
        <is>
          <t>NÃO</t>
        </is>
      </c>
      <c r="I22" s="303">
        <f>IF(AND(A22&lt;&gt;"",H22="SIM"),A22,0)</f>
        <v>0.0</v>
      </c>
    </row>
    <row r="23">
      <c r="A23" s="220" t="n">
        <v>46381</v>
      </c>
      <c r="B23" s="218" t="inlineStr">
        <is>
          <t>Natal</t>
        </is>
      </c>
      <c r="C23" s="218" t="inlineStr">
        <is>
          <t>SIM</t>
        </is>
      </c>
      <c r="D23" s="218" t="inlineStr">
        <is>
          <t>SIM</t>
        </is>
      </c>
      <c r="E23" s="272" t="inlineStr">
        <is>
          <t>nacional</t>
        </is>
      </c>
      <c r="F23" s="303">
        <f>IF(AND(A23&lt;&gt;"",C23="SIM"),A23,0)</f>
        <v>46381.0</v>
      </c>
      <c r="G23" s="303">
        <f>IF(AND(A23&lt;&gt;"",D23="SIM"),A23,0)</f>
        <v>46381.0</v>
      </c>
      <c r="H23" s="218" t="inlineStr">
        <is>
          <t>SIM</t>
        </is>
      </c>
      <c r="I23" s="303">
        <f>IF(AND(A23&lt;&gt;"",H23="SIM"),A23,0)</f>
        <v>46381.0</v>
      </c>
    </row>
    <row r="24">
      <c r="A24" s="220" t="n">
        <v>46388</v>
      </c>
      <c r="B24" s="218" t="inlineStr">
        <is>
          <t>Confraternização Universal</t>
        </is>
      </c>
      <c r="C24" s="218" t="inlineStr">
        <is>
          <t>SIM</t>
        </is>
      </c>
      <c r="D24" s="218" t="inlineStr">
        <is>
          <t>SIM</t>
        </is>
      </c>
      <c r="E24" s="272" t="inlineStr">
        <is>
          <t>nacional</t>
        </is>
      </c>
      <c r="F24" s="303">
        <f>IF(AND(A24&lt;&gt;"",C24="SIM"),A24,0)</f>
        <v>46388.0</v>
      </c>
      <c r="G24" s="303">
        <f>IF(AND(A24&lt;&gt;"",D24="SIM"),A24,0)</f>
        <v>46388.0</v>
      </c>
      <c r="H24" s="218" t="inlineStr">
        <is>
          <t>SIM</t>
        </is>
      </c>
      <c r="I24" s="303">
        <f>IF(AND(A24&lt;&gt;"",H24="SIM"),A24,0)</f>
        <v>46388.0</v>
      </c>
    </row>
    <row r="25">
      <c r="A25" s="220" t="n">
        <v>46426</v>
      </c>
      <c r="B25" s="218" t="inlineStr">
        <is>
          <t>Carnaval</t>
        </is>
      </c>
      <c r="C25" s="218" t="inlineStr">
        <is>
          <t>SIM</t>
        </is>
      </c>
      <c r="D25" s="218" t="inlineStr">
        <is>
          <t>SIM</t>
        </is>
      </c>
      <c r="E25" s="272" t="inlineStr">
        <is>
          <t>ponto facultativo; o estudo REV13 conta como parado</t>
        </is>
      </c>
      <c r="F25" s="303">
        <f>IF(AND(A25&lt;&gt;"",C25="SIM"),A25,0)</f>
        <v>46426.0</v>
      </c>
      <c r="G25" s="303">
        <f>IF(AND(A25&lt;&gt;"",D25="SIM"),A25,0)</f>
        <v>46426.0</v>
      </c>
      <c r="H25" s="218" t="inlineStr">
        <is>
          <t>SIM</t>
        </is>
      </c>
      <c r="I25" s="303">
        <f>IF(AND(A25&lt;&gt;"",H25="SIM"),A25,0)</f>
        <v>46426.0</v>
      </c>
    </row>
    <row r="26">
      <c r="A26" s="220" t="n">
        <v>46427</v>
      </c>
      <c r="B26" s="218" t="inlineStr">
        <is>
          <t>Carnaval</t>
        </is>
      </c>
      <c r="C26" s="218" t="inlineStr">
        <is>
          <t>SIM</t>
        </is>
      </c>
      <c r="D26" s="218" t="inlineStr">
        <is>
          <t>SIM</t>
        </is>
      </c>
      <c r="E26" s="272" t="inlineStr">
        <is>
          <t>ponto facultativo; o estudo REV13 conta como parado</t>
        </is>
      </c>
      <c r="F26" s="303">
        <f>IF(AND(A26&lt;&gt;"",C26="SIM"),A26,0)</f>
        <v>46427.0</v>
      </c>
      <c r="G26" s="303">
        <f>IF(AND(A26&lt;&gt;"",D26="SIM"),A26,0)</f>
        <v>46427.0</v>
      </c>
      <c r="H26" s="218" t="inlineStr">
        <is>
          <t>SIM</t>
        </is>
      </c>
      <c r="I26" s="303">
        <f>IF(AND(A26&lt;&gt;"",H26="SIM"),A26,0)</f>
        <v>46427.0</v>
      </c>
    </row>
    <row r="27">
      <c r="A27" s="220" t="n">
        <v>46472</v>
      </c>
      <c r="B27" s="218" t="inlineStr">
        <is>
          <t>Sexta-feira Santa</t>
        </is>
      </c>
      <c r="C27" s="218" t="inlineStr">
        <is>
          <t>SIM</t>
        </is>
      </c>
      <c r="D27" s="218" t="inlineStr">
        <is>
          <t>SIM</t>
        </is>
      </c>
      <c r="E27" s="272" t="inlineStr">
        <is>
          <t>nacional</t>
        </is>
      </c>
      <c r="F27" s="303">
        <f>IF(AND(A27&lt;&gt;"",C27="SIM"),A27,0)</f>
        <v>46472.0</v>
      </c>
      <c r="G27" s="303">
        <f>IF(AND(A27&lt;&gt;"",D27="SIM"),A27,0)</f>
        <v>46472.0</v>
      </c>
      <c r="H27" s="218" t="inlineStr">
        <is>
          <t>SIM</t>
        </is>
      </c>
      <c r="I27" s="303">
        <f>IF(AND(A27&lt;&gt;"",H27="SIM"),A27,0)</f>
        <v>46472.0</v>
      </c>
    </row>
    <row r="28">
      <c r="A28" s="220" t="n">
        <v>46498</v>
      </c>
      <c r="B28" s="218" t="inlineStr">
        <is>
          <t>Tiradentes</t>
        </is>
      </c>
      <c r="C28" s="218" t="inlineStr">
        <is>
          <t>SIM</t>
        </is>
      </c>
      <c r="D28" s="218" t="inlineStr">
        <is>
          <t>SIM</t>
        </is>
      </c>
      <c r="E28" s="272" t="inlineStr">
        <is>
          <t>nacional</t>
        </is>
      </c>
      <c r="F28" s="303">
        <f>IF(AND(A28&lt;&gt;"",C28="SIM"),A28,0)</f>
        <v>46498.0</v>
      </c>
      <c r="G28" s="303">
        <f>IF(AND(A28&lt;&gt;"",D28="SIM"),A28,0)</f>
        <v>46498.0</v>
      </c>
      <c r="H28" s="218" t="inlineStr">
        <is>
          <t>SIM</t>
        </is>
      </c>
      <c r="I28" s="303">
        <f>IF(AND(A28&lt;&gt;"",H28="SIM"),A28,0)</f>
        <v>46498.0</v>
      </c>
    </row>
    <row r="29">
      <c r="A29" s="220" t="n">
        <v>46508</v>
      </c>
      <c r="B29" s="218" t="inlineStr">
        <is>
          <t>Dia do Trabalho</t>
        </is>
      </c>
      <c r="C29" s="218" t="inlineStr">
        <is>
          <t>SIM</t>
        </is>
      </c>
      <c r="D29" s="218" t="inlineStr">
        <is>
          <t>SIM</t>
        </is>
      </c>
      <c r="E29" s="272" t="inlineStr">
        <is>
          <t>nacional</t>
        </is>
      </c>
      <c r="F29" s="303">
        <f>IF(AND(A29&lt;&gt;"",C29="SIM"),A29,0)</f>
        <v>46508.0</v>
      </c>
      <c r="G29" s="303">
        <f>IF(AND(A29&lt;&gt;"",D29="SIM"),A29,0)</f>
        <v>46508.0</v>
      </c>
      <c r="H29" s="218" t="inlineStr">
        <is>
          <t>SIM</t>
        </is>
      </c>
      <c r="I29" s="303">
        <f>IF(AND(A29&lt;&gt;"",H29="SIM"),A29,0)</f>
        <v>46508.0</v>
      </c>
    </row>
    <row r="30">
      <c r="A30" s="220" t="n">
        <v>46521</v>
      </c>
      <c r="B30" s="218" t="inlineStr">
        <is>
          <t>Aniversário de Santo Antônio do Descoberto</t>
        </is>
      </c>
      <c r="C30" s="218" t="inlineStr">
        <is>
          <t>SIM</t>
        </is>
      </c>
      <c r="D30" s="218" t="inlineStr">
        <is>
          <t>NÃO</t>
        </is>
      </c>
      <c r="E30" s="272" t="inlineStr">
        <is>
          <t>municipal (342; estudo REV13 aba 34)</t>
        </is>
      </c>
      <c r="F30" s="303">
        <f>IF(AND(A30&lt;&gt;"",C30="SIM"),A30,0)</f>
        <v>46521.0</v>
      </c>
      <c r="G30" s="303">
        <f>IF(AND(A30&lt;&gt;"",D30="SIM"),A30,0)</f>
        <v>0.0</v>
      </c>
      <c r="H30" s="218" t="inlineStr">
        <is>
          <t>NÃO</t>
        </is>
      </c>
      <c r="I30" s="303">
        <f>IF(AND(A30&lt;&gt;"",H30="SIM"),A30,0)</f>
        <v>0.0</v>
      </c>
    </row>
    <row r="31">
      <c r="A31" s="220" t="n">
        <v>46534</v>
      </c>
      <c r="B31" s="218" t="inlineStr">
        <is>
          <t>Corpus Christi</t>
        </is>
      </c>
      <c r="C31" s="218" t="inlineStr">
        <is>
          <t>SIM</t>
        </is>
      </c>
      <c r="D31" s="218" t="inlineStr">
        <is>
          <t>SIM</t>
        </is>
      </c>
      <c r="E31" s="272" t="inlineStr">
        <is>
          <t>ponto facultativo; o estudo REV13 conta como parado</t>
        </is>
      </c>
      <c r="F31" s="303">
        <f>IF(AND(A31&lt;&gt;"",C31="SIM"),A31,0)</f>
        <v>46534.0</v>
      </c>
      <c r="G31" s="303">
        <f>IF(AND(A31&lt;&gt;"",D31="SIM"),A31,0)</f>
        <v>46534.0</v>
      </c>
      <c r="H31" s="218" t="inlineStr">
        <is>
          <t>SIM</t>
        </is>
      </c>
      <c r="I31" s="303">
        <f>IF(AND(A31&lt;&gt;"",H31="SIM"),A31,0)</f>
        <v>46534.0</v>
      </c>
    </row>
    <row r="32">
      <c r="A32" s="220" t="n">
        <v>46551</v>
      </c>
      <c r="B32" s="218" t="inlineStr">
        <is>
          <t>Santo Antônio, padroeiro (domingo)</t>
        </is>
      </c>
      <c r="C32" s="218" t="inlineStr">
        <is>
          <t>SIM</t>
        </is>
      </c>
      <c r="D32" s="218" t="inlineStr">
        <is>
          <t>NÃO</t>
        </is>
      </c>
      <c r="E32" s="272" t="inlineStr">
        <is>
          <t>municipal (342; estudo REV13 aba 34)</t>
        </is>
      </c>
      <c r="F32" s="303">
        <f>IF(AND(A32&lt;&gt;"",C32="SIM"),A32,0)</f>
        <v>46551.0</v>
      </c>
      <c r="G32" s="303">
        <f>IF(AND(A32&lt;&gt;"",D32="SIM"),A32,0)</f>
        <v>0.0</v>
      </c>
      <c r="H32" s="218" t="inlineStr">
        <is>
          <t>NÃO</t>
        </is>
      </c>
      <c r="I32" s="303">
        <f>IF(AND(A32&lt;&gt;"",H32="SIM"),A32,0)</f>
        <v>0.0</v>
      </c>
    </row>
    <row r="33">
      <c r="A33" s="220" t="n">
        <v>46637</v>
      </c>
      <c r="B33" s="218" t="inlineStr">
        <is>
          <t>Independência</t>
        </is>
      </c>
      <c r="C33" s="218" t="inlineStr">
        <is>
          <t>SIM</t>
        </is>
      </c>
      <c r="D33" s="218" t="inlineStr">
        <is>
          <t>SIM</t>
        </is>
      </c>
      <c r="E33" s="272" t="inlineStr">
        <is>
          <t>nacional</t>
        </is>
      </c>
      <c r="F33" s="303">
        <f>IF(AND(A33&lt;&gt;"",C33="SIM"),A33,0)</f>
        <v>46637.0</v>
      </c>
      <c r="G33" s="303">
        <f>IF(AND(A33&lt;&gt;"",D33="SIM"),A33,0)</f>
        <v>46637.0</v>
      </c>
      <c r="H33" s="218" t="inlineStr">
        <is>
          <t>SIM</t>
        </is>
      </c>
      <c r="I33" s="303">
        <f>IF(AND(A33&lt;&gt;"",H33="SIM"),A33,0)</f>
        <v>46637.0</v>
      </c>
    </row>
    <row r="34">
      <c r="A34" s="220" t="n">
        <v>46672</v>
      </c>
      <c r="B34" s="218" t="inlineStr">
        <is>
          <t>Nossa Senhora Aparecida</t>
        </is>
      </c>
      <c r="C34" s="218" t="inlineStr">
        <is>
          <t>SIM</t>
        </is>
      </c>
      <c r="D34" s="218" t="inlineStr">
        <is>
          <t>SIM</t>
        </is>
      </c>
      <c r="E34" s="272" t="inlineStr">
        <is>
          <t>nacional</t>
        </is>
      </c>
      <c r="F34" s="303">
        <f>IF(AND(A34&lt;&gt;"",C34="SIM"),A34,0)</f>
        <v>46672.0</v>
      </c>
      <c r="G34" s="303">
        <f>IF(AND(A34&lt;&gt;"",D34="SIM"),A34,0)</f>
        <v>46672.0</v>
      </c>
      <c r="H34" s="218" t="inlineStr">
        <is>
          <t>SIM</t>
        </is>
      </c>
      <c r="I34" s="303">
        <f>IF(AND(A34&lt;&gt;"",H34="SIM"),A34,0)</f>
        <v>46672.0</v>
      </c>
    </row>
    <row r="35">
      <c r="A35" s="220" t="n">
        <v>46693</v>
      </c>
      <c r="B35" s="218" t="inlineStr">
        <is>
          <t>Finados</t>
        </is>
      </c>
      <c r="C35" s="218" t="inlineStr">
        <is>
          <t>SIM</t>
        </is>
      </c>
      <c r="D35" s="218" t="inlineStr">
        <is>
          <t>SIM</t>
        </is>
      </c>
      <c r="E35" s="272" t="inlineStr">
        <is>
          <t>nacional</t>
        </is>
      </c>
      <c r="F35" s="303">
        <f>IF(AND(A35&lt;&gt;"",C35="SIM"),A35,0)</f>
        <v>46693.0</v>
      </c>
      <c r="G35" s="303">
        <f>IF(AND(A35&lt;&gt;"",D35="SIM"),A35,0)</f>
        <v>46693.0</v>
      </c>
      <c r="H35" s="218" t="inlineStr">
        <is>
          <t>SIM</t>
        </is>
      </c>
      <c r="I35" s="303">
        <f>IF(AND(A35&lt;&gt;"",H35="SIM"),A35,0)</f>
        <v>46693.0</v>
      </c>
    </row>
    <row r="36">
      <c r="A36" s="220" t="n">
        <v>46706</v>
      </c>
      <c r="B36" s="218" t="inlineStr">
        <is>
          <t>Proclamação da República</t>
        </is>
      </c>
      <c r="C36" s="218" t="inlineStr">
        <is>
          <t>SIM</t>
        </is>
      </c>
      <c r="D36" s="218" t="inlineStr">
        <is>
          <t>SIM</t>
        </is>
      </c>
      <c r="E36" s="272" t="inlineStr">
        <is>
          <t>nacional</t>
        </is>
      </c>
      <c r="F36" s="303">
        <f>IF(AND(A36&lt;&gt;"",C36="SIM"),A36,0)</f>
        <v>46706.0</v>
      </c>
      <c r="G36" s="303">
        <f>IF(AND(A36&lt;&gt;"",D36="SIM"),A36,0)</f>
        <v>46706.0</v>
      </c>
      <c r="H36" s="218" t="inlineStr">
        <is>
          <t>SIM</t>
        </is>
      </c>
      <c r="I36" s="303">
        <f>IF(AND(A36&lt;&gt;"",H36="SIM"),A36,0)</f>
        <v>46706.0</v>
      </c>
    </row>
    <row r="37">
      <c r="A37" s="220" t="n">
        <v>46711</v>
      </c>
      <c r="B37" s="218" t="inlineStr">
        <is>
          <t>Consciência Negra</t>
        </is>
      </c>
      <c r="C37" s="218" t="inlineStr">
        <is>
          <t>SIM</t>
        </is>
      </c>
      <c r="D37" s="218" t="inlineStr">
        <is>
          <t>SIM</t>
        </is>
      </c>
      <c r="E37" s="272" t="inlineStr">
        <is>
          <t>nacional</t>
        </is>
      </c>
      <c r="F37" s="303">
        <f>IF(AND(A37&lt;&gt;"",C37="SIM"),A37,0)</f>
        <v>46711.0</v>
      </c>
      <c r="G37" s="303">
        <f>IF(AND(A37&lt;&gt;"",D37="SIM"),A37,0)</f>
        <v>46711.0</v>
      </c>
      <c r="H37" s="218" t="inlineStr">
        <is>
          <t>SIM</t>
        </is>
      </c>
      <c r="I37" s="303">
        <f>IF(AND(A37&lt;&gt;"",H37="SIM"),A37,0)</f>
        <v>46711.0</v>
      </c>
    </row>
    <row r="38">
      <c r="A38" s="220" t="n">
        <v>46721</v>
      </c>
      <c r="B38" s="218" t="inlineStr">
        <is>
          <t>Dia do Evangélico</t>
        </is>
      </c>
      <c r="C38" s="218" t="inlineStr">
        <is>
          <t>SIM</t>
        </is>
      </c>
      <c r="D38" s="218" t="inlineStr">
        <is>
          <t>SIM</t>
        </is>
      </c>
      <c r="E38" s="272" t="inlineStr">
        <is>
          <t>municipal em Santo Antônio do Descoberto (342; estudo REV13 aba 34) e distrital no DF (343)</t>
        </is>
      </c>
      <c r="F38" s="303">
        <f>IF(AND(A38&lt;&gt;"",C38="SIM"),A38,0)</f>
        <v>46721.0</v>
      </c>
      <c r="G38" s="303">
        <f>IF(AND(A38&lt;&gt;"",D38="SIM"),A38,0)</f>
        <v>46721.0</v>
      </c>
      <c r="H38" s="218" t="inlineStr">
        <is>
          <t>NÃO</t>
        </is>
      </c>
      <c r="I38" s="303">
        <f>IF(AND(A38&lt;&gt;"",H38="SIM"),A38,0)</f>
        <v>0.0</v>
      </c>
    </row>
    <row r="39">
      <c r="A39" s="220" t="n">
        <v>46746</v>
      </c>
      <c r="B39" s="218" t="inlineStr">
        <is>
          <t>Natal</t>
        </is>
      </c>
      <c r="C39" s="218" t="inlineStr">
        <is>
          <t>SIM</t>
        </is>
      </c>
      <c r="D39" s="218" t="inlineStr">
        <is>
          <t>SIM</t>
        </is>
      </c>
      <c r="E39" s="272" t="inlineStr">
        <is>
          <t>nacional</t>
        </is>
      </c>
      <c r="F39" s="303">
        <f>IF(AND(A39&lt;&gt;"",C39="SIM"),A39,0)</f>
        <v>46746.0</v>
      </c>
      <c r="G39" s="303">
        <f>IF(AND(A39&lt;&gt;"",D39="SIM"),A39,0)</f>
        <v>46746.0</v>
      </c>
      <c r="H39" s="218" t="inlineStr">
        <is>
          <t>SIM</t>
        </is>
      </c>
      <c r="I39" s="303">
        <f>IF(AND(A39&lt;&gt;"",H39="SIM"),A39,0)</f>
        <v>46746.0</v>
      </c>
    </row>
    <row r="40">
      <c r="A40" s="224" t="n"/>
      <c r="B40" s="288" t="inlineStr">
        <is>
          <t>Municipais de Mozarlândia (281): a confirmar com a fiscalização. Santo Antônio do Descoberto (342): 08/03 (Dia da Mulher, Lei municipal 765/2011) fica fora até a prefeitura confirmar (estudo REV13, aba 34); confirmar os outros com a fiscalização (ACOMPANHAMENTO P23)</t>
        </is>
      </c>
      <c r="C40" s="218" t="n"/>
      <c r="D40" s="218" t="n"/>
      <c r="E40" s="272" t="n"/>
      <c r="F40" s="303">
        <f>IF(AND(A40&lt;&gt;"",C40="SIM"),A40,0)</f>
        <v>0.0</v>
      </c>
      <c r="G40" s="303">
        <f>IF(AND(A40&lt;&gt;"",D40="SIM"),A40,0)</f>
        <v>0.0</v>
      </c>
      <c r="H40" s="218" t="n"/>
      <c r="I40" s="303">
        <f>IF(AND(A40&lt;&gt;"",H40="SIM"),A40,0)</f>
        <v>0.0</v>
      </c>
    </row>
    <row r="41"/>
    <row r="42"/>
    <row r="43">
      <c r="A43" s="10" t="inlineStr">
        <is>
          <t>LISTAS (frentes e eventos para o apontamento, o compromisso e as restrições; causas)</t>
        </is>
      </c>
      <c r="B43" s="11" t="n"/>
      <c r="C43" s="11" t="n"/>
      <c r="D43" s="11" t="n"/>
      <c r="E43" s="11" t="n"/>
      <c r="F43" s="11" t="n"/>
      <c r="G43" s="11" t="n"/>
    </row>
    <row r="44" ht="30" customHeight="1" s="71">
      <c r="A44" s="215" t="inlineStr">
        <is>
          <t>Código da frente / evento</t>
        </is>
      </c>
      <c r="B44" s="215" t="inlineStr">
        <is>
          <t>Obra</t>
        </is>
      </c>
      <c r="C44" s="215" t="inlineStr">
        <is>
          <t>Descrição</t>
        </is>
      </c>
      <c r="D44" s="215" t="inlineStr">
        <is>
          <t>Medição</t>
        </is>
      </c>
      <c r="E44" s="215" t="inlineStr">
        <is>
          <t>Causa de não cumprir ou de parada</t>
        </is>
      </c>
    </row>
    <row r="45">
      <c r="A45" s="218" t="inlineStr">
        <is>
          <t>1.1.1</t>
        </is>
      </c>
      <c r="B45" s="218" t="inlineStr">
        <is>
          <t>342</t>
        </is>
      </c>
      <c r="C45" s="218" t="inlineStr">
        <is>
          <t>Canteiro</t>
        </is>
      </c>
      <c r="D45" s="272" t="inlineStr">
        <is>
          <t>%: proporcional</t>
        </is>
      </c>
      <c r="E45" s="218" t="inlineStr">
        <is>
          <t>MÃO DE OBRA</t>
        </is>
      </c>
    </row>
    <row r="46">
      <c r="A46" s="218" t="inlineStr">
        <is>
          <t>2.1.1</t>
        </is>
      </c>
      <c r="B46" s="218" t="inlineStr">
        <is>
          <t>342</t>
        </is>
      </c>
      <c r="C46" s="218" t="inlineStr">
        <is>
          <t>Administração local</t>
        </is>
      </c>
      <c r="D46" s="272" t="inlineStr">
        <is>
          <t>%: proporcional</t>
        </is>
      </c>
      <c r="E46" s="218" t="inlineStr">
        <is>
          <t>PLANEJAMENTO</t>
        </is>
      </c>
    </row>
    <row r="47">
      <c r="A47" s="218" t="inlineStr">
        <is>
          <t>3.1.1</t>
        </is>
      </c>
      <c r="B47" s="218" t="inlineStr">
        <is>
          <t>342</t>
        </is>
      </c>
      <c r="C47" s="218" t="inlineStr">
        <is>
          <t>Terraplenagem e desvio</t>
        </is>
      </c>
      <c r="D47" s="272" t="inlineStr">
        <is>
          <t>UN: só na conclusão</t>
        </is>
      </c>
      <c r="E47" s="218" t="inlineStr">
        <is>
          <t>MATERIAL</t>
        </is>
      </c>
    </row>
    <row r="48">
      <c r="A48" s="218" t="inlineStr">
        <is>
          <t>3.2.1</t>
        </is>
      </c>
      <c r="B48" s="218" t="inlineStr">
        <is>
          <t>342</t>
        </is>
      </c>
      <c r="C48" s="218" t="inlineStr">
        <is>
          <t>Interligação ETA–UTR</t>
        </is>
      </c>
      <c r="D48" s="272" t="inlineStr">
        <is>
          <t>UN: só na conclusão</t>
        </is>
      </c>
      <c r="E48" s="218" t="inlineStr">
        <is>
          <t>EQUIPAMENTO</t>
        </is>
      </c>
    </row>
    <row r="49">
      <c r="A49" s="218" t="inlineStr">
        <is>
          <t>3.3.1</t>
        </is>
      </c>
      <c r="B49" s="218" t="inlineStr">
        <is>
          <t>342</t>
        </is>
      </c>
      <c r="C49" s="218" t="inlineStr">
        <is>
          <t>Recalque UTR–ETA</t>
        </is>
      </c>
      <c r="D49" s="272" t="inlineStr">
        <is>
          <t>UN: só na conclusão</t>
        </is>
      </c>
      <c r="E49" s="218" t="inlineStr">
        <is>
          <t>PROJETO</t>
        </is>
      </c>
    </row>
    <row r="50">
      <c r="A50" s="218" t="inlineStr">
        <is>
          <t>3.4.1</t>
        </is>
      </c>
      <c r="B50" s="218" t="inlineStr">
        <is>
          <t>342</t>
        </is>
      </c>
      <c r="C50" s="218" t="inlineStr">
        <is>
          <t>Drenagens/esgotamento/caixa de chegada</t>
        </is>
      </c>
      <c r="D50" s="272" t="inlineStr">
        <is>
          <t>UN: só na conclusão</t>
        </is>
      </c>
      <c r="E50" s="218" t="inlineStr">
        <is>
          <t>CLIENTE / FISCAL</t>
        </is>
      </c>
    </row>
    <row r="51">
      <c r="A51" s="218" t="inlineStr">
        <is>
          <t>3.5.1</t>
        </is>
      </c>
      <c r="B51" s="218" t="inlineStr">
        <is>
          <t>342</t>
        </is>
      </c>
      <c r="C51" s="218" t="inlineStr">
        <is>
          <t>Tanque: limpeza, locação e movimento de terra</t>
        </is>
      </c>
      <c r="D51" s="272" t="inlineStr">
        <is>
          <t>UN: só na conclusão</t>
        </is>
      </c>
      <c r="E51" s="218" t="inlineStr">
        <is>
          <t>CHUVA</t>
        </is>
      </c>
    </row>
    <row r="52">
      <c r="A52" s="218" t="inlineStr">
        <is>
          <t>3.5.2</t>
        </is>
      </c>
      <c r="B52" s="218" t="inlineStr">
        <is>
          <t>342</t>
        </is>
      </c>
      <c r="C52" s="218" t="inlineStr">
        <is>
          <t>Tanque: estrutura de concreto</t>
        </is>
      </c>
      <c r="D52" s="272" t="inlineStr">
        <is>
          <t>%: proporcional</t>
        </is>
      </c>
      <c r="E52" s="218" t="inlineStr">
        <is>
          <t>OUTRO</t>
        </is>
      </c>
    </row>
    <row r="53">
      <c r="A53" s="218" t="inlineStr">
        <is>
          <t>3.5.3</t>
        </is>
      </c>
      <c r="B53" s="218" t="inlineStr">
        <is>
          <t>342</t>
        </is>
      </c>
      <c r="C53" s="218" t="inlineStr">
        <is>
          <t>Tanque: impermeabilização</t>
        </is>
      </c>
      <c r="D53" s="272" t="inlineStr">
        <is>
          <t>UN: só na conclusão</t>
        </is>
      </c>
    </row>
    <row r="54">
      <c r="A54" s="218" t="inlineStr">
        <is>
          <t>3.5.4</t>
        </is>
      </c>
      <c r="B54" s="218" t="inlineStr">
        <is>
          <t>342</t>
        </is>
      </c>
      <c r="C54" s="218" t="inlineStr">
        <is>
          <t>Tanque: suporte da manta</t>
        </is>
      </c>
      <c r="D54" s="272" t="inlineStr">
        <is>
          <t>UN: só na conclusão</t>
        </is>
      </c>
    </row>
    <row r="55">
      <c r="A55" s="218" t="inlineStr">
        <is>
          <t>3.5.5</t>
        </is>
      </c>
      <c r="B55" s="218" t="inlineStr">
        <is>
          <t>342</t>
        </is>
      </c>
      <c r="C55" s="218" t="inlineStr">
        <is>
          <t>Tanque: manta geotêxtil</t>
        </is>
      </c>
      <c r="D55" s="272" t="inlineStr">
        <is>
          <t>UN: só na conclusão</t>
        </is>
      </c>
    </row>
    <row r="56">
      <c r="A56" s="218" t="inlineStr">
        <is>
          <t>3.5.6</t>
        </is>
      </c>
      <c r="B56" s="218" t="inlineStr">
        <is>
          <t>342</t>
        </is>
      </c>
      <c r="C56" s="218" t="inlineStr">
        <is>
          <t>Tanque: instalações hidráulicas</t>
        </is>
      </c>
      <c r="D56" s="272" t="inlineStr">
        <is>
          <t>UN: só na conclusão</t>
        </is>
      </c>
    </row>
    <row r="57">
      <c r="A57" s="218" t="inlineStr">
        <is>
          <t>3.5.7</t>
        </is>
      </c>
      <c r="B57" s="218" t="inlineStr">
        <is>
          <t>342</t>
        </is>
      </c>
      <c r="C57" s="218" t="inlineStr">
        <is>
          <t>Tanque: conclusão e limpeza</t>
        </is>
      </c>
      <c r="D57" s="272" t="inlineStr">
        <is>
          <t>UN: só na conclusão</t>
        </is>
      </c>
    </row>
    <row r="58">
      <c r="A58" s="218" t="inlineStr">
        <is>
          <t>3.6.1</t>
        </is>
      </c>
      <c r="B58" s="218" t="inlineStr">
        <is>
          <t>342</t>
        </is>
      </c>
      <c r="C58" s="218" t="inlineStr">
        <is>
          <t>Elevatória: serviços preparatórios</t>
        </is>
      </c>
      <c r="D58" s="272" t="inlineStr">
        <is>
          <t>UN: só na conclusão</t>
        </is>
      </c>
    </row>
    <row r="59">
      <c r="A59" s="218" t="inlineStr">
        <is>
          <t>3.6.2</t>
        </is>
      </c>
      <c r="B59" s="218" t="inlineStr">
        <is>
          <t>342</t>
        </is>
      </c>
      <c r="C59" s="218" t="inlineStr">
        <is>
          <t>Elevatória: estrutura de concreto</t>
        </is>
      </c>
      <c r="D59" s="272" t="inlineStr">
        <is>
          <t>%: proporcional</t>
        </is>
      </c>
    </row>
    <row r="60">
      <c r="A60" s="218" t="inlineStr">
        <is>
          <t>3.6.3</t>
        </is>
      </c>
      <c r="B60" s="218" t="inlineStr">
        <is>
          <t>342</t>
        </is>
      </c>
      <c r="C60" s="218" t="inlineStr">
        <is>
          <t>Elevatória: impermeabilização</t>
        </is>
      </c>
      <c r="D60" s="272" t="inlineStr">
        <is>
          <t>UN: só na conclusão</t>
        </is>
      </c>
    </row>
    <row r="61">
      <c r="A61" s="218" t="inlineStr">
        <is>
          <t>3.6.4</t>
        </is>
      </c>
      <c r="B61" s="218" t="inlineStr">
        <is>
          <t>342</t>
        </is>
      </c>
      <c r="C61" s="218" t="inlineStr">
        <is>
          <t>Elevatória: manta geotêxtil</t>
        </is>
      </c>
      <c r="D61" s="272" t="inlineStr">
        <is>
          <t>UN: só na conclusão</t>
        </is>
      </c>
    </row>
    <row r="62">
      <c r="A62" s="218" t="inlineStr">
        <is>
          <t>3.6.5</t>
        </is>
      </c>
      <c r="B62" s="218" t="inlineStr">
        <is>
          <t>342</t>
        </is>
      </c>
      <c r="C62" s="218" t="inlineStr">
        <is>
          <t>Elevatória: instalações hidráulicas</t>
        </is>
      </c>
      <c r="D62" s="272" t="inlineStr">
        <is>
          <t>UN: só na conclusão</t>
        </is>
      </c>
    </row>
    <row r="63">
      <c r="A63" s="218" t="inlineStr">
        <is>
          <t>3.6.6</t>
        </is>
      </c>
      <c r="B63" s="218" t="inlineStr">
        <is>
          <t>342</t>
        </is>
      </c>
      <c r="C63" s="218" t="inlineStr">
        <is>
          <t>Guindaste giratório de coluna</t>
        </is>
      </c>
      <c r="D63" s="272" t="inlineStr">
        <is>
          <t>UN: só na conclusão</t>
        </is>
      </c>
    </row>
    <row r="64">
      <c r="A64" s="218" t="inlineStr">
        <is>
          <t>3.6.7</t>
        </is>
      </c>
      <c r="B64" s="218" t="inlineStr">
        <is>
          <t>342</t>
        </is>
      </c>
      <c r="C64" s="218" t="inlineStr">
        <is>
          <t>Conjuntos motor-bomba</t>
        </is>
      </c>
      <c r="D64" s="272" t="inlineStr">
        <is>
          <t>UN: só na conclusão</t>
        </is>
      </c>
    </row>
    <row r="65">
      <c r="A65" s="218" t="inlineStr">
        <is>
          <t>3.6.8</t>
        </is>
      </c>
      <c r="B65" s="218" t="inlineStr">
        <is>
          <t>342</t>
        </is>
      </c>
      <c r="C65" s="218" t="inlineStr">
        <is>
          <t>Elevatória: conclusão e limpeza</t>
        </is>
      </c>
      <c r="D65" s="272" t="inlineStr">
        <is>
          <t>UN: só na conclusão</t>
        </is>
      </c>
    </row>
    <row r="66">
      <c r="A66" s="218" t="inlineStr">
        <is>
          <t>3.7.2</t>
        </is>
      </c>
      <c r="B66" s="218" t="inlineStr">
        <is>
          <t>342</t>
        </is>
      </c>
      <c r="C66" s="218" t="inlineStr">
        <is>
          <t>Cerca padrão Saneago</t>
        </is>
      </c>
      <c r="D66" s="272" t="inlineStr">
        <is>
          <t>UN: só na conclusão</t>
        </is>
      </c>
    </row>
    <row r="67">
      <c r="A67" s="218" t="inlineStr">
        <is>
          <t>3.7.3</t>
        </is>
      </c>
      <c r="B67" s="218" t="inlineStr">
        <is>
          <t>342</t>
        </is>
      </c>
      <c r="C67" s="218" t="inlineStr">
        <is>
          <t>Calçada em bloco hexagonal</t>
        </is>
      </c>
      <c r="D67" s="272" t="inlineStr">
        <is>
          <t>UN: só na conclusão</t>
        </is>
      </c>
    </row>
    <row r="68">
      <c r="A68" s="218" t="inlineStr">
        <is>
          <t>3.7.4</t>
        </is>
      </c>
      <c r="B68" s="218" t="inlineStr">
        <is>
          <t>342</t>
        </is>
      </c>
      <c r="C68" s="218" t="inlineStr">
        <is>
          <t>Meio-fio</t>
        </is>
      </c>
      <c r="D68" s="272" t="inlineStr">
        <is>
          <t>UN: só na conclusão</t>
        </is>
      </c>
    </row>
    <row r="69">
      <c r="A69" s="218" t="inlineStr">
        <is>
          <t>3.7.5</t>
        </is>
      </c>
      <c r="B69" s="218" t="inlineStr">
        <is>
          <t>342</t>
        </is>
      </c>
      <c r="C69" s="218" t="inlineStr">
        <is>
          <t>Grama</t>
        </is>
      </c>
      <c r="D69" s="272" t="inlineStr">
        <is>
          <t>UN: só na conclusão</t>
        </is>
      </c>
    </row>
    <row r="70">
      <c r="A70" s="218" t="inlineStr">
        <is>
          <t>3.7.6</t>
        </is>
      </c>
      <c r="B70" s="218" t="inlineStr">
        <is>
          <t>342</t>
        </is>
      </c>
      <c r="C70" s="218" t="inlineStr">
        <is>
          <t>Portão padrão</t>
        </is>
      </c>
      <c r="D70" s="272" t="inlineStr">
        <is>
          <t>UN: só na conclusão</t>
        </is>
      </c>
    </row>
    <row r="71">
      <c r="A71" s="218" t="inlineStr">
        <is>
          <t>3.7.7</t>
        </is>
      </c>
      <c r="B71" s="218" t="inlineStr">
        <is>
          <t>342</t>
        </is>
      </c>
      <c r="C71" s="218" t="inlineStr">
        <is>
          <t>Urbanização: conclusão e limpeza</t>
        </is>
      </c>
      <c r="D71" s="272" t="inlineStr">
        <is>
          <t>UN: só na conclusão</t>
        </is>
      </c>
    </row>
    <row r="72">
      <c r="A72" s="218" t="inlineStr">
        <is>
          <t>3.8.1</t>
        </is>
      </c>
      <c r="B72" s="218" t="inlineStr">
        <is>
          <t>342</t>
        </is>
      </c>
      <c r="C72" s="218" t="inlineStr">
        <is>
          <t>Rede de distribuição de energia</t>
        </is>
      </c>
      <c r="D72" s="272" t="inlineStr">
        <is>
          <t>UN: só na conclusão</t>
        </is>
      </c>
    </row>
    <row r="73">
      <c r="A73" s="218" t="inlineStr">
        <is>
          <t>4.1.1</t>
        </is>
      </c>
      <c r="B73" s="218" t="inlineStr">
        <is>
          <t>342</t>
        </is>
      </c>
      <c r="C73" s="218" t="inlineStr">
        <is>
          <t>Projetos: parcela proporcional</t>
        </is>
      </c>
      <c r="D73" s="272" t="inlineStr">
        <is>
          <t>%: proporcional</t>
        </is>
      </c>
    </row>
    <row r="74">
      <c r="A74" s="218" t="inlineStr">
        <is>
          <t>4.1.2</t>
        </is>
      </c>
      <c r="B74" s="218" t="inlineStr">
        <is>
          <t>342</t>
        </is>
      </c>
      <c r="C74" s="218" t="inlineStr">
        <is>
          <t>Entrega definitiva e aprovação do as built</t>
        </is>
      </c>
      <c r="D74" s="272" t="inlineStr">
        <is>
          <t>UN: só na conclusão</t>
        </is>
      </c>
    </row>
    <row r="75">
      <c r="A75" s="218" t="inlineStr">
        <is>
          <t>PEAD</t>
        </is>
      </c>
      <c r="B75" s="218" t="inlineStr">
        <is>
          <t>343</t>
        </is>
      </c>
      <c r="C75" s="218" t="inlineStr">
        <is>
          <t>Subadutora em PEAD (ritmo-alvo 80 m/dia até 17/11)</t>
        </is>
      </c>
      <c r="D75" s="272" t="inlineStr">
        <is>
          <t>quantidade (preço unitário)</t>
        </is>
      </c>
    </row>
    <row r="76">
      <c r="A76" s="218" t="inlineStr">
        <is>
          <t>FOFO</t>
        </is>
      </c>
      <c r="B76" s="218" t="inlineStr">
        <is>
          <t>343</t>
        </is>
      </c>
      <c r="C76" s="218" t="inlineStr">
        <is>
          <t>Subadutora em FoFo (ritmo-alvo 10 m/dia depois de 17/11)</t>
        </is>
      </c>
      <c r="D76" s="272" t="inlineStr">
        <is>
          <t>quantidade (preço unitário)</t>
        </is>
      </c>
    </row>
    <row r="77">
      <c r="A77" s="218" t="inlineStr">
        <is>
          <t>CAIXAS</t>
        </is>
      </c>
      <c r="B77" s="218" t="inlineStr">
        <is>
          <t>343</t>
        </is>
      </c>
      <c r="C77" s="218" t="inlineStr">
        <is>
          <t>Caixas e interligações</t>
        </is>
      </c>
      <c r="D77" s="272" t="inlineStr">
        <is>
          <t>quantidade (preço unitário)</t>
        </is>
      </c>
    </row>
    <row r="78">
      <c r="A78" s="218" t="inlineStr">
        <is>
          <t>HIDRO</t>
        </is>
      </c>
      <c r="B78" s="218" t="inlineStr">
        <is>
          <t>343</t>
        </is>
      </c>
      <c r="C78" s="218" t="inlineStr">
        <is>
          <t>Hidromecânico</t>
        </is>
      </c>
      <c r="D78" s="272" t="inlineStr">
        <is>
          <t>quantidade (preço unitário)</t>
        </is>
      </c>
    </row>
    <row r="79">
      <c r="A79" s="218" t="inlineStr">
        <is>
          <t>CANTEIRO</t>
        </is>
      </c>
      <c r="B79" s="218" t="inlineStr">
        <is>
          <t>343</t>
        </is>
      </c>
      <c r="C79" s="218" t="inlineStr">
        <is>
          <t>Canteiro de obras</t>
        </is>
      </c>
      <c r="D79" s="272" t="inlineStr">
        <is>
          <t>quantidade (preço unitário)</t>
        </is>
      </c>
    </row>
    <row r="80">
      <c r="A80" s="218" t="inlineStr">
        <is>
          <t>281-1.1</t>
        </is>
      </c>
      <c r="B80" s="218" t="inlineStr">
        <is>
          <t>281</t>
        </is>
      </c>
      <c r="C80" s="218" t="inlineStr">
        <is>
          <t>CANTEIRO DE OBRAS E OUTROS</t>
        </is>
      </c>
      <c r="D80" s="272" t="inlineStr">
        <is>
          <t>%: proporcional ao avanço (Anexo VII)</t>
        </is>
      </c>
    </row>
    <row r="81">
      <c r="A81" s="218" t="inlineStr">
        <is>
          <t>281-2.1</t>
        </is>
      </c>
      <c r="B81" s="218" t="inlineStr">
        <is>
          <t>281</t>
        </is>
      </c>
      <c r="C81" s="218" t="inlineStr">
        <is>
          <t>ADMINISTRAÇÃO LOCAL DA OBRA</t>
        </is>
      </c>
      <c r="D81" s="272" t="inlineStr">
        <is>
          <t>%: proporcional ao avanço (Anexo VII)</t>
        </is>
      </c>
    </row>
    <row r="82">
      <c r="A82" s="218" t="inlineStr">
        <is>
          <t>281-3.1</t>
        </is>
      </c>
      <c r="B82" s="218" t="inlineStr">
        <is>
          <t>281</t>
        </is>
      </c>
      <c r="C82" s="218" t="inlineStr">
        <is>
          <t>CAPTAÇÃO - DESVIO DO RIO</t>
        </is>
      </c>
      <c r="D82" s="272" t="inlineStr">
        <is>
          <t>evento concluído (Anexo VII)</t>
        </is>
      </c>
    </row>
    <row r="83">
      <c r="A83" s="218" t="inlineStr">
        <is>
          <t>281-3.2</t>
        </is>
      </c>
      <c r="B83" s="218" t="inlineStr">
        <is>
          <t>281</t>
        </is>
      </c>
      <c r="C83" s="218" t="inlineStr">
        <is>
          <t>CAPTAÇÃO SUPERFICIAL - BARRAGEM DE NÍVEL</t>
        </is>
      </c>
      <c r="D83" s="272" t="inlineStr">
        <is>
          <t>evento concluído (Anexo VII)</t>
        </is>
      </c>
    </row>
    <row r="84">
      <c r="A84" s="218" t="inlineStr">
        <is>
          <t>281-3.3</t>
        </is>
      </c>
      <c r="B84" s="218" t="inlineStr">
        <is>
          <t>281</t>
        </is>
      </c>
      <c r="C84" s="218" t="inlineStr">
        <is>
          <t>ESTAÇÃO ELEVATÓRIA DE ÁGUA BRUTA EEAB 01 - BAIXO RECALQUE</t>
        </is>
      </c>
      <c r="D84" s="272" t="inlineStr">
        <is>
          <t>evento concluído (Anexo VII)</t>
        </is>
      </c>
    </row>
    <row r="85">
      <c r="A85" s="218" t="inlineStr">
        <is>
          <t>281-4.1</t>
        </is>
      </c>
      <c r="B85" s="218" t="inlineStr">
        <is>
          <t>281</t>
        </is>
      </c>
      <c r="C85" s="218" t="inlineStr">
        <is>
          <t>ADUTORA DE ÁGUA BRUTA 01 - FOFO DN 150 - BAIXO RECALQUE</t>
        </is>
      </c>
      <c r="D85" s="272" t="inlineStr">
        <is>
          <t>evento concluído (Anexo VII)</t>
        </is>
      </c>
    </row>
    <row r="86">
      <c r="A86" s="218" t="inlineStr">
        <is>
          <t>281-5.1</t>
        </is>
      </c>
      <c r="B86" s="218" t="inlineStr">
        <is>
          <t>281</t>
        </is>
      </c>
      <c r="C86" s="218" t="inlineStr">
        <is>
          <t>ESTAÇÃO ELEVATÓRIA DE ÁGUA BRUTA EAB 02 - ALTO RECALQUE</t>
        </is>
      </c>
      <c r="D86" s="272" t="inlineStr">
        <is>
          <t>evento concluído (Anexo VII)</t>
        </is>
      </c>
    </row>
    <row r="87">
      <c r="A87" s="218" t="inlineStr">
        <is>
          <t>281-5.2</t>
        </is>
      </c>
      <c r="B87" s="218" t="inlineStr">
        <is>
          <t>281</t>
        </is>
      </c>
      <c r="C87" s="218" t="inlineStr">
        <is>
          <t>CAIXA DE DESARENADOR</t>
        </is>
      </c>
      <c r="D87" s="272" t="inlineStr">
        <is>
          <t>evento concluído (Anexo VII)</t>
        </is>
      </c>
    </row>
    <row r="88">
      <c r="A88" s="218" t="inlineStr">
        <is>
          <t>281-5.3</t>
        </is>
      </c>
      <c r="B88" s="218" t="inlineStr">
        <is>
          <t>281</t>
        </is>
      </c>
      <c r="C88" s="218" t="inlineStr">
        <is>
          <t>URBANIZAÇÃO E SERVIÇOS COMPLEMENTARES</t>
        </is>
      </c>
      <c r="D88" s="272" t="inlineStr">
        <is>
          <t>evento concluído (Anexo VII)</t>
        </is>
      </c>
    </row>
    <row r="89">
      <c r="A89" s="218" t="inlineStr">
        <is>
          <t>281-5.4</t>
        </is>
      </c>
      <c r="B89" s="218" t="inlineStr">
        <is>
          <t>281</t>
        </is>
      </c>
      <c r="C89" s="218" t="inlineStr">
        <is>
          <t>RESERVATÓRIO HIDROPNEUMÁTICO (RHO)</t>
        </is>
      </c>
      <c r="D89" s="272" t="inlineStr">
        <is>
          <t>evento concluído; material em canteiro só com Termo de Guarda (Anexo VII)</t>
        </is>
      </c>
    </row>
    <row r="90">
      <c r="A90" s="218" t="inlineStr">
        <is>
          <t>281-6.1</t>
        </is>
      </c>
      <c r="B90" s="218" t="inlineStr">
        <is>
          <t>281</t>
        </is>
      </c>
      <c r="C90" s="218" t="inlineStr">
        <is>
          <t>ADUTORA DE ÁGUA BRUTA 02 - ALTO RECALQUE</t>
        </is>
      </c>
      <c r="D90" s="272" t="inlineStr">
        <is>
          <t>evento concluído; material em canteiro só com Termo de Guarda (Anexo VII)</t>
        </is>
      </c>
    </row>
    <row r="91">
      <c r="A91" s="218" t="inlineStr">
        <is>
          <t>281-6.2</t>
        </is>
      </c>
      <c r="B91" s="218" t="inlineStr">
        <is>
          <t>281</t>
        </is>
      </c>
      <c r="C91" s="218" t="inlineStr">
        <is>
          <t>CAIXA DE CHEGADA</t>
        </is>
      </c>
      <c r="D91" s="272" t="inlineStr">
        <is>
          <t>evento concluído (Anexo VII)</t>
        </is>
      </c>
    </row>
    <row r="92">
      <c r="A92" s="218" t="inlineStr">
        <is>
          <t>281-6.3</t>
        </is>
      </c>
      <c r="B92" s="218" t="inlineStr">
        <is>
          <t>281</t>
        </is>
      </c>
      <c r="C92" s="218" t="inlineStr">
        <is>
          <t>CAIXA DE DESCARGA PN 25</t>
        </is>
      </c>
      <c r="D92" s="272" t="inlineStr">
        <is>
          <t>evento concluído (Anexo VII)</t>
        </is>
      </c>
    </row>
    <row r="93">
      <c r="A93" s="218" t="inlineStr">
        <is>
          <t>281-6.4</t>
        </is>
      </c>
      <c r="B93" s="218" t="inlineStr">
        <is>
          <t>281</t>
        </is>
      </c>
      <c r="C93" s="218" t="inlineStr">
        <is>
          <t>CAIXA PARA PROTEÇÃO DE VÁLVULA - VENTOSA PN 25</t>
        </is>
      </c>
      <c r="D93" s="272" t="inlineStr">
        <is>
          <t>evento concluído (Anexo VII)</t>
        </is>
      </c>
    </row>
    <row r="94">
      <c r="A94" s="218" t="inlineStr">
        <is>
          <t>281-6.5</t>
        </is>
      </c>
      <c r="B94" s="218" t="inlineStr">
        <is>
          <t>281</t>
        </is>
      </c>
      <c r="C94" s="218" t="inlineStr">
        <is>
          <t>CAIXA DE DESCARGA - PN 16</t>
        </is>
      </c>
      <c r="D94" s="272" t="inlineStr">
        <is>
          <t>evento concluído (Anexo VII)</t>
        </is>
      </c>
    </row>
    <row r="95">
      <c r="A95" s="218" t="inlineStr">
        <is>
          <t>281-6.6</t>
        </is>
      </c>
      <c r="B95" s="218" t="inlineStr">
        <is>
          <t>281</t>
        </is>
      </c>
      <c r="C95" s="218" t="inlineStr">
        <is>
          <t>CAIXA DE DESCARGA - PN 10 (X2)</t>
        </is>
      </c>
      <c r="D95" s="272" t="inlineStr">
        <is>
          <t>evento concluído (Anexo VII)</t>
        </is>
      </c>
    </row>
    <row r="96">
      <c r="A96" s="218" t="inlineStr">
        <is>
          <t>281-6.7</t>
        </is>
      </c>
      <c r="B96" s="218" t="inlineStr">
        <is>
          <t>281</t>
        </is>
      </c>
      <c r="C96" s="218" t="inlineStr">
        <is>
          <t>CAIXA PARA PROTEÇÃO DE VÁLVULA - VENTOSA PN 16</t>
        </is>
      </c>
      <c r="D96" s="272" t="inlineStr">
        <is>
          <t>evento concluído (Anexo VII)</t>
        </is>
      </c>
    </row>
    <row r="97">
      <c r="A97" s="218" t="inlineStr">
        <is>
          <t>281-6.8</t>
        </is>
      </c>
      <c r="B97" s="218" t="inlineStr">
        <is>
          <t>281</t>
        </is>
      </c>
      <c r="C97" s="218" t="inlineStr">
        <is>
          <t>CAIXA PARA PROTEÇÃO DE VÁLVULA - VENTOSA PN 10</t>
        </is>
      </c>
      <c r="D97" s="272" t="inlineStr">
        <is>
          <t>evento concluído (Anexo VII)</t>
        </is>
      </c>
    </row>
    <row r="98">
      <c r="A98" s="218" t="inlineStr">
        <is>
          <t>281-7.1</t>
        </is>
      </c>
      <c r="B98" s="218" t="inlineStr">
        <is>
          <t>281</t>
        </is>
      </c>
      <c r="C98" s="218" t="inlineStr">
        <is>
          <t>ESTAÇÃO DE TRATAMENTO DE ÁGUA</t>
        </is>
      </c>
      <c r="D98" s="272" t="inlineStr">
        <is>
          <t>evento concluído; antecipação de 10% (7.1.4) e material em canteiro (7.1.5) com Termo de Guarda</t>
        </is>
      </c>
    </row>
    <row r="99">
      <c r="A99" s="218" t="inlineStr">
        <is>
          <t>281-7.2</t>
        </is>
      </c>
      <c r="B99" s="218" t="inlineStr">
        <is>
          <t>281</t>
        </is>
      </c>
      <c r="C99" s="218" t="inlineStr">
        <is>
          <t>ESTAÇÃO ELEVATÓRIA DE ÁGUA TRATADA</t>
        </is>
      </c>
      <c r="D99" s="272" t="inlineStr">
        <is>
          <t>evento concluído; material em canteiro só com Termo de Guarda (Anexo VII)</t>
        </is>
      </c>
    </row>
    <row r="100">
      <c r="A100" s="218" t="inlineStr">
        <is>
          <t>281-7.3</t>
        </is>
      </c>
      <c r="B100" s="218" t="inlineStr">
        <is>
          <t>281</t>
        </is>
      </c>
      <c r="C100" s="218" t="inlineStr">
        <is>
          <t>TANQUE DE EQUALIZAÇÃO</t>
        </is>
      </c>
      <c r="D100" s="272" t="inlineStr">
        <is>
          <t>evento concluído (Anexo VII)</t>
        </is>
      </c>
    </row>
    <row r="101">
      <c r="A101" s="218" t="inlineStr">
        <is>
          <t>281-7.4</t>
        </is>
      </c>
      <c r="B101" s="218" t="inlineStr">
        <is>
          <t>281</t>
        </is>
      </c>
      <c r="C101" s="218" t="inlineStr">
        <is>
          <t>CASA DE CLORAÇÃO</t>
        </is>
      </c>
      <c r="D101" s="272" t="inlineStr">
        <is>
          <t>evento concluído (Anexo VII)</t>
        </is>
      </c>
    </row>
    <row r="102">
      <c r="A102" s="218" t="inlineStr">
        <is>
          <t>281-7.5</t>
        </is>
      </c>
      <c r="B102" s="218" t="inlineStr">
        <is>
          <t>281</t>
        </is>
      </c>
      <c r="C102" s="218" t="inlineStr">
        <is>
          <t>CASA DE QUÍMICA</t>
        </is>
      </c>
      <c r="D102" s="272" t="inlineStr">
        <is>
          <t>evento concluído (Anexo VII)</t>
        </is>
      </c>
    </row>
    <row r="103">
      <c r="A103" s="218" t="inlineStr">
        <is>
          <t>281-7.6</t>
        </is>
      </c>
      <c r="B103" s="218" t="inlineStr">
        <is>
          <t>281</t>
        </is>
      </c>
      <c r="C103" s="218" t="inlineStr">
        <is>
          <t>CASA DE QUÍMICA - ESTOQUE DE PRODUTOS QUÍMICOS</t>
        </is>
      </c>
      <c r="D103" s="272" t="inlineStr">
        <is>
          <t>evento concluído (Anexo VII)</t>
        </is>
      </c>
    </row>
    <row r="104">
      <c r="A104" s="218" t="inlineStr">
        <is>
          <t>281-7.7</t>
        </is>
      </c>
      <c r="B104" s="218" t="inlineStr">
        <is>
          <t>281</t>
        </is>
      </c>
      <c r="C104" s="218" t="inlineStr">
        <is>
          <t>RESERVATÓRIO METÁLICO ELEVADO 100m3</t>
        </is>
      </c>
      <c r="D104" s="272" t="inlineStr">
        <is>
          <t>evento concluído (Anexo VII)</t>
        </is>
      </c>
    </row>
    <row r="105">
      <c r="A105" s="218" t="inlineStr">
        <is>
          <t>281-7.8</t>
        </is>
      </c>
      <c r="B105" s="218" t="inlineStr">
        <is>
          <t>281</t>
        </is>
      </c>
      <c r="C105" s="218" t="inlineStr">
        <is>
          <t>SISTEMA DE DESCARTE DE LODO (UTR)</t>
        </is>
      </c>
      <c r="D105" s="272" t="inlineStr">
        <is>
          <t>evento concluído; material em canteiro só com Termo de Guarda (Anexo VII)</t>
        </is>
      </c>
    </row>
    <row r="106">
      <c r="A106" s="218" t="inlineStr">
        <is>
          <t>281-7.9</t>
        </is>
      </c>
      <c r="B106" s="218" t="inlineStr">
        <is>
          <t>281</t>
        </is>
      </c>
      <c r="C106" s="218" t="inlineStr">
        <is>
          <t>CAIXA DO MEDIDOR DE VAZÃO - MACROMEDIDOR RAP 01 / RSE 01</t>
        </is>
      </c>
      <c r="D106" s="272" t="inlineStr">
        <is>
          <t>evento concluído (Anexo VII)</t>
        </is>
      </c>
    </row>
    <row r="107">
      <c r="A107" s="218" t="inlineStr">
        <is>
          <t>281-7.10</t>
        </is>
      </c>
      <c r="B107" s="218" t="inlineStr">
        <is>
          <t>281</t>
        </is>
      </c>
      <c r="C107" s="218" t="inlineStr">
        <is>
          <t>CAIXA DO MEDIDOR DE VAZÃO - MACROMEDIDOR REL 05</t>
        </is>
      </c>
      <c r="D107" s="272" t="inlineStr">
        <is>
          <t>evento concluído (Anexo VII)</t>
        </is>
      </c>
    </row>
    <row r="108">
      <c r="A108" s="218" t="inlineStr">
        <is>
          <t>281-7.11</t>
        </is>
      </c>
      <c r="B108" s="218" t="inlineStr">
        <is>
          <t>281</t>
        </is>
      </c>
      <c r="C108" s="218" t="inlineStr">
        <is>
          <t>CAIXA DE INTERLIGAÇÃO 1</t>
        </is>
      </c>
      <c r="D108" s="272" t="inlineStr">
        <is>
          <t>evento concluído (Anexo VII)</t>
        </is>
      </c>
    </row>
    <row r="109">
      <c r="A109" s="218" t="inlineStr">
        <is>
          <t>281-7.12</t>
        </is>
      </c>
      <c r="B109" s="218" t="inlineStr">
        <is>
          <t>281</t>
        </is>
      </c>
      <c r="C109" s="218" t="inlineStr">
        <is>
          <t>CAIXA DE INTERLIGAÇÃO 2</t>
        </is>
      </c>
      <c r="D109" s="272" t="inlineStr">
        <is>
          <t>evento concluído (Anexo VII)</t>
        </is>
      </c>
    </row>
    <row r="110">
      <c r="A110" s="218" t="inlineStr">
        <is>
          <t>281-7.13</t>
        </is>
      </c>
      <c r="B110" s="218" t="inlineStr">
        <is>
          <t>281</t>
        </is>
      </c>
      <c r="C110" s="218" t="inlineStr">
        <is>
          <t>CAIXA SECA - RETENÇÃO DE VAZAMENTO DOS TANQUES DE PRODUTOS QUIMICOS</t>
        </is>
      </c>
      <c r="D110" s="272" t="inlineStr">
        <is>
          <t>evento concluído (Anexo VII)</t>
        </is>
      </c>
    </row>
    <row r="111">
      <c r="A111" s="218" t="inlineStr">
        <is>
          <t>281-7.14</t>
        </is>
      </c>
      <c r="B111" s="218" t="inlineStr">
        <is>
          <t>281</t>
        </is>
      </c>
      <c r="C111" s="218" t="inlineStr">
        <is>
          <t>CAIXA DE MANOBRA DO RESERVATÓRIO</t>
        </is>
      </c>
      <c r="D111" s="272" t="inlineStr">
        <is>
          <t>evento concluído (Anexo VII)</t>
        </is>
      </c>
    </row>
    <row r="112">
      <c r="A112" s="218" t="inlineStr">
        <is>
          <t>281-7.15</t>
        </is>
      </c>
      <c r="B112" s="218" t="inlineStr">
        <is>
          <t>281</t>
        </is>
      </c>
      <c r="C112" s="218" t="inlineStr">
        <is>
          <t>REMANEJAMENTO DE REDE E INTERLIGAÇÃO DA AAB EXISTENTE</t>
        </is>
      </c>
      <c r="D112" s="272" t="inlineStr">
        <is>
          <t>evento concluído (Anexo VII)</t>
        </is>
      </c>
    </row>
    <row r="113">
      <c r="A113" s="218" t="inlineStr">
        <is>
          <t>281-7.16</t>
        </is>
      </c>
      <c r="B113" s="218" t="inlineStr">
        <is>
          <t>281</t>
        </is>
      </c>
      <c r="C113" s="218" t="inlineStr">
        <is>
          <t>INTERLIGAÇÕES - ENTRADA DOS RESERVATÓRIOS</t>
        </is>
      </c>
      <c r="D113" s="272" t="inlineStr">
        <is>
          <t>evento concluído (Anexo VII)</t>
        </is>
      </c>
    </row>
    <row r="114">
      <c r="A114" s="218" t="inlineStr">
        <is>
          <t>281-7.17</t>
        </is>
      </c>
      <c r="B114" s="218" t="inlineStr">
        <is>
          <t>281</t>
        </is>
      </c>
      <c r="C114" s="218" t="inlineStr">
        <is>
          <t>INTERLIGAÇÕES - ARRANJO HIDRÁULICO</t>
        </is>
      </c>
      <c r="D114" s="272" t="inlineStr">
        <is>
          <t>evento concluído (Anexo VII)</t>
        </is>
      </c>
    </row>
    <row r="115">
      <c r="A115" s="218" t="inlineStr">
        <is>
          <t>281-7.18</t>
        </is>
      </c>
      <c r="B115" s="218" t="inlineStr">
        <is>
          <t>281</t>
        </is>
      </c>
      <c r="C115" s="218" t="inlineStr">
        <is>
          <t>URBANIZAÇÃO E SERVIÇOS COMPLEMENTARES</t>
        </is>
      </c>
      <c r="D115" s="272" t="inlineStr">
        <is>
          <t>evento concluído (Anexo VII)</t>
        </is>
      </c>
    </row>
    <row r="116">
      <c r="A116" s="218" t="inlineStr">
        <is>
          <t>281-8.1</t>
        </is>
      </c>
      <c r="B116" s="218" t="inlineStr">
        <is>
          <t>281</t>
        </is>
      </c>
      <c r="C116" s="218" t="inlineStr">
        <is>
          <t>SERVIÇOS DIVERSOS</t>
        </is>
      </c>
      <c r="D116" s="272" t="inlineStr">
        <is>
          <t>evento concluído (Anexo VII)</t>
        </is>
      </c>
    </row>
    <row r="117">
      <c r="A117" s="218" t="inlineStr">
        <is>
          <t>281-8.2</t>
        </is>
      </c>
      <c r="B117" s="218" t="inlineStr">
        <is>
          <t>281</t>
        </is>
      </c>
      <c r="C117" s="218" t="inlineStr">
        <is>
          <t>SERVIÇOS DE TERRAPLANAGEM - ESTRADA DE ACESSO</t>
        </is>
      </c>
      <c r="D117" s="272" t="inlineStr">
        <is>
          <t>evento concluído (Anexo VII)</t>
        </is>
      </c>
    </row>
    <row r="118">
      <c r="A118" s="218" t="inlineStr">
        <is>
          <t>281-9.1</t>
        </is>
      </c>
      <c r="B118" s="218" t="inlineStr">
        <is>
          <t>281</t>
        </is>
      </c>
      <c r="C118" s="218" t="inlineStr">
        <is>
          <t>PROJETOS EXECUTIVOS</t>
        </is>
      </c>
      <c r="D118" s="272" t="inlineStr">
        <is>
          <t>90% proporcional ao avanço, 10% no as built (Anexo VII)</t>
        </is>
      </c>
    </row>
    <row r="119">
      <c r="A119" s="218" t="inlineStr">
        <is>
          <t>BM</t>
        </is>
      </c>
      <c r="B119" s="218" t="inlineStr">
        <is>
          <t>342, 343 e 281</t>
        </is>
      </c>
      <c r="C119" s="218" t="inlineStr">
        <is>
          <t>Medição, boletim e nota fiscal</t>
        </is>
      </c>
      <c r="D119" s="272" t="inlineStr"/>
    </row>
    <row r="120">
      <c r="A120" s="218" t="inlineStr">
        <is>
          <t>ADM</t>
        </is>
      </c>
      <c r="B120" s="218" t="inlineStr">
        <is>
          <t>342, 343 e 281</t>
        </is>
      </c>
      <c r="C120" s="218" t="inlineStr">
        <is>
          <t>Administração da obra, segurança, documentos</t>
        </is>
      </c>
      <c r="D120" s="272" t="inlineStr"/>
    </row>
    <row r="121">
      <c r="A121" s="218" t="inlineStr">
        <is>
          <t>APONT</t>
        </is>
      </c>
      <c r="B121" s="218" t="inlineStr">
        <is>
          <t>342, 343 e 281</t>
        </is>
      </c>
      <c r="C121" s="218" t="inlineStr">
        <is>
          <t>Apontamento e rotina de gestão</t>
        </is>
      </c>
      <c r="D121" s="272" t="inlineStr"/>
    </row>
  </sheetData>
  <conditionalFormatting sqref="F8:H8">
    <cfRule type="cellIs" priority="1" operator="equal" dxfId="26">
      <formula>"SEM BASE"</formula>
    </cfRule>
    <cfRule type="cellIs" priority="2" operator="equal" dxfId="24">
      <formula>"CONFERIDA"</formula>
    </cfRule>
  </conditionalFormatting>
  <dataValidations count="2">
    <dataValidation sqref="C18:D40 H18:H40" showDropDown="0" showInputMessage="0" showErrorMessage="0" allowBlank="1" type="list">
      <formula1>"SIM,NÃO"</formula1>
    </dataValidation>
    <dataValidation sqref="F7:H7" showDropDown="0" showInputMessage="0" showErrorMessage="0" allowBlank="1" type="list">
      <formula1>"SIM,NÃO"</formula1>
    </dataValidation>
  </dataValidations>
  <hyperlinks>
    <hyperlink ref="G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15.xml><?xml version="1.0" encoding="utf-8"?>
<worksheet xmlns="http://schemas.openxmlformats.org/spreadsheetml/2006/main">
  <sheetPr>
    <tabColor rgb="FFFFC000"/>
    <outlinePr summaryBelow="1" summaryRight="1"/>
    <pageSetUpPr fitToPage="1"/>
  </sheetPr>
  <dimension ref="A1:H42"/>
  <sheetViews>
    <sheetView showGridLines="0" workbookViewId="0">
      <selection activeCell="A1" sqref="A1"/>
    </sheetView>
  </sheetViews>
  <sheetFormatPr baseColWidth="8" defaultRowHeight="15"/>
  <cols>
    <col width="34" customWidth="1" style="71" min="1" max="1"/>
    <col width="30" customWidth="1" style="71" min="2" max="2"/>
    <col width="44" customWidth="1" style="71" min="3" max="3"/>
    <col width="30" customWidth="1" style="71" min="4" max="4"/>
    <col width="44" customWidth="1" style="71" min="5" max="5"/>
    <col width="30" customWidth="1" style="71" min="6" max="6"/>
    <col width="44" customWidth="1" style="71" min="7" max="7"/>
    <col width="9" customWidth="1" style="71" min="8" max="8"/>
  </cols>
  <sheetData>
    <row r="1" ht="26.1" customHeight="1" s="71">
      <c r="A1" s="1" t="inlineStr">
        <is>
          <t>03. CONTRATOS — o que foi assinado (lido dos documentos oficiais)</t>
        </is>
      </c>
      <c r="B1" s="2" t="n"/>
      <c r="C1" s="2" t="n"/>
      <c r="D1" s="2" t="n"/>
      <c r="E1" s="2" t="n"/>
      <c r="F1" s="2" t="n"/>
      <c r="G1" s="2" t="n"/>
      <c r="H1" s="3" t="inlineStr">
        <is>
          <t>◀ MENU</t>
        </is>
      </c>
    </row>
    <row r="2">
      <c r="A2" s="4" t="inlineStr">
        <is>
          <t>Tudo azul foi lido de documento (fonte na coluna ao lado). Amarelo = não localizado.</t>
        </is>
      </c>
    </row>
    <row r="3"/>
    <row r="4" ht="30" customHeight="1" s="71">
      <c r="A4" s="23" t="inlineStr">
        <is>
          <t>CAMPO</t>
        </is>
      </c>
      <c r="B4" s="23" t="inlineStr">
        <is>
          <t>342 — SANEAGO</t>
        </is>
      </c>
      <c r="C4" s="23" t="inlineStr">
        <is>
          <t>FONTE 342</t>
        </is>
      </c>
      <c r="D4" s="23" t="inlineStr">
        <is>
          <t>343 — CAESB</t>
        </is>
      </c>
      <c r="E4" s="23" t="inlineStr">
        <is>
          <t>FONTE 343</t>
        </is>
      </c>
      <c r="F4" s="23" t="inlineStr">
        <is>
          <t>281 — SANEAGO (Mozarlândia)</t>
        </is>
      </c>
      <c r="G4" s="23" t="inlineStr">
        <is>
          <t>FONTE 281</t>
        </is>
      </c>
    </row>
    <row r="5" ht="25.5" customHeight="1" s="71">
      <c r="A5" s="5" t="inlineStr">
        <is>
          <t>Cliente</t>
        </is>
      </c>
      <c r="B5" s="40" t="inlineStr">
        <is>
          <t>SANEAGO (Saneamento de Goiás S.A.)</t>
        </is>
      </c>
      <c r="C5" s="32" t="inlineStr">
        <is>
          <t>Contrato.pdf, preâmbulo</t>
        </is>
      </c>
      <c r="D5" s="40" t="inlineStr">
        <is>
          <t>CAESB (Cia. de Saneamento Ambiental do DF)</t>
        </is>
      </c>
      <c r="E5" s="32" t="inlineStr">
        <is>
          <t>Contrato.pdf (OCR), preâmbulo</t>
        </is>
      </c>
      <c r="F5" s="40" t="inlineStr">
        <is>
          <t>SANEAGO (Saneamento de Goiás S.A.)</t>
        </is>
      </c>
      <c r="G5" s="32" t="inlineStr">
        <is>
          <t>NFS 402 e 403 (tomador); Termos de aceitação da SANEAGO</t>
        </is>
      </c>
    </row>
    <row r="6">
      <c r="A6" s="5" t="inlineStr">
        <is>
          <t>Nº do contrato</t>
        </is>
      </c>
      <c r="B6" s="40" t="inlineStr">
        <is>
          <t>30000196/2026</t>
        </is>
      </c>
      <c r="C6" s="32" t="inlineStr">
        <is>
          <t>Contrato.pdf</t>
        </is>
      </c>
      <c r="D6" s="40" t="inlineStr">
        <is>
          <t>10214/2026 (LC 071/2026)</t>
        </is>
      </c>
      <c r="E6" s="32" t="inlineStr">
        <is>
          <t>Contrato.pdf (OCR)</t>
        </is>
      </c>
      <c r="F6" s="40" t="inlineStr">
        <is>
          <t>30000415/2025</t>
        </is>
      </c>
      <c r="G6" s="32" t="inlineStr">
        <is>
          <t>Termos de aceitação NF 402 e 403; Cronograma FF x Gráficos, Cronograma!M3</t>
        </is>
      </c>
    </row>
    <row r="7" ht="38.25" customHeight="1" s="71">
      <c r="A7" s="5" t="inlineStr">
        <is>
          <t>Objeto</t>
        </is>
      </c>
      <c r="B7" s="40" t="inlineStr">
        <is>
          <t>Obras remanescentes da UTR da ETA de Santo Antônio do Descoberto/GO</t>
        </is>
      </c>
      <c r="C7" s="32" t="inlineStr">
        <is>
          <t>Contrato.pdf, Cláusula Primeira</t>
        </is>
      </c>
      <c r="D7" s="40" t="inlineStr">
        <is>
          <t>Implantação da Subadutora de Água Tratada Sobradinho I 192 (SAT.SB1.192)</t>
        </is>
      </c>
      <c r="E7" s="32" t="inlineStr">
        <is>
          <t>Contrato.pdf (OCR)</t>
        </is>
      </c>
      <c r="F7" s="40" t="inlineStr">
        <is>
          <t>Ampliação do SAA de Mozarlândia/GO, Lote I: captação, adutoras, elevatórias, ETA PF 50 l/s e UTR (contratação semi-integrada)</t>
        </is>
      </c>
      <c r="G7" s="32" t="inlineStr">
        <is>
          <t>Anexo I EGT Obras LIC 048-2025, p.4 e p.11</t>
        </is>
      </c>
    </row>
    <row r="8">
      <c r="A8" s="5" t="inlineStr">
        <is>
          <t>Valor do contrato (R$)</t>
        </is>
      </c>
      <c r="B8" s="304" t="n">
        <v>3258000</v>
      </c>
      <c r="C8" s="32" t="inlineStr">
        <is>
          <t>Contrato.pdf, Cláusula Terceira; OS nº 509/2026</t>
        </is>
      </c>
      <c r="D8" s="304" t="n">
        <v>5226634.03</v>
      </c>
      <c r="E8" s="32" t="inlineStr">
        <is>
          <t>Contrato.pdf (OCR), Cláusula Terceira 3.1</t>
        </is>
      </c>
      <c r="F8" s="304" t="n">
        <v>17120015.74</v>
      </c>
      <c r="G8" s="32" t="inlineStr">
        <is>
          <t>Cronograma FF x Gráficos, Cronograma!C865; igual ao FPM da SANEAGO (medido 6.408.609,67 + saldo 10.711.406,07)</t>
        </is>
      </c>
    </row>
    <row r="9">
      <c r="A9" s="5" t="inlineStr">
        <is>
          <t>Assinatura</t>
        </is>
      </c>
      <c r="B9" s="37" t="n">
        <v>46244</v>
      </c>
      <c r="C9" s="32" t="inlineStr">
        <is>
          <t>Contrato.pdf, bloco de assinaturas</t>
        </is>
      </c>
      <c r="D9" s="37" t="n">
        <v>46234</v>
      </c>
      <c r="E9" s="32" t="inlineStr">
        <is>
          <t>Contrato.pdf (OCR), lista de assinaturas</t>
        </is>
      </c>
      <c r="F9" s="37" t="n"/>
      <c r="G9" s="32" t="inlineStr">
        <is>
          <t>contrato assinado não veio nos arquivos</t>
        </is>
      </c>
    </row>
    <row r="10" ht="38" customHeight="1" s="71">
      <c r="A10" s="5" t="inlineStr">
        <is>
          <t>Início da contagem do prazo</t>
        </is>
      </c>
      <c r="B10" s="305" t="n">
        <v>46266</v>
      </c>
      <c r="C10" s="306" t="inlineStr">
        <is>
          <t>OS nº 509/2026 (31/08 a 02/09/2026); Anexo II marca 31/08. A CONFERIR: o estudo REV13 e o ACOMPANHAMENTO dizem 03/09/2026; Tiago Marinho lê a OS (05C R84)</t>
        </is>
      </c>
      <c r="D10" s="37" t="n">
        <v>46266</v>
      </c>
      <c r="E10" s="32" t="inlineStr">
        <is>
          <t>Ordem de Serviço CAESB de 31/08/2026: prazo a partir de 01/09/2026</t>
        </is>
      </c>
      <c r="F10" s="37" t="n">
        <v>46042</v>
      </c>
      <c r="G10" s="32" t="inlineStr">
        <is>
          <t>Cronograma FF x Gráficos, G7: início do Mês 1 (a OS não veio nos arquivos)</t>
        </is>
      </c>
    </row>
    <row r="11">
      <c r="A11" s="5" t="inlineStr">
        <is>
          <t>Prazo de execução (dias)</t>
        </is>
      </c>
      <c r="B11" s="42" t="n">
        <v>360</v>
      </c>
      <c r="C11" s="32" t="inlineStr">
        <is>
          <t>Contrato.pdf, Cláusula Quarta</t>
        </is>
      </c>
      <c r="D11" s="42" t="n">
        <v>270</v>
      </c>
      <c r="E11" s="32" t="inlineStr">
        <is>
          <t>Contrato.pdf (OCR), Cláusula Sétima 7.1</t>
        </is>
      </c>
      <c r="F11" s="42" t="n">
        <v>660</v>
      </c>
      <c r="G11" s="32" t="inlineStr">
        <is>
          <t>Anexo VII Eventograma 19/2025, Seção 3 (p.36): 660 dias da OS</t>
        </is>
      </c>
    </row>
    <row r="12">
      <c r="A12" s="5" t="inlineStr">
        <is>
          <t>Prazo de vigência (dias)</t>
        </is>
      </c>
      <c r="B12" s="42" t="n">
        <v>480</v>
      </c>
      <c r="C12" s="32" t="inlineStr">
        <is>
          <t>Contrato.pdf, Cláusula Quarta</t>
        </is>
      </c>
      <c r="D12" s="42" t="n">
        <v>365</v>
      </c>
      <c r="E12" s="32" t="inlineStr">
        <is>
          <t>Contrato.pdf (OCR), Cláusula Sétima 7.1</t>
        </is>
      </c>
      <c r="F12" s="42" t="inlineStr">
        <is>
          <t>até 22/01/2028</t>
        </is>
      </c>
      <c r="G12" s="32" t="inlineStr">
        <is>
          <t>Termos de aceitação NF 402 e 403 (vigência do contrato)</t>
        </is>
      </c>
    </row>
    <row r="13" ht="25.5" customHeight="1" s="71">
      <c r="A13" s="5" t="inlineStr">
        <is>
          <t>Como é medido</t>
        </is>
      </c>
      <c r="B13" s="40" t="inlineStr">
        <is>
          <t>Preço global por etapa do cronograma físico-financeiro</t>
        </is>
      </c>
      <c r="C13" s="32" t="inlineStr">
        <is>
          <t>Contrato.pdf, Cláusula Quinta §2º</t>
        </is>
      </c>
      <c r="D13" s="40" t="inlineStr">
        <is>
          <t>Preço unitário (quantidade executada)</t>
        </is>
      </c>
      <c r="E13" s="32" t="inlineStr">
        <is>
          <t>Contrato.pdf, preâmbulo (empreitada por preço unitário)</t>
        </is>
      </c>
      <c r="F13" s="40" t="inlineStr">
        <is>
          <t>Eventos do eventograma: paga o evento concluído; material em canteiro só em 6 eventos, com Termo de Guarda; antecipação de 10% da ETA (7.1.4)</t>
        </is>
      </c>
      <c r="G13" s="32" t="inlineStr">
        <is>
          <t>Anexo VII Eventograma 19/2025, Seção 1 (p.3 a 6); EGT Obras p.29-30</t>
        </is>
      </c>
    </row>
    <row r="14" ht="24" customHeight="1" s="71">
      <c r="A14" s="5" t="inlineStr">
        <is>
          <t>Prazo de pagamento (dias)</t>
        </is>
      </c>
      <c r="B14" s="42" t="n">
        <v>30</v>
      </c>
      <c r="C14" s="32" t="inlineStr">
        <is>
          <t>Cláusula Quinta §7º: NF até o último dia útil do mês medido, paga no 30º dia</t>
        </is>
      </c>
      <c r="D14" s="42" t="n">
        <v>30</v>
      </c>
      <c r="E14" s="32" t="inlineStr">
        <is>
          <t>Edital 2.16.1: até 30 dias da protocolização (1º dia útil do mês seguinte)</t>
        </is>
      </c>
      <c r="F14" s="42" t="n">
        <v>30</v>
      </c>
      <c r="G14" s="32" t="inlineStr">
        <is>
          <t>Termo de aceitação NF 402: 30 dias do ateste da NF (Cláusula Quinta, §7º)</t>
        </is>
      </c>
    </row>
    <row r="15" ht="25.5" customHeight="1" s="71">
      <c r="A15" s="5" t="inlineStr">
        <is>
          <t>Seguro-garantia (apólice, vigência)</t>
        </is>
      </c>
      <c r="B15" s="40" t="inlineStr">
        <is>
          <t>Junto Seguros 03-0775-0430793, 29/07/2026 a 21/11/2027</t>
        </is>
      </c>
      <c r="C15" s="32" t="inlineStr">
        <is>
          <t>02 - Legal e Regulatório/Seguro</t>
        </is>
      </c>
      <c r="D15" s="40" t="inlineStr">
        <is>
          <t>Junto Seguros 03-0775-0430794, 29/07/2026 a 29/07/2027</t>
        </is>
      </c>
      <c r="E15" s="32" t="inlineStr">
        <is>
          <t>02 - Legal e Regulatório/Seguro; 5 % (Cláusula Oitava)</t>
        </is>
      </c>
      <c r="F15" s="40" t="n"/>
      <c r="G15" s="32" t="inlineStr">
        <is>
          <t>não localizado</t>
        </is>
      </c>
    </row>
    <row r="16">
      <c r="A16" s="5" t="inlineStr">
        <is>
          <t>Prêmio do seguro-garantia (R$)</t>
        </is>
      </c>
      <c r="B16" s="304" t="n">
        <v>1071.12</v>
      </c>
      <c r="C16" s="32" t="inlineStr">
        <is>
          <t>Boleto de 06/08/2026</t>
        </is>
      </c>
      <c r="D16" s="307" t="n"/>
      <c r="E16" s="32" t="inlineStr">
        <is>
          <t>boleto sem valor legível no PDF</t>
        </is>
      </c>
      <c r="F16" s="307" t="n"/>
      <c r="G16" s="32" t="inlineStr">
        <is>
          <t>não localizado</t>
        </is>
      </c>
    </row>
    <row r="17" ht="25.5" customHeight="1" s="71">
      <c r="A17" s="5" t="inlineStr">
        <is>
          <t>Fiscal do cliente</t>
        </is>
      </c>
      <c r="B17" s="40" t="inlineStr">
        <is>
          <t>Merivaldo Pequeno do Nascimento</t>
        </is>
      </c>
      <c r="C17" s="32" t="inlineStr">
        <is>
          <t>OS nº 509/2026, item 5</t>
        </is>
      </c>
      <c r="D17" s="40" t="inlineStr">
        <is>
          <t>Rodolfo Siqueira de Brito</t>
        </is>
      </c>
      <c r="E17" s="32" t="inlineStr">
        <is>
          <t>Ordem de Serviço CAESB (OCR)</t>
        </is>
      </c>
      <c r="F17" s="40" t="inlineStr">
        <is>
          <t>João Alexandre (fiscal do contrato); Darlan (fiscal SANEAGO na obra)</t>
        </is>
      </c>
      <c r="G17" s="32" t="inlineStr">
        <is>
          <t>chat Mozarlândia CCM ETA 13/10/2026 11:49; chat Obra 281 Compras 29/09/2026 7:27</t>
        </is>
      </c>
    </row>
    <row r="18" ht="25.5" customHeight="1" s="71">
      <c r="A18" s="5" t="inlineStr">
        <is>
          <t>Gestor do cliente</t>
        </is>
      </c>
      <c r="B18" s="40" t="inlineStr">
        <is>
          <t>Felipe Cavalcanti Garcia de Castro</t>
        </is>
      </c>
      <c r="C18" s="32" t="inlineStr">
        <is>
          <t>OS nº 509/2026, item 6</t>
        </is>
      </c>
      <c r="D18" s="40" t="inlineStr">
        <is>
          <t>Guilherme Oliveira Gobbi</t>
        </is>
      </c>
      <c r="E18" s="32" t="inlineStr">
        <is>
          <t>Ordem de Serviço CAESB (OCR)</t>
        </is>
      </c>
      <c r="F18" s="40" t="n"/>
      <c r="G18" s="32" t="inlineStr">
        <is>
          <t>não localizado</t>
        </is>
      </c>
    </row>
    <row r="19" ht="38" customHeight="1" s="71">
      <c r="A19" s="5" t="inlineStr">
        <is>
          <t>Reajuste</t>
        </is>
      </c>
      <c r="B19" s="308" t="inlineStr">
        <is>
          <t>1ª solicitação de reajuste em tramitação</t>
        </is>
      </c>
      <c r="C19" s="306" t="inlineStr">
        <is>
          <t>02 - Legal e Regulatório/Aditivo. A CONFERIR: protocolo não visto; abrir o documento antes de 20/10 (05C R31 e linhas 38 a 42)</t>
        </is>
      </c>
      <c r="D19" s="40" t="inlineStr">
        <is>
          <t>após 1 ano (ICC-DF, conforme minuta)</t>
        </is>
      </c>
      <c r="E19" s="32" t="inlineStr">
        <is>
          <t>Cláusula Sexta (conferir no assinado)</t>
        </is>
      </c>
      <c r="F19" s="40" t="inlineStr">
        <is>
          <t>Reajuste pago por BM em NF separada (NF 403 = reajuste do BM-002, R$ 57.409,54); índice e data-base não estão nos anexos</t>
        </is>
      </c>
      <c r="G19" s="32" t="inlineStr">
        <is>
          <t>NFS 403; Anexo VII p.5 e p.7</t>
        </is>
      </c>
    </row>
    <row r="20">
      <c r="A20" s="5" t="inlineStr">
        <is>
          <t>Fim da execução (início + prazo)</t>
        </is>
      </c>
      <c r="B20" s="44">
        <f>B10+B11-1</f>
        <v>46625.0</v>
      </c>
      <c r="C20" s="24" t="n"/>
      <c r="D20" s="44">
        <f>D10+D11-1</f>
        <v>46535.0</v>
      </c>
      <c r="E20" s="24" t="n"/>
      <c r="F20" s="44">
        <f>F10+F11</f>
        <v>46702.0</v>
      </c>
      <c r="G20" s="24" t="n"/>
    </row>
    <row r="21">
      <c r="A21" s="5" t="inlineStr">
        <is>
          <t>Contratada (quem assina o contrato e emite a nota)</t>
        </is>
      </c>
      <c r="B21" s="40" t="n"/>
      <c r="C21" s="32" t="n"/>
      <c r="D21" s="40" t="n"/>
      <c r="E21" s="32" t="n"/>
      <c r="F21" s="40" t="inlineStr">
        <is>
          <t>TECNOBOMBAS Bombas, Motores e Serviços Ltda. (CNPJ 00.819.295/0001-22)</t>
        </is>
      </c>
      <c r="G21" s="32" t="inlineStr">
        <is>
          <t>NFS 402 e 403 (emitente); Termos de aceitação; Cronograma FF, C3</t>
        </is>
      </c>
    </row>
    <row r="22">
      <c r="A22" s="5" t="inlineStr">
        <is>
          <t>Parte da TAF no resultado da obra</t>
        </is>
      </c>
      <c r="B22" s="40" t="n"/>
      <c r="C22" s="32" t="n"/>
      <c r="D22" s="40" t="n"/>
      <c r="E22" s="32" t="n"/>
      <c r="F22" s="309" t="n">
        <v>0.5</v>
      </c>
      <c r="G22" s="32" t="inlineStr">
        <is>
          <t>Rateio 50/50 do relatório Custos Mensais Maio 26 (C89:C90); aportes dos dois sócios na 08D. O termo do consórcio não veio: confirmar.</t>
        </is>
      </c>
    </row>
    <row r="23">
      <c r="A23" s="5" t="inlineStr">
        <is>
          <t>Antecipação do pagamento (termo de aceitação)</t>
        </is>
      </c>
      <c r="B23" s="40" t="n"/>
      <c r="C23" s="32" t="n"/>
      <c r="D23" s="40" t="n"/>
      <c r="E23" s="32" t="n"/>
      <c r="F23" s="40" t="inlineStr">
        <is>
          <t>SANEAGO antecipa a NF por termo de aceitação, NF a NF: 1,96% a.m. pro rata (15 dias = 0,98%)</t>
        </is>
      </c>
      <c r="G23" s="32" t="inlineStr">
        <is>
          <t>Termos de aceitação NF 402 e 403 (04/05/2026)</t>
        </is>
      </c>
    </row>
    <row r="24">
      <c r="A24" s="5" t="inlineStr">
        <is>
          <t>Orçamento SANEAGO (base do eventograma)</t>
        </is>
      </c>
      <c r="B24" s="40" t="n"/>
      <c r="C24" s="32" t="n"/>
      <c r="D24" s="40" t="n"/>
      <c r="E24" s="32" t="n"/>
      <c r="F24" s="310" t="n">
        <v>17120015.74</v>
      </c>
      <c r="G24" s="32" t="inlineStr">
        <is>
          <t>Eventograma Mozarlândia.pdf (orçamento consolidado da SANEAGO); igual ao valor do contrato</t>
        </is>
      </c>
    </row>
    <row r="25"/>
    <row r="26">
      <c r="A26" s="10" t="inlineStr">
        <is>
          <t>PESSOAS E PAPÉIS</t>
        </is>
      </c>
      <c r="B26" s="11" t="n"/>
      <c r="C26" s="11" t="n"/>
      <c r="D26" s="11" t="n"/>
      <c r="E26" s="11" t="n"/>
      <c r="F26" s="11" t="n"/>
      <c r="G26" s="11" t="n"/>
    </row>
    <row r="27" ht="30" customHeight="1" s="71">
      <c r="A27" s="215" t="inlineStr">
        <is>
          <t>CAMPO</t>
        </is>
      </c>
      <c r="B27" s="215" t="inlineStr">
        <is>
          <t>342 SANEAGO</t>
        </is>
      </c>
      <c r="C27" s="215" t="inlineStr">
        <is>
          <t>FONTE 342</t>
        </is>
      </c>
      <c r="D27" s="215" t="inlineStr">
        <is>
          <t>343 CAESB</t>
        </is>
      </c>
      <c r="E27" s="215" t="inlineStr">
        <is>
          <t>FONTE 343</t>
        </is>
      </c>
      <c r="F27" s="215" t="inlineStr">
        <is>
          <t>281 SANEAGO (Mozarlândia)</t>
        </is>
      </c>
      <c r="G27" s="215" t="inlineStr">
        <is>
          <t>FONTE 281</t>
        </is>
      </c>
    </row>
    <row r="28" ht="38" customHeight="1" s="71">
      <c r="A28" s="5" t="inlineStr">
        <is>
          <t>Preposto (quem responde pela TAF no contrato)</t>
        </is>
      </c>
      <c r="B28" s="311" t="inlineStr">
        <is>
          <t>não registrado</t>
        </is>
      </c>
      <c r="C28" s="32" t="inlineStr">
        <is>
          <t>o contrato não nomeia</t>
        </is>
      </c>
      <c r="D28" s="311" t="inlineStr">
        <is>
          <t>não registrado</t>
        </is>
      </c>
      <c r="E28" s="32" t="inlineStr">
        <is>
          <t>o contrato não nomeia</t>
        </is>
      </c>
      <c r="F28" s="311" t="inlineStr">
        <is>
          <t>não registrado</t>
        </is>
      </c>
      <c r="G28" s="32" t="inlineStr">
        <is>
          <t>a contratada é a TECNOBOMBAS (linha 21)</t>
        </is>
      </c>
    </row>
    <row r="29" ht="38" customHeight="1" s="71">
      <c r="A29" s="5" t="inlineStr">
        <is>
          <t>Responsável técnico (nº da ART)</t>
        </is>
      </c>
      <c r="B29" s="311" t="inlineStr">
        <is>
          <t>a confirmar</t>
        </is>
      </c>
      <c r="C29" s="32" t="inlineStr">
        <is>
          <t>ACOMPANHAMENTO diz Tiago Marinho; Panorama diz Marko Aurélio; ART não registrada (05C R79)</t>
        </is>
      </c>
      <c r="D29" s="311" t="inlineStr">
        <is>
          <t>a confirmar</t>
        </is>
      </c>
      <c r="E29" s="32" t="inlineStr">
        <is>
          <t>não localizado</t>
        </is>
      </c>
      <c r="F29" s="311" t="inlineStr">
        <is>
          <t>a confirmar</t>
        </is>
      </c>
      <c r="G29" s="32" t="inlineStr">
        <is>
          <t>não localizado</t>
        </is>
      </c>
    </row>
    <row r="30" ht="38" customHeight="1" s="71">
      <c r="A30" s="5" t="inlineStr">
        <is>
          <t>Engenheiro residente</t>
        </is>
      </c>
      <c r="B30" s="311" t="inlineStr">
        <is>
          <t>a confirmar</t>
        </is>
      </c>
      <c r="C30" s="32" t="inlineStr">
        <is>
          <t>engenheiros da obra: Tiago Marinho e Marko Aurélio (14. FONTES, linhas 5 e 7)</t>
        </is>
      </c>
      <c r="D30" s="311" t="inlineStr">
        <is>
          <t>a confirmar</t>
        </is>
      </c>
      <c r="E30" s="32" t="inlineStr">
        <is>
          <t>não localizado</t>
        </is>
      </c>
      <c r="F30" s="311" t="inlineStr">
        <is>
          <t>a confirmar</t>
        </is>
      </c>
      <c r="G30" s="32" t="inlineStr">
        <is>
          <t>Ricarlos acompanha cronograma e BMs (05C R47, R62, R63); papel não escrito</t>
        </is>
      </c>
    </row>
    <row r="31" ht="38" customHeight="1" s="71">
      <c r="A31" s="5" t="inlineStr">
        <is>
          <t>Gerente do contrato</t>
        </is>
      </c>
      <c r="B31" s="311" t="inlineStr">
        <is>
          <t>a confirmar</t>
        </is>
      </c>
      <c r="C31" s="32" t="inlineStr">
        <is>
          <t>Thadeu define</t>
        </is>
      </c>
      <c r="D31" s="311" t="inlineStr">
        <is>
          <t>a nomear até 19/10</t>
        </is>
      </c>
      <c r="E31" s="32" t="inlineStr">
        <is>
          <t>05C R42 (Thadeu)</t>
        </is>
      </c>
      <c r="F31" s="311" t="inlineStr">
        <is>
          <t>a confirmar</t>
        </is>
      </c>
      <c r="G31" s="32" t="inlineStr">
        <is>
          <t>Thadeu define</t>
        </is>
      </c>
    </row>
    <row r="32" ht="38" customHeight="1" s="71">
      <c r="A32" s="5" t="inlineStr">
        <is>
          <t>Apontador</t>
        </is>
      </c>
      <c r="B32" s="311" t="inlineStr">
        <is>
          <t>a nomear</t>
        </is>
      </c>
      <c r="C32" s="32" t="inlineStr">
        <is>
          <t>05C R32</t>
        </is>
      </c>
      <c r="D32" s="311" t="inlineStr">
        <is>
          <t>a nomear até 19/10</t>
        </is>
      </c>
      <c r="E32" s="32" t="inlineStr">
        <is>
          <t>05C R42 (Thadeu)</t>
        </is>
      </c>
      <c r="F32" s="311" t="inlineStr">
        <is>
          <t>a confirmar</t>
        </is>
      </c>
      <c r="G32" s="32" t="inlineStr">
        <is>
          <t>não localizado</t>
        </is>
      </c>
    </row>
    <row r="33" ht="38" customHeight="1" s="71">
      <c r="A33" s="5" t="inlineStr">
        <is>
          <t>Fiscal do cliente</t>
        </is>
      </c>
      <c r="B33" s="6" t="str">
        <f>B17</f>
        <v>Merivaldo Pequeno do Nascimento</v>
      </c>
      <c r="C33" s="32" t="inlineStr">
        <is>
          <t>linha 17</t>
        </is>
      </c>
      <c r="D33" s="6" t="str">
        <f>D17</f>
        <v>Rodolfo Siqueira de Brito</v>
      </c>
      <c r="E33" s="32" t="inlineStr">
        <is>
          <t>linha 17</t>
        </is>
      </c>
      <c r="F33" s="6" t="str">
        <f>F17</f>
        <v>João Alexandre (fiscal do contrato); Darlan (fiscal SANEAGO na obra)</v>
      </c>
      <c r="G33" s="32" t="inlineStr">
        <is>
          <t>linha 17</t>
        </is>
      </c>
    </row>
    <row r="34" ht="38" customHeight="1" s="71">
      <c r="A34" s="5" t="inlineStr">
        <is>
          <t>Gestor do cliente</t>
        </is>
      </c>
      <c r="B34" s="6" t="str">
        <f>B18</f>
        <v>Felipe Cavalcanti Garcia de Castro</v>
      </c>
      <c r="C34" s="32" t="inlineStr">
        <is>
          <t>linha 18</t>
        </is>
      </c>
      <c r="D34" s="6" t="str">
        <f>D18</f>
        <v>Guilherme Oliveira Gobbi</v>
      </c>
      <c r="E34" s="32" t="inlineStr">
        <is>
          <t>linha 18</t>
        </is>
      </c>
      <c r="F34" s="6" t="str">
        <f>IF(F18="","não localizado",F18)</f>
        <v>não localizado</v>
      </c>
      <c r="G34" s="32" t="inlineStr">
        <is>
          <t>linha 18</t>
        </is>
      </c>
    </row>
    <row r="35"/>
    <row r="36">
      <c r="A36" s="10" t="inlineStr">
        <is>
          <t>REAJUSTE POR OBRA</t>
        </is>
      </c>
      <c r="B36" s="11" t="n"/>
      <c r="C36" s="11" t="n"/>
      <c r="D36" s="11" t="n"/>
      <c r="E36" s="11" t="n"/>
      <c r="F36" s="11" t="n"/>
      <c r="G36" s="11" t="n"/>
    </row>
    <row r="37" ht="30" customHeight="1" s="71">
      <c r="A37" s="215" t="inlineStr">
        <is>
          <t>CAMPO</t>
        </is>
      </c>
      <c r="B37" s="215" t="inlineStr">
        <is>
          <t>342 SANEAGO</t>
        </is>
      </c>
      <c r="C37" s="215" t="inlineStr">
        <is>
          <t>FONTE 342</t>
        </is>
      </c>
      <c r="D37" s="215" t="inlineStr">
        <is>
          <t>343 CAESB</t>
        </is>
      </c>
      <c r="E37" s="215" t="inlineStr">
        <is>
          <t>FONTE 343</t>
        </is>
      </c>
      <c r="F37" s="215" t="inlineStr">
        <is>
          <t>281 SANEAGO (Mozarlândia)</t>
        </is>
      </c>
      <c r="G37" s="215" t="inlineStr">
        <is>
          <t>FONTE 281</t>
        </is>
      </c>
    </row>
    <row r="38" ht="38" customHeight="1" s="71">
      <c r="A38" s="5" t="inlineStr">
        <is>
          <t>Data do pedido</t>
        </is>
      </c>
      <c r="B38" s="311" t="inlineStr">
        <is>
          <t>PENDENTE</t>
        </is>
      </c>
      <c r="C38" s="32" t="inlineStr">
        <is>
          <t>abrir 02 - Legal e Regulatório/Aditivo (05C R31)</t>
        </is>
      </c>
      <c r="D38" s="40" t="inlineStr">
        <is>
          <t>ainda não cabe</t>
        </is>
      </c>
      <c r="E38" s="32" t="inlineStr">
        <is>
          <t>após 1 ano (linha 19)</t>
        </is>
      </c>
      <c r="F38" s="40" t="inlineStr">
        <is>
          <t>por BM, em NF separada</t>
        </is>
      </c>
      <c r="G38" s="32" t="inlineStr">
        <is>
          <t>linha 19</t>
        </is>
      </c>
    </row>
    <row r="39" ht="38" customHeight="1" s="71">
      <c r="A39" s="5" t="inlineStr">
        <is>
          <t>Protocolo (nº)</t>
        </is>
      </c>
      <c r="B39" s="311" t="inlineStr">
        <is>
          <t>PENDENTE</t>
        </is>
      </c>
      <c r="C39" s="32" t="inlineStr">
        <is>
          <t>05C R31</t>
        </is>
      </c>
      <c r="D39" s="40" t="inlineStr">
        <is>
          <t>ainda não cabe</t>
        </is>
      </c>
      <c r="E39" s="32" t="inlineStr">
        <is>
          <t>linha 19</t>
        </is>
      </c>
      <c r="F39" s="311" t="inlineStr">
        <is>
          <t>PENDENTE</t>
        </is>
      </c>
      <c r="G39" s="32" t="inlineStr">
        <is>
          <t>não localizado</t>
        </is>
      </c>
    </row>
    <row r="40" ht="38" customHeight="1" s="71">
      <c r="A40" s="5" t="inlineStr">
        <is>
          <t>Valor pedido (R$)</t>
        </is>
      </c>
      <c r="B40" s="311" t="inlineStr">
        <is>
          <t>PENDENTE</t>
        </is>
      </c>
      <c r="C40" s="32" t="inlineStr">
        <is>
          <t>o estudo interno estima R$ 412.721 (REV13 00 E38)</t>
        </is>
      </c>
      <c r="D40" s="40" t="inlineStr">
        <is>
          <t>ainda não cabe</t>
        </is>
      </c>
      <c r="E40" s="32" t="inlineStr">
        <is>
          <t>linha 19</t>
        </is>
      </c>
      <c r="F40" s="311" t="inlineStr">
        <is>
          <t>PENDENTE</t>
        </is>
      </c>
      <c r="G40" s="32" t="inlineStr">
        <is>
          <t>a auditoria estima cerca de R$ 609.727 sem registro, 100% do consórcio (auditoria, item 7)</t>
        </is>
      </c>
    </row>
    <row r="41" ht="38" customHeight="1" s="71">
      <c r="A41" s="5" t="inlineStr">
        <is>
          <t>Valor aprovado ou faturado (R$)</t>
        </is>
      </c>
      <c r="B41" s="312" t="str">
        <f>IF(SUMIFS('07. FATURAMENTO E RECEBIMENTO'!$F$5:$F$44,'07. FATURAMENTO E RECEBIMENTO'!$B$5:$B$44,"342",'07. FATURAMENTO E RECEBIMENTO'!$C$5:$C$44,"*reajuste*")=0,"PENDENTE",SUMIFS('07. FATURAMENTO E RECEBIMENTO'!$F$5:$F$44,'07. FATURAMENTO E RECEBIMENTO'!$B$5:$B$44,"342",'07. FATURAMENTO E RECEBIMENTO'!$C$5:$C$44,"*reajuste*"))</f>
        <v>PENDENTE</v>
      </c>
      <c r="C41" s="32" t="inlineStr">
        <is>
          <t>07, NFs com reajuste no Nº do BM</t>
        </is>
      </c>
      <c r="D41" s="312" t="str">
        <f>IF(SUMIFS('07. FATURAMENTO E RECEBIMENTO'!$F$5:$F$44,'07. FATURAMENTO E RECEBIMENTO'!$B$5:$B$44,"343",'07. FATURAMENTO E RECEBIMENTO'!$C$5:$C$44,"*reajuste*")=0,"PENDENTE",SUMIFS('07. FATURAMENTO E RECEBIMENTO'!$F$5:$F$44,'07. FATURAMENTO E RECEBIMENTO'!$B$5:$B$44,"343",'07. FATURAMENTO E RECEBIMENTO'!$C$5:$C$44,"*reajuste*"))</f>
        <v>PENDENTE</v>
      </c>
      <c r="E41" s="32" t="inlineStr">
        <is>
          <t>07, NFs com reajuste no Nº do BM</t>
        </is>
      </c>
      <c r="F41" s="312">
        <f>IF(SUMIFS('07. FATURAMENTO E RECEBIMENTO'!$F$5:$F$44,'07. FATURAMENTO E RECEBIMENTO'!$B$5:$B$44,"281",'07. FATURAMENTO E RECEBIMENTO'!$C$5:$C$44,"*reajuste*")=0,"PENDENTE",SUMIFS('07. FATURAMENTO E RECEBIMENTO'!$F$5:$F$44,'07. FATURAMENTO E RECEBIMENTO'!$B$5:$B$44,"281",'07. FATURAMENTO E RECEBIMENTO'!$C$5:$C$44,"*reajuste*"))</f>
        <v>57409.54</v>
      </c>
      <c r="G41" s="32" t="inlineStr">
        <is>
          <t>07: só a NF 403 (BM02); BM01 e BM03 a BM07 sem registro (05C R60)</t>
        </is>
      </c>
    </row>
    <row r="42" ht="38" customHeight="1" s="71">
      <c r="A42" s="5" t="inlineStr">
        <is>
          <t>Dono</t>
        </is>
      </c>
      <c r="B42" s="40" t="inlineStr">
        <is>
          <t>Tiago Marinho e Financeiro TAF</t>
        </is>
      </c>
      <c r="C42" s="32" t="inlineStr">
        <is>
          <t>auditoria, item 7</t>
        </is>
      </c>
      <c r="D42" s="40" t="inlineStr">
        <is>
          <t>Gerente da 343 (Thadeu nomeia, 05C R42)</t>
        </is>
      </c>
      <c r="E42" s="32" t="inlineStr">
        <is>
          <t>auditoria, item 6</t>
        </is>
      </c>
      <c r="F42" s="40" t="inlineStr">
        <is>
          <t>Rafael Santa Cruz e Financeiro TAF</t>
        </is>
      </c>
      <c r="G42" s="32" t="inlineStr">
        <is>
          <t>auditoria, item 7; 05C R60</t>
        </is>
      </c>
    </row>
  </sheetData>
  <hyperlinks>
    <hyperlink ref="H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16.xml><?xml version="1.0" encoding="utf-8"?>
<worksheet xmlns="http://schemas.openxmlformats.org/spreadsheetml/2006/main">
  <sheetPr>
    <tabColor rgb="FFA6A6A6"/>
    <outlinePr summaryBelow="1" summaryRight="1"/>
    <pageSetUpPr fitToPage="1"/>
  </sheetPr>
  <dimension ref="A1:AA50"/>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2" customWidth="1" style="71" min="1" max="1"/>
    <col width="44" customWidth="1" style="71" min="2" max="2"/>
    <col width="11" customWidth="1" style="71" min="3" max="18"/>
    <col width="12" customWidth="1" style="71" min="5" max="5"/>
    <col width="14" customWidth="1" style="71" min="19" max="19"/>
  </cols>
  <sheetData>
    <row r="1" ht="26.1" customHeight="1" s="71">
      <c r="A1" s="1" t="inlineStr">
        <is>
          <t>04. PLANO DAS OBRAS — medição, custo, efetivo e caixa previstos mês a mês</t>
        </is>
      </c>
      <c r="B1" s="2" t="n"/>
      <c r="C1" s="2" t="n"/>
      <c r="D1" s="2" t="n"/>
      <c r="E1" s="2" t="n"/>
      <c r="F1" s="2" t="n"/>
      <c r="G1" s="2" t="n"/>
      <c r="H1" s="2" t="n"/>
      <c r="I1" s="2" t="n"/>
      <c r="J1" s="2" t="n"/>
      <c r="K1" s="2" t="n"/>
      <c r="L1" s="2" t="n"/>
      <c r="M1" s="2" t="n"/>
      <c r="N1" s="2" t="n"/>
      <c r="O1" s="2" t="n"/>
      <c r="P1" s="2" t="n"/>
      <c r="Q1" s="2" t="n"/>
      <c r="R1" s="2" t="n"/>
      <c r="S1" s="3" t="inlineStr">
        <is>
          <t>◀ MENU</t>
        </is>
      </c>
    </row>
    <row r="2">
      <c r="A2" s="4" t="inlineStr">
        <is>
          <t>Azul = copiado de estudo, com fonte. 342: estudo REV13 (pasta panorama do projeto, 15/10/2026 09:09), cenário 1 eventograma Anexo VII: medição = aba 07 linha 42 (BM no mês da nota); custos = aba 09 linhas 6 a 11 (mês do pagamento); efetivo = aba 40 linhas 86 e 87. 343: MOTOR TAF, estudo de 27/09/2026.</t>
        </is>
      </c>
    </row>
    <row r="3"/>
    <row r="4">
      <c r="A4" s="10" t="inlineStr">
        <is>
          <t>OBRA 342 — SANEAGO UTR Santo Antônio do Descoberto</t>
        </is>
      </c>
      <c r="B4" s="11" t="n"/>
      <c r="C4" s="11" t="n"/>
      <c r="D4" s="11" t="n"/>
      <c r="E4" s="11" t="n"/>
      <c r="F4" s="11" t="n"/>
      <c r="G4" s="11" t="n"/>
      <c r="H4" s="11" t="n"/>
      <c r="I4" s="11" t="n"/>
      <c r="J4" s="11" t="n"/>
      <c r="K4" s="11" t="n"/>
      <c r="L4" s="11" t="n"/>
      <c r="M4" s="11" t="n"/>
      <c r="N4" s="11" t="n"/>
      <c r="O4" s="11" t="n"/>
      <c r="P4" s="11" t="n"/>
      <c r="Q4" s="11" t="n"/>
      <c r="R4" s="11" t="n"/>
      <c r="S4" s="11" t="n"/>
    </row>
    <row r="5" ht="30" customHeight="1" s="71">
      <c r="A5" s="23" t="n"/>
      <c r="B5" s="23" t="inlineStr">
        <is>
          <t>LINHA</t>
        </is>
      </c>
      <c r="C5" s="23" t="inlineStr">
        <is>
          <t>set/26</t>
        </is>
      </c>
      <c r="D5" s="23" t="inlineStr">
        <is>
          <t>out/26</t>
        </is>
      </c>
      <c r="E5" s="23" t="inlineStr">
        <is>
          <t>nov/26</t>
        </is>
      </c>
      <c r="F5" s="23" t="inlineStr">
        <is>
          <t>dez/26</t>
        </is>
      </c>
      <c r="G5" s="23" t="inlineStr">
        <is>
          <t>jan/27</t>
        </is>
      </c>
      <c r="H5" s="23" t="inlineStr">
        <is>
          <t>fev/27</t>
        </is>
      </c>
      <c r="I5" s="23" t="inlineStr">
        <is>
          <t>mar/27</t>
        </is>
      </c>
      <c r="J5" s="23" t="inlineStr">
        <is>
          <t>abr/27</t>
        </is>
      </c>
      <c r="K5" s="23" t="inlineStr">
        <is>
          <t>mai/27</t>
        </is>
      </c>
      <c r="L5" s="23" t="inlineStr">
        <is>
          <t>jun/27</t>
        </is>
      </c>
      <c r="M5" s="23" t="inlineStr">
        <is>
          <t>jul/27</t>
        </is>
      </c>
      <c r="N5" s="23" t="inlineStr">
        <is>
          <t>ago/27</t>
        </is>
      </c>
      <c r="O5" s="23" t="inlineStr">
        <is>
          <t>set/27</t>
        </is>
      </c>
      <c r="P5" s="23" t="inlineStr">
        <is>
          <t>out/27</t>
        </is>
      </c>
      <c r="Q5" s="23" t="inlineStr">
        <is>
          <t>nov/27</t>
        </is>
      </c>
      <c r="R5" s="23" t="inlineStr">
        <is>
          <t>dez/27</t>
        </is>
      </c>
      <c r="S5" s="23" t="inlineStr">
        <is>
          <t>TOTAL</t>
        </is>
      </c>
    </row>
    <row r="6">
      <c r="B6" s="5" t="inlineStr">
        <is>
          <t>Medição prevista (R$, BM no mês da nota; Anexo VII)</t>
        </is>
      </c>
      <c r="C6" s="313" t="n">
        <v>0</v>
      </c>
      <c r="D6" s="313" t="n">
        <v>0</v>
      </c>
      <c r="E6" s="313" t="n">
        <v>188227.58</v>
      </c>
      <c r="F6" s="313" t="n">
        <v>89197.56</v>
      </c>
      <c r="G6" s="313" t="n">
        <v>956026.86</v>
      </c>
      <c r="H6" s="313" t="n">
        <v>17842.53</v>
      </c>
      <c r="I6" s="313" t="n">
        <v>313203.86</v>
      </c>
      <c r="J6" s="313" t="n">
        <v>904012.8199999999</v>
      </c>
      <c r="K6" s="313" t="n">
        <v>253640.04</v>
      </c>
      <c r="L6" s="313" t="n">
        <v>415335.92</v>
      </c>
      <c r="M6" s="313" t="n">
        <v>50760.4</v>
      </c>
      <c r="N6" s="313" t="n">
        <v>66927.5</v>
      </c>
      <c r="O6" s="313" t="n">
        <v>2795.67</v>
      </c>
      <c r="P6" s="313" t="n">
        <v>0</v>
      </c>
      <c r="Q6" s="313" t="n">
        <v>0</v>
      </c>
      <c r="R6" s="313" t="n">
        <v>0</v>
      </c>
      <c r="S6" s="314">
        <f>SUM(C6:R6)</f>
        <v>3257970.74</v>
      </c>
    </row>
    <row r="7">
      <c r="B7" s="30" t="inlineStr">
        <is>
          <t>Recebimento previsto (R$, bruto; calculado no FLUXO pelo prazo de pagamento)</t>
        </is>
      </c>
      <c r="C7" s="315">
        <f>'FLUXO PROJETADO TAF'!C25</f>
        <v>0</v>
      </c>
      <c r="D7" s="315">
        <f>'FLUXO PROJETADO TAF'!D25</f>
        <v>0</v>
      </c>
      <c r="E7" s="315">
        <f>'FLUXO PROJETADO TAF'!E25</f>
        <v>0</v>
      </c>
      <c r="F7" s="315">
        <f>'FLUXO PROJETADO TAF'!F25</f>
        <v>188227.58</v>
      </c>
      <c r="G7" s="315">
        <f>'FLUXO PROJETADO TAF'!G25</f>
        <v>0</v>
      </c>
      <c r="H7" s="315">
        <f>'FLUXO PROJETADO TAF'!H25</f>
        <v>89197.56</v>
      </c>
      <c r="I7" s="315">
        <f>'FLUXO PROJETADO TAF'!I25</f>
        <v>973869.39</v>
      </c>
      <c r="J7" s="315">
        <f>'FLUXO PROJETADO TAF'!J25</f>
        <v>313203.86</v>
      </c>
      <c r="K7" s="315">
        <f>'FLUXO PROJETADO TAF'!K25</f>
        <v>904012.82</v>
      </c>
      <c r="L7" s="315">
        <f>'FLUXO PROJETADO TAF'!L25</f>
        <v>253640.04</v>
      </c>
      <c r="M7" s="315">
        <f>'FLUXO PROJETADO TAF'!M25</f>
        <v>415335.92</v>
      </c>
      <c r="N7" s="315">
        <f>'FLUXO PROJETADO TAF'!N25</f>
        <v>50760.4</v>
      </c>
      <c r="O7" s="315">
        <f>'FLUXO PROJETADO TAF'!O25</f>
        <v>66927.5</v>
      </c>
      <c r="P7" s="315">
        <f>'FLUXO PROJETADO TAF'!P25</f>
        <v>0</v>
      </c>
      <c r="Q7" s="315">
        <f>'FLUXO PROJETADO TAF'!Q25</f>
        <v>2795.67</v>
      </c>
      <c r="R7" s="315">
        <f>'FLUXO PROJETADO TAF'!R25</f>
        <v>0</v>
      </c>
      <c r="S7" s="314">
        <f>SUM(C7:R7)</f>
        <v>3257970.74</v>
      </c>
    </row>
    <row r="8">
      <c r="B8" s="30" t="inlineStr">
        <is>
          <t>Custo previsto: mão de obra própria (R$)</t>
        </is>
      </c>
      <c r="C8" s="313" t="n">
        <v>0</v>
      </c>
      <c r="D8" s="313" t="n">
        <v>0</v>
      </c>
      <c r="E8" s="313" t="n">
        <v>22035.98</v>
      </c>
      <c r="F8" s="313" t="n">
        <v>26382.46</v>
      </c>
      <c r="G8" s="313" t="n">
        <v>155895.75</v>
      </c>
      <c r="H8" s="313" t="n">
        <v>54461.9</v>
      </c>
      <c r="I8" s="313" t="n">
        <v>44095.24</v>
      </c>
      <c r="J8" s="313" t="n">
        <v>43865.98</v>
      </c>
      <c r="K8" s="313" t="n">
        <v>64325.83</v>
      </c>
      <c r="L8" s="313" t="n">
        <v>52986.87</v>
      </c>
      <c r="M8" s="313" t="n">
        <v>61252.07</v>
      </c>
      <c r="N8" s="313" t="n">
        <v>37967.19</v>
      </c>
      <c r="O8" s="313" t="n">
        <v>3817.21</v>
      </c>
      <c r="P8" s="313" t="n">
        <v>0</v>
      </c>
      <c r="Q8" s="313" t="n">
        <v>0</v>
      </c>
      <c r="R8" s="313" t="n">
        <v>0</v>
      </c>
      <c r="S8" s="314">
        <f>SUM(C8:R8)</f>
        <v>567086.48</v>
      </c>
    </row>
    <row r="9">
      <c r="B9" s="30" t="inlineStr">
        <is>
          <t>Custo previsto: materiais dos pacotes de compra (R$)</t>
        </is>
      </c>
      <c r="C9" s="313" t="n">
        <v>0</v>
      </c>
      <c r="D9" s="313" t="n">
        <v>0</v>
      </c>
      <c r="E9" s="313" t="n">
        <v>46581.52</v>
      </c>
      <c r="F9" s="313" t="n">
        <v>226655.22</v>
      </c>
      <c r="G9" s="313" t="n">
        <v>12843.54</v>
      </c>
      <c r="H9" s="313" t="n">
        <v>0</v>
      </c>
      <c r="I9" s="313" t="n">
        <v>50506.83</v>
      </c>
      <c r="J9" s="313" t="n">
        <v>0</v>
      </c>
      <c r="K9" s="313" t="n">
        <v>427397.7</v>
      </c>
      <c r="L9" s="313" t="n">
        <v>129563.1</v>
      </c>
      <c r="M9" s="313" t="n">
        <v>0</v>
      </c>
      <c r="N9" s="313" t="n">
        <v>0</v>
      </c>
      <c r="O9" s="313" t="n">
        <v>0</v>
      </c>
      <c r="P9" s="313" t="n">
        <v>0</v>
      </c>
      <c r="Q9" s="313" t="n">
        <v>0</v>
      </c>
      <c r="R9" s="313" t="n">
        <v>0</v>
      </c>
      <c r="S9" s="314">
        <f>SUM(C9:R9)</f>
        <v>893547.91</v>
      </c>
    </row>
    <row r="10">
      <c r="B10" s="30" t="inlineStr">
        <is>
          <t>Custo previsto: serviços de campo (equipamento, combustível, terceiros, material de serviço) (R$)</t>
        </is>
      </c>
      <c r="C10" s="313" t="n">
        <v>0</v>
      </c>
      <c r="D10" s="313" t="n">
        <v>0</v>
      </c>
      <c r="E10" s="313" t="n">
        <v>90216.2</v>
      </c>
      <c r="F10" s="313" t="n">
        <v>57225.46</v>
      </c>
      <c r="G10" s="313" t="n">
        <v>239833.74</v>
      </c>
      <c r="H10" s="313" t="n">
        <v>122301.28</v>
      </c>
      <c r="I10" s="313" t="n">
        <v>103062.08</v>
      </c>
      <c r="J10" s="313" t="n">
        <v>56261.69</v>
      </c>
      <c r="K10" s="313" t="n">
        <v>77445.78</v>
      </c>
      <c r="L10" s="313" t="n">
        <v>44223.28</v>
      </c>
      <c r="M10" s="313" t="n">
        <v>102024.78</v>
      </c>
      <c r="N10" s="313" t="n">
        <v>51568.25</v>
      </c>
      <c r="O10" s="313" t="n">
        <v>7077.18</v>
      </c>
      <c r="P10" s="313" t="n">
        <v>0</v>
      </c>
      <c r="Q10" s="313" t="n">
        <v>0</v>
      </c>
      <c r="R10" s="313" t="n">
        <v>0</v>
      </c>
      <c r="S10" s="314">
        <f>SUM(C10:R10)</f>
        <v>951239.72</v>
      </c>
    </row>
    <row r="11">
      <c r="B11" s="30" t="inlineStr">
        <is>
          <t>Custo previsto: administração local, canteiro e projetos (R$)</t>
        </is>
      </c>
      <c r="C11" s="313" t="n">
        <v>0</v>
      </c>
      <c r="D11" s="313" t="n">
        <v>29525.98</v>
      </c>
      <c r="E11" s="313" t="n">
        <v>120278.74</v>
      </c>
      <c r="F11" s="313" t="n">
        <v>61523.59</v>
      </c>
      <c r="G11" s="313" t="n">
        <v>72290.69</v>
      </c>
      <c r="H11" s="313" t="n">
        <v>66933.84</v>
      </c>
      <c r="I11" s="313" t="n">
        <v>61547.62</v>
      </c>
      <c r="J11" s="313" t="n">
        <v>72320.05</v>
      </c>
      <c r="K11" s="313" t="n">
        <v>69626.95</v>
      </c>
      <c r="L11" s="313" t="n">
        <v>65995.98</v>
      </c>
      <c r="M11" s="313" t="n">
        <v>74352.45</v>
      </c>
      <c r="N11" s="313" t="n">
        <v>74352.45</v>
      </c>
      <c r="O11" s="313" t="n">
        <v>31836.77</v>
      </c>
      <c r="P11" s="313" t="n">
        <v>0</v>
      </c>
      <c r="Q11" s="313" t="n">
        <v>0</v>
      </c>
      <c r="R11" s="313" t="n">
        <v>0</v>
      </c>
      <c r="S11" s="314">
        <f>SUM(C11:R11)</f>
        <v>800585.11</v>
      </c>
    </row>
    <row r="12">
      <c r="B12" s="5" t="inlineStr">
        <is>
          <t>SAÍDAS previstas (R$)</t>
        </is>
      </c>
      <c r="C12" s="316">
        <f>SUM(C8:C11)</f>
        <v>0</v>
      </c>
      <c r="D12" s="316">
        <f>SUM(D8:D11)</f>
        <v>29525.98</v>
      </c>
      <c r="E12" s="316">
        <f>SUM(E8:E11)</f>
        <v>279112.44</v>
      </c>
      <c r="F12" s="316">
        <f>SUM(F8:F11)</f>
        <v>371786.73</v>
      </c>
      <c r="G12" s="316">
        <f>SUM(G8:G11)</f>
        <v>480863.72</v>
      </c>
      <c r="H12" s="316">
        <f>SUM(H8:H11)</f>
        <v>243697.02</v>
      </c>
      <c r="I12" s="316">
        <f>SUM(I8:I11)</f>
        <v>259211.77</v>
      </c>
      <c r="J12" s="316">
        <f>SUM(J8:J11)</f>
        <v>172447.72</v>
      </c>
      <c r="K12" s="316">
        <f>SUM(K8:K11)</f>
        <v>638796.26</v>
      </c>
      <c r="L12" s="316">
        <f>SUM(L8:L11)</f>
        <v>292769.23</v>
      </c>
      <c r="M12" s="316">
        <f>SUM(M8:M11)</f>
        <v>237629.3</v>
      </c>
      <c r="N12" s="316">
        <f>SUM(N8:N11)</f>
        <v>163887.89</v>
      </c>
      <c r="O12" s="316">
        <f>SUM(O8:O11)</f>
        <v>42731.16</v>
      </c>
      <c r="P12" s="316">
        <f>SUM(P8:P11)</f>
        <v>0</v>
      </c>
      <c r="Q12" s="316">
        <f>SUM(Q8:Q11)</f>
        <v>0</v>
      </c>
      <c r="R12" s="316">
        <f>SUM(R8:R11)</f>
        <v>0</v>
      </c>
      <c r="S12" s="314">
        <f>SUM(C12:R12)</f>
        <v>3212459.22</v>
      </c>
    </row>
    <row r="13">
      <c r="B13" s="30" t="inlineStr">
        <is>
          <t>Efetivo previsto: pico do mês (pessoas)</t>
        </is>
      </c>
      <c r="C13" s="317" t="n">
        <v>1</v>
      </c>
      <c r="D13" s="317" t="n">
        <v>23</v>
      </c>
      <c r="E13" s="317" t="n">
        <v>23</v>
      </c>
      <c r="F13" s="317" t="n">
        <v>43</v>
      </c>
      <c r="G13" s="317" t="n">
        <v>27</v>
      </c>
      <c r="H13" s="317" t="n">
        <v>27</v>
      </c>
      <c r="I13" s="317" t="n">
        <v>43</v>
      </c>
      <c r="J13" s="317" t="n">
        <v>34.5</v>
      </c>
      <c r="K13" s="317" t="n">
        <v>29.5</v>
      </c>
      <c r="L13" s="317" t="n">
        <v>31.5</v>
      </c>
      <c r="M13" s="317" t="n">
        <v>28.5</v>
      </c>
      <c r="N13" s="317" t="n">
        <v>15</v>
      </c>
      <c r="O13" s="317" t="n">
        <v>0</v>
      </c>
      <c r="P13" s="317" t="n">
        <v>0</v>
      </c>
      <c r="Q13" s="317" t="n">
        <v>0</v>
      </c>
      <c r="R13" s="317" t="n">
        <v>0</v>
      </c>
      <c r="S13" s="318">
        <f>MAX(C13:R13)</f>
        <v>43</v>
      </c>
    </row>
    <row r="14">
      <c r="B14" s="30" t="inlineStr">
        <is>
          <t>Efetivo previsto: média do mês (pessoas)</t>
        </is>
      </c>
      <c r="C14" s="317" t="n">
        <v>0.9</v>
      </c>
      <c r="D14" s="317" t="n">
        <v>11.48</v>
      </c>
      <c r="E14" s="317" t="n">
        <v>17.22</v>
      </c>
      <c r="F14" s="317" t="n">
        <v>39.68</v>
      </c>
      <c r="G14" s="317" t="n">
        <v>21.4</v>
      </c>
      <c r="H14" s="317" t="n">
        <v>19.89</v>
      </c>
      <c r="I14" s="317" t="n">
        <v>20.89</v>
      </c>
      <c r="J14" s="317" t="n">
        <v>23.12</v>
      </c>
      <c r="K14" s="317" t="n">
        <v>21.39</v>
      </c>
      <c r="L14" s="317" t="n">
        <v>21.3</v>
      </c>
      <c r="M14" s="317" t="n">
        <v>17.95</v>
      </c>
      <c r="N14" s="317" t="n">
        <v>3.45</v>
      </c>
      <c r="O14" s="317" t="n">
        <v>0</v>
      </c>
      <c r="P14" s="317" t="n">
        <v>0</v>
      </c>
      <c r="Q14" s="317" t="n">
        <v>0</v>
      </c>
      <c r="R14" s="317" t="n">
        <v>0</v>
      </c>
      <c r="S14" s="318">
        <f>MAX(C14:R14)</f>
        <v>39.68</v>
      </c>
    </row>
    <row r="15"/>
    <row r="16">
      <c r="A16" s="10" t="inlineStr">
        <is>
          <t>OBRA 343 — CAESB Subadutora Sobradinho</t>
        </is>
      </c>
      <c r="B16" s="11" t="n"/>
      <c r="C16" s="11" t="n"/>
      <c r="D16" s="11" t="n"/>
      <c r="E16" s="11" t="n"/>
      <c r="F16" s="11" t="n"/>
      <c r="G16" s="11" t="n"/>
      <c r="H16" s="11" t="n"/>
      <c r="I16" s="11" t="n"/>
      <c r="J16" s="11" t="n"/>
      <c r="K16" s="11" t="n"/>
      <c r="L16" s="11" t="n"/>
      <c r="M16" s="11" t="n"/>
      <c r="N16" s="11" t="n"/>
      <c r="O16" s="11" t="n"/>
      <c r="P16" s="11" t="n"/>
      <c r="Q16" s="11" t="n"/>
      <c r="R16" s="11" t="n"/>
      <c r="S16" s="11" t="n"/>
    </row>
    <row r="17" ht="30" customHeight="1" s="71">
      <c r="A17" s="23" t="n"/>
      <c r="B17" s="23" t="inlineStr">
        <is>
          <t>LINHA</t>
        </is>
      </c>
      <c r="C17" s="23" t="inlineStr">
        <is>
          <t>set/26</t>
        </is>
      </c>
      <c r="D17" s="23" t="inlineStr">
        <is>
          <t>out/26</t>
        </is>
      </c>
      <c r="E17" s="23" t="inlineStr">
        <is>
          <t>nov/26</t>
        </is>
      </c>
      <c r="F17" s="23" t="inlineStr">
        <is>
          <t>dez/26</t>
        </is>
      </c>
      <c r="G17" s="23" t="inlineStr">
        <is>
          <t>jan/27</t>
        </is>
      </c>
      <c r="H17" s="23" t="inlineStr">
        <is>
          <t>fev/27</t>
        </is>
      </c>
      <c r="I17" s="23" t="inlineStr">
        <is>
          <t>mar/27</t>
        </is>
      </c>
      <c r="J17" s="23" t="inlineStr">
        <is>
          <t>abr/27</t>
        </is>
      </c>
      <c r="K17" s="23" t="inlineStr">
        <is>
          <t>mai/27</t>
        </is>
      </c>
      <c r="L17" s="23" t="inlineStr">
        <is>
          <t>jun/27</t>
        </is>
      </c>
      <c r="M17" s="23" t="inlineStr">
        <is>
          <t>jul/27</t>
        </is>
      </c>
      <c r="N17" s="23" t="inlineStr">
        <is>
          <t>ago/27</t>
        </is>
      </c>
      <c r="O17" s="23" t="inlineStr">
        <is>
          <t>set/27</t>
        </is>
      </c>
      <c r="P17" s="23" t="inlineStr">
        <is>
          <t>out/27</t>
        </is>
      </c>
      <c r="Q17" s="23" t="inlineStr">
        <is>
          <t>nov/27</t>
        </is>
      </c>
      <c r="R17" s="23" t="inlineStr">
        <is>
          <t>dez/27</t>
        </is>
      </c>
      <c r="S17" s="23" t="inlineStr">
        <is>
          <t>TOTAL</t>
        </is>
      </c>
    </row>
    <row r="18">
      <c r="B18" s="5" t="inlineStr">
        <is>
          <t>Medição prevista (R$)</t>
        </is>
      </c>
      <c r="C18" s="313" t="n">
        <v>0</v>
      </c>
      <c r="D18" s="313" t="n">
        <v>1181684.09</v>
      </c>
      <c r="E18" s="313" t="n">
        <v>887910.89</v>
      </c>
      <c r="F18" s="313" t="n">
        <v>635941.2</v>
      </c>
      <c r="G18" s="313" t="n">
        <v>559103.05</v>
      </c>
      <c r="H18" s="313" t="n">
        <v>503192.75</v>
      </c>
      <c r="I18" s="313" t="n">
        <v>615013.36</v>
      </c>
      <c r="J18" s="313" t="n">
        <v>544245.63</v>
      </c>
      <c r="K18" s="313" t="n">
        <v>306920.12</v>
      </c>
      <c r="L18" s="313" t="n">
        <v>0</v>
      </c>
      <c r="M18" s="313" t="n">
        <v>0</v>
      </c>
      <c r="N18" s="313" t="n">
        <v>0</v>
      </c>
      <c r="O18" s="313" t="n">
        <v>0</v>
      </c>
      <c r="P18" s="313" t="n">
        <v>0</v>
      </c>
      <c r="Q18" s="313" t="n">
        <v>0</v>
      </c>
      <c r="R18" s="313" t="n">
        <v>0</v>
      </c>
      <c r="S18" s="314">
        <f>SUM(C18:R18)</f>
        <v>5234011.09</v>
      </c>
    </row>
    <row r="19">
      <c r="B19" s="30" t="inlineStr">
        <is>
          <t>Recebimento previsto (R$, bruto; calculado no FLUXO pelo prazo de pagamento)</t>
        </is>
      </c>
      <c r="C19" s="315">
        <f>'FLUXO PROJETADO TAF'!C47</f>
        <v>0</v>
      </c>
      <c r="D19" s="315">
        <f>'FLUXO PROJETADO TAF'!D47</f>
        <v>0</v>
      </c>
      <c r="E19" s="315">
        <f>'FLUXO PROJETADO TAF'!E47</f>
        <v>0</v>
      </c>
      <c r="F19" s="315">
        <f>'FLUXO PROJETADO TAF'!F47</f>
        <v>2069594.98</v>
      </c>
      <c r="G19" s="315">
        <f>'FLUXO PROJETADO TAF'!G47</f>
        <v>0</v>
      </c>
      <c r="H19" s="315">
        <f>'FLUXO PROJETADO TAF'!H47</f>
        <v>635941.2</v>
      </c>
      <c r="I19" s="315">
        <f>'FLUXO PROJETADO TAF'!I47</f>
        <v>1062295.8</v>
      </c>
      <c r="J19" s="315">
        <f>'FLUXO PROJETADO TAF'!J47</f>
        <v>0</v>
      </c>
      <c r="K19" s="315">
        <f>'FLUXO PROJETADO TAF'!K47</f>
        <v>615013.36</v>
      </c>
      <c r="L19" s="315">
        <f>'FLUXO PROJETADO TAF'!L47</f>
        <v>544245.63</v>
      </c>
      <c r="M19" s="315">
        <f>'FLUXO PROJETADO TAF'!M47</f>
        <v>306920.12</v>
      </c>
      <c r="N19" s="315">
        <f>'FLUXO PROJETADO TAF'!N47</f>
        <v>0</v>
      </c>
      <c r="O19" s="315">
        <f>'FLUXO PROJETADO TAF'!O47</f>
        <v>0</v>
      </c>
      <c r="P19" s="315">
        <f>'FLUXO PROJETADO TAF'!P47</f>
        <v>0</v>
      </c>
      <c r="Q19" s="315">
        <f>'FLUXO PROJETADO TAF'!Q47</f>
        <v>0</v>
      </c>
      <c r="R19" s="315">
        <f>'FLUXO PROJETADO TAF'!R47</f>
        <v>0</v>
      </c>
      <c r="S19" s="314">
        <f>SUM(C19:R19)</f>
        <v>5234011.09</v>
      </c>
    </row>
    <row r="20">
      <c r="B20" s="30" t="inlineStr">
        <is>
          <t>Custo previsto: MO + equipamentos (R$)</t>
        </is>
      </c>
      <c r="C20" s="313" t="n">
        <v>55670.76</v>
      </c>
      <c r="D20" s="313" t="n">
        <v>212493.75</v>
      </c>
      <c r="E20" s="313" t="n">
        <v>182137.5</v>
      </c>
      <c r="F20" s="313" t="n">
        <v>96993.95</v>
      </c>
      <c r="G20" s="313" t="n">
        <v>76756.45</v>
      </c>
      <c r="H20" s="313" t="n">
        <v>69080.8</v>
      </c>
      <c r="I20" s="313" t="n">
        <v>84432.09</v>
      </c>
      <c r="J20" s="313" t="n">
        <v>59231.26</v>
      </c>
      <c r="K20" s="313" t="n">
        <v>31811.86</v>
      </c>
      <c r="L20" s="313" t="n">
        <v>0</v>
      </c>
      <c r="M20" s="313" t="n">
        <v>0</v>
      </c>
      <c r="N20" s="313" t="n">
        <v>0</v>
      </c>
      <c r="O20" s="313" t="n">
        <v>0</v>
      </c>
      <c r="P20" s="313" t="n">
        <v>0</v>
      </c>
      <c r="Q20" s="313" t="n">
        <v>0</v>
      </c>
      <c r="R20" s="313" t="n">
        <v>0</v>
      </c>
      <c r="S20" s="314">
        <f>SUM(C20:R20)</f>
        <v>868608.42</v>
      </c>
    </row>
    <row r="21">
      <c r="B21" s="30" t="inlineStr">
        <is>
          <t>Custo previsto: material (R$)</t>
        </is>
      </c>
      <c r="C21" s="313" t="n">
        <v>0</v>
      </c>
      <c r="D21" s="313" t="n">
        <v>327455.88</v>
      </c>
      <c r="E21" s="313" t="n">
        <v>280676.47</v>
      </c>
      <c r="F21" s="313" t="n">
        <v>343049.02</v>
      </c>
      <c r="G21" s="313" t="n">
        <v>311862.75</v>
      </c>
      <c r="H21" s="313" t="n">
        <v>280676.47</v>
      </c>
      <c r="I21" s="313" t="n">
        <v>343049.02</v>
      </c>
      <c r="J21" s="313" t="n">
        <v>323120.81</v>
      </c>
      <c r="K21" s="313" t="n">
        <v>184227.6</v>
      </c>
      <c r="L21" s="313" t="n">
        <v>0</v>
      </c>
      <c r="M21" s="313" t="n">
        <v>0</v>
      </c>
      <c r="N21" s="313" t="n">
        <v>0</v>
      </c>
      <c r="O21" s="313" t="n">
        <v>0</v>
      </c>
      <c r="P21" s="313" t="n">
        <v>0</v>
      </c>
      <c r="Q21" s="313" t="n">
        <v>0</v>
      </c>
      <c r="R21" s="313" t="n">
        <v>0</v>
      </c>
      <c r="S21" s="314">
        <f>SUM(C21:R21)</f>
        <v>2394118.02</v>
      </c>
    </row>
    <row r="22">
      <c r="B22" s="30" t="inlineStr">
        <is>
          <t>Custo previsto: terceiros (R$)</t>
        </is>
      </c>
      <c r="C22" s="313" t="n">
        <v>0</v>
      </c>
      <c r="D22" s="313" t="n">
        <v>225022.39</v>
      </c>
      <c r="E22" s="313" t="n">
        <v>117868.87</v>
      </c>
      <c r="F22" s="313" t="n">
        <v>0</v>
      </c>
      <c r="G22" s="313" t="n">
        <v>0</v>
      </c>
      <c r="H22" s="313" t="n">
        <v>0</v>
      </c>
      <c r="I22" s="313" t="n">
        <v>0</v>
      </c>
      <c r="J22" s="313" t="n">
        <v>0</v>
      </c>
      <c r="K22" s="313" t="n">
        <v>0</v>
      </c>
      <c r="L22" s="313" t="n">
        <v>0</v>
      </c>
      <c r="M22" s="313" t="n">
        <v>0</v>
      </c>
      <c r="N22" s="313" t="n">
        <v>0</v>
      </c>
      <c r="O22" s="313" t="n">
        <v>0</v>
      </c>
      <c r="P22" s="313" t="n">
        <v>0</v>
      </c>
      <c r="Q22" s="313" t="n">
        <v>0</v>
      </c>
      <c r="R22" s="313" t="n">
        <v>0</v>
      </c>
      <c r="S22" s="314">
        <f>SUM(C22:R22)</f>
        <v>342891.26</v>
      </c>
    </row>
    <row r="23">
      <c r="B23" s="30" t="inlineStr">
        <is>
          <t>Custo previsto: alojamento (R$)</t>
        </is>
      </c>
      <c r="C23" s="313" t="n">
        <v>0</v>
      </c>
      <c r="D23" s="313" t="n">
        <v>0</v>
      </c>
      <c r="E23" s="313" t="n">
        <v>0</v>
      </c>
      <c r="F23" s="313" t="n">
        <v>0</v>
      </c>
      <c r="G23" s="313" t="n">
        <v>0</v>
      </c>
      <c r="H23" s="313" t="n">
        <v>0</v>
      </c>
      <c r="I23" s="313" t="n">
        <v>0</v>
      </c>
      <c r="J23" s="313" t="n">
        <v>0</v>
      </c>
      <c r="K23" s="313" t="n">
        <v>0</v>
      </c>
      <c r="L23" s="313" t="n">
        <v>0</v>
      </c>
      <c r="M23" s="313" t="n">
        <v>0</v>
      </c>
      <c r="N23" s="313" t="n">
        <v>0</v>
      </c>
      <c r="O23" s="313" t="n">
        <v>0</v>
      </c>
      <c r="P23" s="313" t="n">
        <v>0</v>
      </c>
      <c r="Q23" s="313" t="n">
        <v>0</v>
      </c>
      <c r="R23" s="313" t="n">
        <v>0</v>
      </c>
      <c r="S23" s="314">
        <f>SUM(C23:R23)</f>
        <v>0</v>
      </c>
    </row>
    <row r="24">
      <c r="B24" s="5" t="inlineStr">
        <is>
          <t>SAÍDAS previstas (R$)</t>
        </is>
      </c>
      <c r="C24" s="315">
        <f>SUM(C20:C23)</f>
        <v>55670.76</v>
      </c>
      <c r="D24" s="315">
        <f>SUM(D20:D23)</f>
        <v>764972.02</v>
      </c>
      <c r="E24" s="315">
        <f>SUM(E20:E23)</f>
        <v>580682.84</v>
      </c>
      <c r="F24" s="315">
        <f>SUM(F20:F23)</f>
        <v>440042.97</v>
      </c>
      <c r="G24" s="315">
        <f>SUM(G20:G23)</f>
        <v>388619.2</v>
      </c>
      <c r="H24" s="315">
        <f>SUM(H20:H23)</f>
        <v>349757.27</v>
      </c>
      <c r="I24" s="315">
        <f>SUM(I20:I23)</f>
        <v>427481.11</v>
      </c>
      <c r="J24" s="315">
        <f>SUM(J20:J23)</f>
        <v>382352.07</v>
      </c>
      <c r="K24" s="315">
        <f>SUM(K20:K23)</f>
        <v>216039.46</v>
      </c>
      <c r="L24" s="315">
        <f>SUM(L20:L23)</f>
        <v>0</v>
      </c>
      <c r="M24" s="315">
        <f>SUM(M20:M23)</f>
        <v>0</v>
      </c>
      <c r="N24" s="315">
        <f>SUM(N20:N23)</f>
        <v>0</v>
      </c>
      <c r="O24" s="315">
        <f>SUM(O20:O23)</f>
        <v>0</v>
      </c>
      <c r="P24" s="315">
        <f>SUM(P20:P23)</f>
        <v>0</v>
      </c>
      <c r="Q24" s="315">
        <f>SUM(Q20:Q23)</f>
        <v>0</v>
      </c>
      <c r="R24" s="315">
        <f>SUM(R20:R23)</f>
        <v>0</v>
      </c>
      <c r="S24" s="314">
        <f>SUM(C24:R24)</f>
        <v>3605617.7</v>
      </c>
    </row>
    <row r="25">
      <c r="B25" s="30" t="inlineStr">
        <is>
          <t>Efetivo previsto: pico do mês (pessoas)</t>
        </is>
      </c>
      <c r="C25" s="317" t="n">
        <v>4</v>
      </c>
      <c r="D25" s="317" t="n">
        <v>11.31</v>
      </c>
      <c r="E25" s="317" t="n">
        <v>11.31</v>
      </c>
      <c r="F25" s="317" t="n">
        <v>11.31</v>
      </c>
      <c r="G25" s="317" t="n">
        <v>7.31</v>
      </c>
      <c r="H25" s="317" t="n">
        <v>7.31</v>
      </c>
      <c r="I25" s="317" t="n">
        <v>7.31</v>
      </c>
      <c r="J25" s="317" t="n">
        <v>7.31</v>
      </c>
      <c r="K25" s="317" t="n">
        <v>4</v>
      </c>
      <c r="L25" s="317" t="n">
        <v>0</v>
      </c>
      <c r="M25" s="317" t="n">
        <v>0</v>
      </c>
      <c r="N25" s="317" t="n">
        <v>0</v>
      </c>
      <c r="O25" s="317" t="n">
        <v>0</v>
      </c>
      <c r="P25" s="317" t="n">
        <v>0</v>
      </c>
      <c r="Q25" s="317" t="n">
        <v>0</v>
      </c>
      <c r="R25" s="317" t="n">
        <v>0</v>
      </c>
      <c r="S25" s="318">
        <f>MAX(C25:R25)</f>
        <v>11.31</v>
      </c>
    </row>
    <row r="26">
      <c r="B26" s="30" t="inlineStr">
        <is>
          <t>Efetivo previsto: média do mês (pessoas)</t>
        </is>
      </c>
      <c r="C26" s="317" t="n">
        <v>4</v>
      </c>
      <c r="D26" s="317" t="n">
        <v>11.31</v>
      </c>
      <c r="E26" s="317" t="n">
        <v>11.31</v>
      </c>
      <c r="F26" s="317" t="n">
        <v>7.67</v>
      </c>
      <c r="G26" s="317" t="n">
        <v>7.31</v>
      </c>
      <c r="H26" s="317" t="n">
        <v>7.31</v>
      </c>
      <c r="I26" s="317" t="n">
        <v>7.31</v>
      </c>
      <c r="J26" s="317" t="n">
        <v>4.47</v>
      </c>
      <c r="K26" s="317" t="n">
        <v>2.4</v>
      </c>
      <c r="L26" s="317" t="n">
        <v>0</v>
      </c>
      <c r="M26" s="317" t="n">
        <v>0</v>
      </c>
      <c r="N26" s="317" t="n">
        <v>0</v>
      </c>
      <c r="O26" s="317" t="n">
        <v>0</v>
      </c>
      <c r="P26" s="317" t="n">
        <v>0</v>
      </c>
      <c r="Q26" s="317" t="n">
        <v>0</v>
      </c>
      <c r="R26" s="317" t="n">
        <v>0</v>
      </c>
      <c r="S26" s="318">
        <f>MAX(C26:R26)</f>
        <v>11.31</v>
      </c>
    </row>
    <row r="27"/>
    <row r="28">
      <c r="A28" s="10" t="inlineStr">
        <is>
          <t>RESULTADO PREVISTO (342: FLUXO PROJETADO TAF sobre as linhas 6 a 11, estudo em uso na linha 38; 343: custo do motor, abas 09 e 20; 281: sem orçamento de custo, amarelo = falta dado)</t>
        </is>
      </c>
      <c r="B28" s="11" t="n"/>
      <c r="C28" s="11" t="n"/>
      <c r="D28" s="11" t="n"/>
      <c r="E28" s="11" t="n"/>
      <c r="F28" s="11" t="n"/>
      <c r="G28" s="11" t="n"/>
      <c r="H28" s="11" t="n"/>
      <c r="I28" s="11" t="n"/>
      <c r="J28" s="11" t="n"/>
      <c r="K28" s="11" t="n"/>
      <c r="L28" s="11" t="n"/>
      <c r="M28" s="11" t="n"/>
      <c r="N28" s="11" t="n"/>
      <c r="O28" s="11" t="n"/>
      <c r="P28" s="11" t="n"/>
      <c r="Q28" s="11" t="n"/>
      <c r="R28" s="11" t="n"/>
      <c r="S28" s="11" t="n"/>
    </row>
    <row r="29" ht="30" customHeight="1" s="71">
      <c r="A29" s="23" t="n"/>
      <c r="B29" s="23" t="inlineStr">
        <is>
          <t>LINHA</t>
        </is>
      </c>
      <c r="C29" s="23" t="inlineStr">
        <is>
          <t>342</t>
        </is>
      </c>
      <c r="D29" s="23" t="inlineStr">
        <is>
          <t>343</t>
        </is>
      </c>
      <c r="E29" s="23" t="inlineStr">
        <is>
          <t>281</t>
        </is>
      </c>
    </row>
    <row r="30">
      <c r="B30" s="5" t="inlineStr">
        <is>
          <t>Custo total previsto (C)</t>
        </is>
      </c>
      <c r="C30" s="297">
        <f>'FLUXO PROJETADO TAF'!$S$32</f>
        <v>3212459.22</v>
      </c>
      <c r="D30" s="313" t="n">
        <v>3702036.000448842</v>
      </c>
      <c r="E30" s="319" t="n"/>
    </row>
    <row r="31">
      <c r="B31" s="5" t="inlineStr">
        <is>
          <t>O estudo interno estima resultado (após tributos, antes da administração central; 342 antes da antecipação e do juro; 343 = contrato líquido − custo do motor (D30), sem o custo financeiro estimado pelo motor, R$ 109.210, aba 09 C10, que daria R$ 971.124)</t>
        </is>
      </c>
      <c r="C31" s="297">
        <f>'FLUXO PROJETADO TAF'!$C$19</f>
        <v>-231415.9929</v>
      </c>
      <c r="D31" s="315">
        <f>'03. CONTRATOS'!$D$8*(1-'02. PARÂMETROS'!$G$6-'02. PARÂMETROS'!$B$7)-D30</f>
        <v>1080334.13700116</v>
      </c>
      <c r="E31" s="313">
        <f>IF(N(E30)=0,"",'03. CONTRATOS'!$F$8*(1-'02. PARÂMETROS'!$H$6-'02. PARÂMETROS'!$B$7)-E30)</f>
      </c>
    </row>
    <row r="32">
      <c r="B32" s="5" t="inlineStr">
        <is>
          <t>Margem sobre a receita líquida</t>
        </is>
      </c>
      <c r="C32" s="320">
        <f>IFERROR(C31/('03. CONTRATOS'!$B$8*(1-'02. PARÂMETROS'!$F$6-'02. PARÂMETROS'!$B$7)),0)</f>
        <v>-0.0776285001358573</v>
      </c>
      <c r="D32" s="320">
        <f>IFERROR(D31/('03. CONTRATOS'!$D$8*(1-'02. PARÂMETROS'!$G$6-'02. PARÂMETROS'!$B$7)),0)</f>
        <v>0.225899314764708</v>
      </c>
      <c r="E32" s="320" t="str">
        <f>IF(N(E30)=0,"sem orçamento de custo",IFERROR(E31/('03. CONTRATOS'!$F$8*(1-'02. PARÂMETROS'!$H$6-'02. PARÂMETROS'!$B$7)),0))</f>
        <v>sem orçamento de custo</v>
      </c>
    </row>
    <row r="33">
      <c r="B33" s="5" t="inlineStr">
        <is>
          <t>Capital de giro recomendado (regra única: pior saldo do FLUXO × fator da 02 B13)</t>
        </is>
      </c>
      <c r="C33" s="313">
        <f>'FLUXO PROJETADO TAF'!C16</f>
        <v>1323813.169935</v>
      </c>
      <c r="D33" s="313">
        <f>'FLUXO PROJETADO TAF'!D16</f>
        <v>1611524.463</v>
      </c>
      <c r="E33" s="313" t="inlineStr">
        <is>
          <t>SEM BASE</t>
        </is>
      </c>
    </row>
    <row r="34">
      <c r="B34" s="5" t="inlineStr">
        <is>
          <t>Mês do pior saldo do FLUXO (1 = set/26)</t>
        </is>
      </c>
      <c r="C34" s="42">
        <f>(YEAR('FLUXO PROJETADO TAF'!C15)-2026)*12+MONTH('FLUXO PROJETADO TAF'!C15)-8</f>
        <v>6</v>
      </c>
      <c r="D34" s="42">
        <f>(YEAR('FLUXO PROJETADO TAF'!D15)-2026)*12+MONTH('FLUXO PROJETADO TAF'!D15)-8</f>
        <v>3</v>
      </c>
      <c r="E34" s="42" t="n"/>
    </row>
    <row r="35">
      <c r="B35" s="5" t="inlineStr">
        <is>
          <t>Pico de pessoas num dia</t>
        </is>
      </c>
      <c r="C35" s="317" t="n">
        <v>43</v>
      </c>
      <c r="D35" s="317" t="n">
        <v>11.3108</v>
      </c>
      <c r="E35" s="317" t="n"/>
    </row>
    <row r="36" ht="30" customHeight="1" s="71">
      <c r="B36" s="70" t="inlineStr">
        <is>
          <t>342: custo do plano REV13 (aba 00 linha 18) inclui R$ 992.751 de itens sem cotação da TAF (aba 00 linha 20). Pior ponto do caixa diário: cenário 1 −R$ 1,21 mi em 15/02/2027 (aba 00 linhas 29 e 30). Cenário em uso aqui: 1 (Anexo VII), o que vale enquanto a SANEAGO não aprovar a divisão dos eventos. Material entregue no canteiro não entra: o Edital 002/2025 não prevê (itens 23.2 e 23.3.2). Capital de giro (linha 33): regra única da 02 B13 sobre o pior saldo mensal do FLUXO; a LINHA DE BASE B14 guarda o valor congelado.</t>
        </is>
      </c>
    </row>
    <row r="37">
      <c r="B37" s="230" t="inlineStr">
        <is>
          <t>Parcela do custo sem cotação da TAF (R$, SEM BASE)</t>
        </is>
      </c>
      <c r="C37" s="271" t="n">
        <v>992750.51</v>
      </c>
      <c r="D37" s="321" t="n"/>
      <c r="E37" s="321" t="n"/>
      <c r="G37" s="272" t="inlineStr">
        <is>
          <t>343: cobertura do custo da viabilidade não conferida (amarelo = falta dado).</t>
        </is>
      </c>
    </row>
    <row r="38">
      <c r="B38" s="5" t="inlineStr">
        <is>
          <t>Estudo em uso (342)</t>
        </is>
      </c>
      <c r="C38" s="49" t="inlineStr">
        <is>
          <t>REV13 · 15/10/2026 09:09 · OBRA 342 - ESTUDO DE OBRA (INTERNO) REV13.xlsx (pasta panorama)</t>
        </is>
      </c>
    </row>
    <row r="39"/>
    <row r="40">
      <c r="A40" s="10" t="inlineStr">
        <is>
          <t>OBRA 281 — SANEAGO Mozarlândia (contrato 30000415/2025): cronograma físico-financeiro da SANEAGO</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row>
    <row r="41">
      <c r="B41" s="23" t="inlineStr">
        <is>
          <t>LINHA</t>
        </is>
      </c>
      <c r="C41" s="322" t="n">
        <v>46054</v>
      </c>
      <c r="D41" s="322" t="n">
        <v>46082</v>
      </c>
      <c r="E41" s="322" t="n">
        <v>46113</v>
      </c>
      <c r="F41" s="322" t="n">
        <v>46143</v>
      </c>
      <c r="G41" s="322" t="n">
        <v>46174</v>
      </c>
      <c r="H41" s="322" t="n">
        <v>46204</v>
      </c>
      <c r="I41" s="322" t="n">
        <v>46235</v>
      </c>
      <c r="J41" s="322" t="n">
        <v>46266</v>
      </c>
      <c r="K41" s="322" t="n">
        <v>46296</v>
      </c>
      <c r="L41" s="322" t="n">
        <v>46327</v>
      </c>
      <c r="M41" s="322" t="n">
        <v>46357</v>
      </c>
      <c r="N41" s="322" t="n">
        <v>46388</v>
      </c>
      <c r="O41" s="322" t="n">
        <v>46419</v>
      </c>
      <c r="P41" s="322" t="n">
        <v>46447</v>
      </c>
      <c r="Q41" s="322" t="n">
        <v>46478</v>
      </c>
      <c r="R41" s="322" t="n">
        <v>46508</v>
      </c>
      <c r="S41" s="322" t="n">
        <v>46539</v>
      </c>
      <c r="T41" s="322" t="n">
        <v>46569</v>
      </c>
      <c r="U41" s="322" t="n">
        <v>46600</v>
      </c>
      <c r="V41" s="322" t="n">
        <v>46631</v>
      </c>
      <c r="W41" s="322" t="n">
        <v>46661</v>
      </c>
      <c r="X41" s="322" t="n">
        <v>46692</v>
      </c>
      <c r="Y41" s="322" t="n">
        <v>46722</v>
      </c>
      <c r="Z41" s="322" t="n">
        <v>46753</v>
      </c>
      <c r="AA41" s="23" t="inlineStr">
        <is>
          <t>TOTAL</t>
        </is>
      </c>
    </row>
    <row r="42">
      <c r="B42" s="5" t="inlineStr">
        <is>
          <t>Medição prevista (R$, cronograma FF da SANEAGO; o BM entra no mês em que fecha)</t>
        </is>
      </c>
      <c r="C42" s="313" t="n">
        <v>0</v>
      </c>
      <c r="D42" s="313" t="n">
        <v>7594.71</v>
      </c>
      <c r="E42" s="313" t="n">
        <v>140758.99</v>
      </c>
      <c r="F42" s="313" t="n">
        <v>145904.15</v>
      </c>
      <c r="G42" s="313" t="n">
        <v>1553297.08</v>
      </c>
      <c r="H42" s="313" t="n">
        <v>1405499.83</v>
      </c>
      <c r="I42" s="313" t="n">
        <v>1319194.39</v>
      </c>
      <c r="J42" s="313" t="n">
        <v>1603211.27</v>
      </c>
      <c r="K42" s="313" t="n">
        <v>1435258.88</v>
      </c>
      <c r="L42" s="313" t="n">
        <v>1070804.79</v>
      </c>
      <c r="M42" s="313" t="n">
        <v>845745.6800000001</v>
      </c>
      <c r="N42" s="313" t="n">
        <v>2494555.12</v>
      </c>
      <c r="O42" s="313" t="n">
        <v>301047.31</v>
      </c>
      <c r="P42" s="313" t="n">
        <v>2720626.42</v>
      </c>
      <c r="Q42" s="313" t="n">
        <v>510634.27</v>
      </c>
      <c r="R42" s="313" t="n">
        <v>624602.79</v>
      </c>
      <c r="S42" s="323" t="n">
        <v>120120.76</v>
      </c>
      <c r="T42" s="323" t="n">
        <v>105394.26</v>
      </c>
      <c r="U42" s="323" t="n">
        <v>16822.25</v>
      </c>
      <c r="V42" s="323" t="n">
        <v>14945.73</v>
      </c>
      <c r="W42" s="323" t="n">
        <v>578084.05</v>
      </c>
      <c r="X42" s="323" t="n">
        <v>105913.01</v>
      </c>
      <c r="Y42" s="323" t="n">
        <v>0</v>
      </c>
      <c r="Z42" s="323" t="n">
        <v>0</v>
      </c>
      <c r="AA42" s="314">
        <f>SUM(C42:Z42)</f>
        <v>17120015.74</v>
      </c>
    </row>
    <row r="43">
      <c r="B43" s="5" t="inlineStr">
        <is>
          <t>Recebimento previsto (R$, bruto): BM do mês m entra no mês m+2 (NF no início do mês seguinte, paga 30 dias após o ateste, sem antecipação)</t>
        </is>
      </c>
      <c r="C43" s="315" t="n">
        <v>0</v>
      </c>
      <c r="D43" s="315" t="n">
        <v>0</v>
      </c>
      <c r="E43" s="315">
        <f>C42</f>
        <v>0</v>
      </c>
      <c r="F43" s="315">
        <f>D42</f>
        <v>7594.71</v>
      </c>
      <c r="G43" s="315">
        <f>E42</f>
        <v>140758.99</v>
      </c>
      <c r="H43" s="315">
        <f>F42</f>
        <v>145904.15</v>
      </c>
      <c r="I43" s="315">
        <f>G42</f>
        <v>1553297.08</v>
      </c>
      <c r="J43" s="315">
        <f>H42</f>
        <v>1405499.83</v>
      </c>
      <c r="K43" s="315">
        <f>I42</f>
        <v>1319194.39</v>
      </c>
      <c r="L43" s="315">
        <f>J42</f>
        <v>1603211.27</v>
      </c>
      <c r="M43" s="315">
        <f>K42</f>
        <v>1435258.88</v>
      </c>
      <c r="N43" s="315">
        <f>L42</f>
        <v>1070804.79</v>
      </c>
      <c r="O43" s="315">
        <f>M42</f>
        <v>845745.68</v>
      </c>
      <c r="P43" s="315">
        <f>N42</f>
        <v>2494555.12</v>
      </c>
      <c r="Q43" s="315">
        <f>O42</f>
        <v>301047.31</v>
      </c>
      <c r="R43" s="315">
        <f>P42</f>
        <v>2720626.42</v>
      </c>
      <c r="S43" s="324">
        <f>Q42</f>
        <v>510634.27</v>
      </c>
      <c r="T43" s="324">
        <f>R42</f>
        <v>624602.79</v>
      </c>
      <c r="U43" s="324">
        <f>S42</f>
        <v>120120.76</v>
      </c>
      <c r="V43" s="324">
        <f>T42</f>
        <v>105394.26</v>
      </c>
      <c r="W43" s="324">
        <f>U42</f>
        <v>16822.25</v>
      </c>
      <c r="X43" s="324">
        <f>V42</f>
        <v>14945.73</v>
      </c>
      <c r="Y43" s="324">
        <f>W42</f>
        <v>578084.05</v>
      </c>
      <c r="Z43" s="324">
        <f>X42</f>
        <v>105913.01</v>
      </c>
      <c r="AA43" s="314">
        <f>SUM(C43:Z43)</f>
        <v>17120015.74</v>
      </c>
    </row>
    <row r="44">
      <c r="B44" s="5" t="inlineStr">
        <is>
          <t>Medição prevista acumulada (R$)</t>
        </is>
      </c>
      <c r="C44" s="315">
        <f>SUM($C42:C42)</f>
        <v>0</v>
      </c>
      <c r="D44" s="315">
        <f>SUM($C42:D42)</f>
        <v>7594.71</v>
      </c>
      <c r="E44" s="315">
        <f>SUM($C42:E42)</f>
        <v>148353.7</v>
      </c>
      <c r="F44" s="315">
        <f>SUM($C42:F42)</f>
        <v>294257.85</v>
      </c>
      <c r="G44" s="315">
        <f>SUM($C42:G42)</f>
        <v>1847554.93</v>
      </c>
      <c r="H44" s="315">
        <f>SUM($C42:H42)</f>
        <v>3253054.76</v>
      </c>
      <c r="I44" s="315">
        <f>SUM($C42:I42)</f>
        <v>4572249.15</v>
      </c>
      <c r="J44" s="315">
        <f>SUM($C42:J42)</f>
        <v>6175460.42</v>
      </c>
      <c r="K44" s="315">
        <f>SUM($C42:K42)</f>
        <v>7610719.3</v>
      </c>
      <c r="L44" s="315">
        <f>SUM($C42:L42)</f>
        <v>8681524.09</v>
      </c>
      <c r="M44" s="315">
        <f>SUM($C42:M42)</f>
        <v>9527269.77</v>
      </c>
      <c r="N44" s="315">
        <f>SUM($C42:N42)</f>
        <v>12021824.89</v>
      </c>
      <c r="O44" s="315">
        <f>SUM($C42:O42)</f>
        <v>12322872.2</v>
      </c>
      <c r="P44" s="315">
        <f>SUM($C42:P42)</f>
        <v>15043498.62</v>
      </c>
      <c r="Q44" s="315">
        <f>SUM($C42:Q42)</f>
        <v>15554132.89</v>
      </c>
      <c r="R44" s="315">
        <f>SUM($C42:R42)</f>
        <v>16178735.68</v>
      </c>
      <c r="S44" s="324">
        <f>SUM($C42:S42)</f>
        <v>16298856.44</v>
      </c>
      <c r="T44" s="324">
        <f>SUM($C42:T42)</f>
        <v>16404250.7</v>
      </c>
      <c r="U44" s="324">
        <f>SUM($C42:U42)</f>
        <v>16421072.95</v>
      </c>
      <c r="V44" s="324">
        <f>SUM($C42:V42)</f>
        <v>16436018.68</v>
      </c>
      <c r="W44" s="324">
        <f>SUM($C42:W42)</f>
        <v>17014102.73</v>
      </c>
      <c r="X44" s="324">
        <f>SUM($C42:X42)</f>
        <v>17120015.74</v>
      </c>
      <c r="Y44" s="324">
        <f>SUM($C42:Y42)</f>
        <v>17120015.74</v>
      </c>
      <c r="Z44" s="324">
        <f>SUM($C42:Z42)</f>
        <v>17120015.74</v>
      </c>
      <c r="AA44" s="314" t="n"/>
    </row>
    <row r="45">
      <c r="B45" s="5" t="inlineStr">
        <is>
          <t>Medição prevista acumulada (% do contrato)</t>
        </is>
      </c>
      <c r="C45" s="320">
        <f>IFERROR(C44/'03. CONTRATOS'!$F$8,0)</f>
        <v>0</v>
      </c>
      <c r="D45" s="320">
        <f>IFERROR(D44/'03. CONTRATOS'!$F$8,0)</f>
        <v>0.000443615830460679</v>
      </c>
      <c r="E45" s="320">
        <f>IFERROR(E44/'03. CONTRATOS'!$F$8,0)</f>
        <v>0.00866551189280624</v>
      </c>
      <c r="F45" s="320">
        <f>IFERROR(F44/'03. CONTRATOS'!$F$8,0)</f>
        <v>0.0171879427255714</v>
      </c>
      <c r="G45" s="320">
        <f>IFERROR(G44/'03. CONTRATOS'!$F$8,0)</f>
        <v>0.107917828935361</v>
      </c>
      <c r="H45" s="320">
        <f>IFERROR(H44/'03. CONTRATOS'!$F$8,0)</f>
        <v>0.190014706143021</v>
      </c>
      <c r="I45" s="320">
        <f>IFERROR(I44/'03. CONTRATOS'!$F$8,0)</f>
        <v>0.267070382378048</v>
      </c>
      <c r="J45" s="320">
        <f>IFERROR(J44/'03. CONTRATOS'!$F$8,0)</f>
        <v>0.360715814388615</v>
      </c>
      <c r="K45" s="320">
        <f>IFERROR(K44/'03. CONTRATOS'!$F$8,0)</f>
        <v>0.444550952264487</v>
      </c>
      <c r="L45" s="320">
        <f>IFERROR(L44/'03. CONTRATOS'!$F$8,0)</f>
        <v>0.50709790352097</v>
      </c>
      <c r="M45" s="320">
        <f>IFERROR(M44/'03. CONTRATOS'!$F$8,0)</f>
        <v>0.556498890812352</v>
      </c>
      <c r="N45" s="320">
        <f>IFERROR(N44/'03. CONTRATOS'!$F$8,0)</f>
        <v>0.702208752174897</v>
      </c>
      <c r="O45" s="320">
        <f>IFERROR(O44/'03. CONTRATOS'!$F$8,0)</f>
        <v>0.719793275143333</v>
      </c>
      <c r="P45" s="320">
        <f>IFERROR(P44/'03. CONTRATOS'!$F$8,0)</f>
        <v>0.878708223664285</v>
      </c>
      <c r="Q45" s="320">
        <f>IFERROR(Q44/'03. CONTRATOS'!$F$8,0)</f>
        <v>0.908534964349279</v>
      </c>
      <c r="R45" s="320">
        <f>IFERROR(R44/'03. CONTRATOS'!$F$8,0)</f>
        <v>0.945018738633473</v>
      </c>
      <c r="S45" s="325">
        <f>IFERROR(S44/'03. CONTRATOS'!$F$8,0)</f>
        <v>0.952035131715364</v>
      </c>
      <c r="T45" s="325">
        <f>IFERROR(T44/'03. CONTRATOS'!$F$8,0)</f>
        <v>0.9581913328311</v>
      </c>
      <c r="U45" s="325">
        <f>IFERROR(U44/'03. CONTRATOS'!$F$8,0)</f>
        <v>0.959173939988445</v>
      </c>
      <c r="V45" s="325">
        <f>IFERROR(V44/'03. CONTRATOS'!$F$8,0)</f>
        <v>0.960046937433482</v>
      </c>
      <c r="W45" s="325">
        <f>IFERROR(W44/'03. CONTRATOS'!$F$8,0)</f>
        <v>0.993813498094366</v>
      </c>
      <c r="X45" s="325">
        <f>IFERROR(X44/'03. CONTRATOS'!$F$8,0)</f>
        <v>1</v>
      </c>
      <c r="Y45" s="325">
        <f>IFERROR(Y44/'03. CONTRATOS'!$F$8,0)</f>
        <v>1</v>
      </c>
      <c r="Z45" s="325">
        <f>IFERROR(Z44/'03. CONTRATOS'!$F$8,0)</f>
        <v>1</v>
      </c>
      <c r="AA45" s="314" t="n"/>
    </row>
    <row r="46">
      <c r="B46" s="5" t="inlineStr">
        <is>
          <t>Medição aprovada (R$, 06: BM APROVADO, FATURADO ou RECEBIDO, pelo mês de referência)</t>
        </is>
      </c>
      <c r="C46" s="315">
        <f>SUM(SUMIFS('06. MEDIÇÃO (BM)'!$G$5:$G$44,'06. MEDIÇÃO (BM)'!$B$5:$B$44,"281",'06. MEDIÇÃO (BM)'!$D$5:$D$44,"&gt;="&amp;C$41,'06. MEDIÇÃO (BM)'!$D$5:$D$44,"&lt;="&amp;EOMONTH(C$41,0),'06. MEDIÇÃO (BM)'!$F$5:$F$44,{"APROVADO","FATURADO","RECEBIDO"}))</f>
        <v>0</v>
      </c>
      <c r="D46" s="315">
        <f>SUM(SUMIFS('06. MEDIÇÃO (BM)'!$G$5:$G$44,'06. MEDIÇÃO (BM)'!$B$5:$B$44,"281",'06. MEDIÇÃO (BM)'!$D$5:$D$44,"&gt;="&amp;D$41,'06. MEDIÇÃO (BM)'!$D$5:$D$44,"&lt;="&amp;EOMONTH(D$41,0),'06. MEDIÇÃO (BM)'!$F$5:$F$44,{"APROVADO","FATURADO","RECEBIDO"}))</f>
        <v>14602.5</v>
      </c>
      <c r="E46" s="315">
        <f>SUM(SUMIFS('06. MEDIÇÃO (BM)'!$G$5:$G$44,'06. MEDIÇÃO (BM)'!$B$5:$B$44,"281",'06. MEDIÇÃO (BM)'!$D$5:$D$44,"&gt;="&amp;E$41,'06. MEDIÇÃO (BM)'!$D$5:$D$44,"&lt;="&amp;EOMONTH(E$41,0),'06. MEDIÇÃO (BM)'!$F$5:$F$44,{"APROVADO","FATURADO","RECEBIDO"}))</f>
        <v>551484.48</v>
      </c>
      <c r="F46" s="315">
        <f>SUM(SUMIFS('06. MEDIÇÃO (BM)'!$G$5:$G$44,'06. MEDIÇÃO (BM)'!$B$5:$B$44,"281",'06. MEDIÇÃO (BM)'!$D$5:$D$44,"&gt;="&amp;F$41,'06. MEDIÇÃO (BM)'!$D$5:$D$44,"&lt;="&amp;EOMONTH(F$41,0),'06. MEDIÇÃO (BM)'!$F$5:$F$44,{"APROVADO","FATURADO","RECEBIDO"}))</f>
        <v>881159.29</v>
      </c>
      <c r="G46" s="315">
        <f>SUM(SUMIFS('06. MEDIÇÃO (BM)'!$G$5:$G$44,'06. MEDIÇÃO (BM)'!$B$5:$B$44,"281",'06. MEDIÇÃO (BM)'!$D$5:$D$44,"&gt;="&amp;G$41,'06. MEDIÇÃO (BM)'!$D$5:$D$44,"&lt;="&amp;EOMONTH(G$41,0),'06. MEDIÇÃO (BM)'!$F$5:$F$44,{"APROVADO","FATURADO","RECEBIDO"}))</f>
        <v>645173.45</v>
      </c>
      <c r="H46" s="315">
        <f>SUM(SUMIFS('06. MEDIÇÃO (BM)'!$G$5:$G$44,'06. MEDIÇÃO (BM)'!$B$5:$B$44,"281",'06. MEDIÇÃO (BM)'!$D$5:$D$44,"&gt;="&amp;H$41,'06. MEDIÇÃO (BM)'!$D$5:$D$44,"&lt;="&amp;EOMONTH(H$41,0),'06. MEDIÇÃO (BM)'!$F$5:$F$44,{"APROVADO","FATURADO","RECEBIDO"}))</f>
        <v>1696031.05</v>
      </c>
      <c r="I46" s="315">
        <f>SUM(SUMIFS('06. MEDIÇÃO (BM)'!$G$5:$G$44,'06. MEDIÇÃO (BM)'!$B$5:$B$44,"281",'06. MEDIÇÃO (BM)'!$D$5:$D$44,"&gt;="&amp;I$41,'06. MEDIÇÃO (BM)'!$D$5:$D$44,"&lt;="&amp;EOMONTH(I$41,0),'06. MEDIÇÃO (BM)'!$F$5:$F$44,{"APROVADO","FATURADO","RECEBIDO"}))</f>
        <v>1931447.54</v>
      </c>
      <c r="J46" s="315">
        <f>SUM(SUMIFS('06. MEDIÇÃO (BM)'!$G$5:$G$44,'06. MEDIÇÃO (BM)'!$B$5:$B$44,"281",'06. MEDIÇÃO (BM)'!$D$5:$D$44,"&gt;="&amp;J$41,'06. MEDIÇÃO (BM)'!$D$5:$D$44,"&lt;="&amp;EOMONTH(J$41,0),'06. MEDIÇÃO (BM)'!$F$5:$F$44,{"APROVADO","FATURADO","RECEBIDO"}))</f>
        <v>0</v>
      </c>
      <c r="K46" s="315">
        <f>SUM(SUMIFS('06. MEDIÇÃO (BM)'!$G$5:$G$44,'06. MEDIÇÃO (BM)'!$B$5:$B$44,"281",'06. MEDIÇÃO (BM)'!$D$5:$D$44,"&gt;="&amp;K$41,'06. MEDIÇÃO (BM)'!$D$5:$D$44,"&lt;="&amp;EOMONTH(K$41,0),'06. MEDIÇÃO (BM)'!$F$5:$F$44,{"APROVADO","FATURADO","RECEBIDO"}))</f>
        <v>0</v>
      </c>
      <c r="L46" s="315">
        <f>SUM(SUMIFS('06. MEDIÇÃO (BM)'!$G$5:$G$44,'06. MEDIÇÃO (BM)'!$B$5:$B$44,"281",'06. MEDIÇÃO (BM)'!$D$5:$D$44,"&gt;="&amp;L$41,'06. MEDIÇÃO (BM)'!$D$5:$D$44,"&lt;="&amp;EOMONTH(L$41,0),'06. MEDIÇÃO (BM)'!$F$5:$F$44,{"APROVADO","FATURADO","RECEBIDO"}))</f>
        <v>0</v>
      </c>
      <c r="M46" s="315">
        <f>SUM(SUMIFS('06. MEDIÇÃO (BM)'!$G$5:$G$44,'06. MEDIÇÃO (BM)'!$B$5:$B$44,"281",'06. MEDIÇÃO (BM)'!$D$5:$D$44,"&gt;="&amp;M$41,'06. MEDIÇÃO (BM)'!$D$5:$D$44,"&lt;="&amp;EOMONTH(M$41,0),'06. MEDIÇÃO (BM)'!$F$5:$F$44,{"APROVADO","FATURADO","RECEBIDO"}))</f>
        <v>0</v>
      </c>
      <c r="N46" s="315">
        <f>SUM(SUMIFS('06. MEDIÇÃO (BM)'!$G$5:$G$44,'06. MEDIÇÃO (BM)'!$B$5:$B$44,"281",'06. MEDIÇÃO (BM)'!$D$5:$D$44,"&gt;="&amp;N$41,'06. MEDIÇÃO (BM)'!$D$5:$D$44,"&lt;="&amp;EOMONTH(N$41,0),'06. MEDIÇÃO (BM)'!$F$5:$F$44,{"APROVADO","FATURADO","RECEBIDO"}))</f>
        <v>0</v>
      </c>
      <c r="O46" s="315">
        <f>SUM(SUMIFS('06. MEDIÇÃO (BM)'!$G$5:$G$44,'06. MEDIÇÃO (BM)'!$B$5:$B$44,"281",'06. MEDIÇÃO (BM)'!$D$5:$D$44,"&gt;="&amp;O$41,'06. MEDIÇÃO (BM)'!$D$5:$D$44,"&lt;="&amp;EOMONTH(O$41,0),'06. MEDIÇÃO (BM)'!$F$5:$F$44,{"APROVADO","FATURADO","RECEBIDO"}))</f>
        <v>0</v>
      </c>
      <c r="P46" s="315">
        <f>SUM(SUMIFS('06. MEDIÇÃO (BM)'!$G$5:$G$44,'06. MEDIÇÃO (BM)'!$B$5:$B$44,"281",'06. MEDIÇÃO (BM)'!$D$5:$D$44,"&gt;="&amp;P$41,'06. MEDIÇÃO (BM)'!$D$5:$D$44,"&lt;="&amp;EOMONTH(P$41,0),'06. MEDIÇÃO (BM)'!$F$5:$F$44,{"APROVADO","FATURADO","RECEBIDO"}))</f>
        <v>0</v>
      </c>
      <c r="Q46" s="315">
        <f>SUM(SUMIFS('06. MEDIÇÃO (BM)'!$G$5:$G$44,'06. MEDIÇÃO (BM)'!$B$5:$B$44,"281",'06. MEDIÇÃO (BM)'!$D$5:$D$44,"&gt;="&amp;Q$41,'06. MEDIÇÃO (BM)'!$D$5:$D$44,"&lt;="&amp;EOMONTH(Q$41,0),'06. MEDIÇÃO (BM)'!$F$5:$F$44,{"APROVADO","FATURADO","RECEBIDO"}))</f>
        <v>0</v>
      </c>
      <c r="R46" s="315">
        <f>SUM(SUMIFS('06. MEDIÇÃO (BM)'!$G$5:$G$44,'06. MEDIÇÃO (BM)'!$B$5:$B$44,"281",'06. MEDIÇÃO (BM)'!$D$5:$D$44,"&gt;="&amp;R$41,'06. MEDIÇÃO (BM)'!$D$5:$D$44,"&lt;="&amp;EOMONTH(R$41,0),'06. MEDIÇÃO (BM)'!$F$5:$F$44,{"APROVADO","FATURADO","RECEBIDO"}))</f>
        <v>0</v>
      </c>
      <c r="S46" s="324">
        <f>SUM(SUMIFS('06. MEDIÇÃO (BM)'!$G$5:$G$44,'06. MEDIÇÃO (BM)'!$B$5:$B$44,"281",'06. MEDIÇÃO (BM)'!$D$5:$D$44,"&gt;="&amp;S$41,'06. MEDIÇÃO (BM)'!$D$5:$D$44,"&lt;="&amp;EOMONTH(S$41,0),'06. MEDIÇÃO (BM)'!$F$5:$F$44,{"APROVADO","FATURADO","RECEBIDO"}))</f>
        <v>0</v>
      </c>
      <c r="T46" s="324">
        <f>SUM(SUMIFS('06. MEDIÇÃO (BM)'!$G$5:$G$44,'06. MEDIÇÃO (BM)'!$B$5:$B$44,"281",'06. MEDIÇÃO (BM)'!$D$5:$D$44,"&gt;="&amp;T$41,'06. MEDIÇÃO (BM)'!$D$5:$D$44,"&lt;="&amp;EOMONTH(T$41,0),'06. MEDIÇÃO (BM)'!$F$5:$F$44,{"APROVADO","FATURADO","RECEBIDO"}))</f>
        <v>0</v>
      </c>
      <c r="U46" s="324">
        <f>SUM(SUMIFS('06. MEDIÇÃO (BM)'!$G$5:$G$44,'06. MEDIÇÃO (BM)'!$B$5:$B$44,"281",'06. MEDIÇÃO (BM)'!$D$5:$D$44,"&gt;="&amp;U$41,'06. MEDIÇÃO (BM)'!$D$5:$D$44,"&lt;="&amp;EOMONTH(U$41,0),'06. MEDIÇÃO (BM)'!$F$5:$F$44,{"APROVADO","FATURADO","RECEBIDO"}))</f>
        <v>0</v>
      </c>
      <c r="V46" s="324">
        <f>SUM(SUMIFS('06. MEDIÇÃO (BM)'!$G$5:$G$44,'06. MEDIÇÃO (BM)'!$B$5:$B$44,"281",'06. MEDIÇÃO (BM)'!$D$5:$D$44,"&gt;="&amp;V$41,'06. MEDIÇÃO (BM)'!$D$5:$D$44,"&lt;="&amp;EOMONTH(V$41,0),'06. MEDIÇÃO (BM)'!$F$5:$F$44,{"APROVADO","FATURADO","RECEBIDO"}))</f>
        <v>0</v>
      </c>
      <c r="W46" s="324">
        <f>SUM(SUMIFS('06. MEDIÇÃO (BM)'!$G$5:$G$44,'06. MEDIÇÃO (BM)'!$B$5:$B$44,"281",'06. MEDIÇÃO (BM)'!$D$5:$D$44,"&gt;="&amp;W$41,'06. MEDIÇÃO (BM)'!$D$5:$D$44,"&lt;="&amp;EOMONTH(W$41,0),'06. MEDIÇÃO (BM)'!$F$5:$F$44,{"APROVADO","FATURADO","RECEBIDO"}))</f>
        <v>0</v>
      </c>
      <c r="X46" s="324">
        <f>SUM(SUMIFS('06. MEDIÇÃO (BM)'!$G$5:$G$44,'06. MEDIÇÃO (BM)'!$B$5:$B$44,"281",'06. MEDIÇÃO (BM)'!$D$5:$D$44,"&gt;="&amp;X$41,'06. MEDIÇÃO (BM)'!$D$5:$D$44,"&lt;="&amp;EOMONTH(X$41,0),'06. MEDIÇÃO (BM)'!$F$5:$F$44,{"APROVADO","FATURADO","RECEBIDO"}))</f>
        <v>0</v>
      </c>
      <c r="Y46" s="324">
        <f>SUM(SUMIFS('06. MEDIÇÃO (BM)'!$G$5:$G$44,'06. MEDIÇÃO (BM)'!$B$5:$B$44,"281",'06. MEDIÇÃO (BM)'!$D$5:$D$44,"&gt;="&amp;Y$41,'06. MEDIÇÃO (BM)'!$D$5:$D$44,"&lt;="&amp;EOMONTH(Y$41,0),'06. MEDIÇÃO (BM)'!$F$5:$F$44,{"APROVADO","FATURADO","RECEBIDO"}))</f>
        <v>0</v>
      </c>
      <c r="Z46" s="324">
        <f>SUM(SUMIFS('06. MEDIÇÃO (BM)'!$G$5:$G$44,'06. MEDIÇÃO (BM)'!$B$5:$B$44,"281",'06. MEDIÇÃO (BM)'!$D$5:$D$44,"&gt;="&amp;Z$41,'06. MEDIÇÃO (BM)'!$D$5:$D$44,"&lt;="&amp;EOMONTH(Z$41,0),'06. MEDIÇÃO (BM)'!$F$5:$F$44,{"APROVADO","FATURADO","RECEBIDO"}))</f>
        <v>0</v>
      </c>
      <c r="AA46" s="314">
        <f>SUM(C46:Z46)</f>
        <v>5719898.31</v>
      </c>
    </row>
    <row r="47">
      <c r="B47" s="5" t="inlineStr">
        <is>
          <t>Medição aprovada acumulada (R$)</t>
        </is>
      </c>
      <c r="C47" s="315">
        <f>SUM($C46:C46)</f>
        <v>0</v>
      </c>
      <c r="D47" s="315">
        <f>SUM($C46:D46)</f>
        <v>14602.5</v>
      </c>
      <c r="E47" s="315">
        <f>SUM($C46:E46)</f>
        <v>566086.98</v>
      </c>
      <c r="F47" s="315">
        <f>SUM($C46:F46)</f>
        <v>1447246.27</v>
      </c>
      <c r="G47" s="315">
        <f>SUM($C46:G46)</f>
        <v>2092419.72</v>
      </c>
      <c r="H47" s="315">
        <f>SUM($C46:H46)</f>
        <v>3788450.77</v>
      </c>
      <c r="I47" s="315">
        <f>SUM($C46:I46)</f>
        <v>5719898.31</v>
      </c>
      <c r="J47" s="315">
        <f>SUM($C46:J46)</f>
        <v>5719898.31</v>
      </c>
      <c r="K47" s="315">
        <f>SUM($C46:K46)</f>
        <v>5719898.31</v>
      </c>
      <c r="L47" s="315">
        <f>SUM($C46:L46)</f>
        <v>5719898.31</v>
      </c>
      <c r="M47" s="315">
        <f>SUM($C46:M46)</f>
        <v>5719898.31</v>
      </c>
      <c r="N47" s="315">
        <f>SUM($C46:N46)</f>
        <v>5719898.31</v>
      </c>
      <c r="O47" s="315">
        <f>SUM($C46:O46)</f>
        <v>5719898.31</v>
      </c>
      <c r="P47" s="315">
        <f>SUM($C46:P46)</f>
        <v>5719898.31</v>
      </c>
      <c r="Q47" s="315">
        <f>SUM($C46:Q46)</f>
        <v>5719898.31</v>
      </c>
      <c r="R47" s="315">
        <f>SUM($C46:R46)</f>
        <v>5719898.31</v>
      </c>
      <c r="S47" s="324">
        <f>SUM($C46:S46)</f>
        <v>5719898.31</v>
      </c>
      <c r="T47" s="324">
        <f>SUM($C46:T46)</f>
        <v>5719898.31</v>
      </c>
      <c r="U47" s="324">
        <f>SUM($C46:U46)</f>
        <v>5719898.31</v>
      </c>
      <c r="V47" s="324">
        <f>SUM($C46:V46)</f>
        <v>5719898.31</v>
      </c>
      <c r="W47" s="324">
        <f>SUM($C46:W46)</f>
        <v>5719898.31</v>
      </c>
      <c r="X47" s="324">
        <f>SUM($C46:X46)</f>
        <v>5719898.31</v>
      </c>
      <c r="Y47" s="324">
        <f>SUM($C46:Y46)</f>
        <v>5719898.31</v>
      </c>
      <c r="Z47" s="324">
        <f>SUM($C46:Z46)</f>
        <v>5719898.31</v>
      </c>
      <c r="AA47" s="314" t="n"/>
    </row>
    <row r="48">
      <c r="B48" s="5" t="inlineStr">
        <is>
          <t>Custo previsto (R$): SEM BASE, a obra ainda não tem orçamento de custo</t>
        </is>
      </c>
      <c r="C48" s="315" t="n"/>
      <c r="D48" s="315" t="n"/>
      <c r="E48" s="315" t="n"/>
      <c r="F48" s="315" t="n"/>
      <c r="G48" s="315" t="n"/>
      <c r="H48" s="315" t="n"/>
      <c r="I48" s="315" t="n"/>
      <c r="J48" s="315" t="n"/>
      <c r="K48" s="315" t="n"/>
      <c r="L48" s="315" t="n"/>
      <c r="M48" s="315" t="n"/>
      <c r="N48" s="315" t="n"/>
      <c r="O48" s="315" t="n"/>
      <c r="P48" s="315" t="n"/>
      <c r="Q48" s="315" t="n"/>
      <c r="R48" s="315" t="n"/>
      <c r="S48" s="324" t="n"/>
      <c r="T48" s="324" t="n"/>
      <c r="U48" s="324" t="n"/>
      <c r="V48" s="324" t="n"/>
      <c r="W48" s="324" t="n"/>
      <c r="X48" s="324" t="n"/>
      <c r="Y48" s="324" t="n"/>
      <c r="Z48" s="324" t="n"/>
      <c r="AA48" s="314" t="n"/>
    </row>
    <row r="49">
      <c r="B49" s="5" t="inlineStr">
        <is>
          <t>Custo lançado (R$, 08, mês de vencimento; fev/26 inclui dez/25 e jan/26)</t>
        </is>
      </c>
      <c r="C49" s="315">
        <f>SUMIFS('08. CUSTOS'!$F$5:$F$404,'08. CUSTOS'!$C$5:$C$404,"281",'08. CUSTOS'!$B$5:$B$404,"&lt;="&amp;EOMONTH(C$41,0))</f>
        <v>98139.83</v>
      </c>
      <c r="D49" s="315">
        <f>SUMIFS('08. CUSTOS'!$F$5:$F$404,'08. CUSTOS'!$C$5:$C$404,"281",'08. CUSTOS'!$B$5:$B$404,"&gt;="&amp;D$41,'08. CUSTOS'!$B$5:$B$404,"&lt;="&amp;EOMONTH(D$41,0))</f>
        <v>214440.14</v>
      </c>
      <c r="E49" s="315">
        <f>SUMIFS('08. CUSTOS'!$F$5:$F$404,'08. CUSTOS'!$C$5:$C$404,"281",'08. CUSTOS'!$B$5:$B$404,"&gt;="&amp;E$41,'08. CUSTOS'!$B$5:$B$404,"&lt;="&amp;EOMONTH(E$41,0))</f>
        <v>465704.3</v>
      </c>
      <c r="F49" s="315">
        <f>SUMIFS('08. CUSTOS'!$F$5:$F$404,'08. CUSTOS'!$C$5:$C$404,"281",'08. CUSTOS'!$B$5:$B$404,"&gt;="&amp;F$41,'08. CUSTOS'!$B$5:$B$404,"&lt;="&amp;EOMONTH(F$41,0))</f>
        <v>325269.1</v>
      </c>
      <c r="G49" s="315">
        <f>SUMIFS('08. CUSTOS'!$F$5:$F$404,'08. CUSTOS'!$C$5:$C$404,"281",'08. CUSTOS'!$B$5:$B$404,"&gt;="&amp;G$41,'08. CUSTOS'!$B$5:$B$404,"&lt;="&amp;EOMONTH(G$41,0))</f>
        <v>0</v>
      </c>
      <c r="H49" s="315">
        <f>SUMIFS('08. CUSTOS'!$F$5:$F$404,'08. CUSTOS'!$C$5:$C$404,"281",'08. CUSTOS'!$B$5:$B$404,"&gt;="&amp;H$41,'08. CUSTOS'!$B$5:$B$404,"&lt;="&amp;EOMONTH(H$41,0))</f>
        <v>0</v>
      </c>
      <c r="I49" s="315">
        <f>SUMIFS('08. CUSTOS'!$F$5:$F$404,'08. CUSTOS'!$C$5:$C$404,"281",'08. CUSTOS'!$B$5:$B$404,"&gt;="&amp;I$41,'08. CUSTOS'!$B$5:$B$404,"&lt;="&amp;EOMONTH(I$41,0))</f>
        <v>0</v>
      </c>
      <c r="J49" s="315">
        <f>SUMIFS('08. CUSTOS'!$F$5:$F$404,'08. CUSTOS'!$C$5:$C$404,"281",'08. CUSTOS'!$B$5:$B$404,"&gt;="&amp;J$41,'08. CUSTOS'!$B$5:$B$404,"&lt;="&amp;EOMONTH(J$41,0))</f>
        <v>0</v>
      </c>
      <c r="K49" s="315">
        <f>SUMIFS('08. CUSTOS'!$F$5:$F$404,'08. CUSTOS'!$C$5:$C$404,"281",'08. CUSTOS'!$B$5:$B$404,"&gt;="&amp;K$41,'08. CUSTOS'!$B$5:$B$404,"&lt;="&amp;EOMONTH(K$41,0))</f>
        <v>0</v>
      </c>
      <c r="L49" s="315">
        <f>SUMIFS('08. CUSTOS'!$F$5:$F$404,'08. CUSTOS'!$C$5:$C$404,"281",'08. CUSTOS'!$B$5:$B$404,"&gt;="&amp;L$41,'08. CUSTOS'!$B$5:$B$404,"&lt;="&amp;EOMONTH(L$41,0))</f>
        <v>0</v>
      </c>
      <c r="M49" s="315">
        <f>SUMIFS('08. CUSTOS'!$F$5:$F$404,'08. CUSTOS'!$C$5:$C$404,"281",'08. CUSTOS'!$B$5:$B$404,"&gt;="&amp;M$41,'08. CUSTOS'!$B$5:$B$404,"&lt;="&amp;EOMONTH(M$41,0))</f>
        <v>0</v>
      </c>
      <c r="N49" s="315">
        <f>SUMIFS('08. CUSTOS'!$F$5:$F$404,'08. CUSTOS'!$C$5:$C$404,"281",'08. CUSTOS'!$B$5:$B$404,"&gt;="&amp;N$41,'08. CUSTOS'!$B$5:$B$404,"&lt;="&amp;EOMONTH(N$41,0))</f>
        <v>0</v>
      </c>
      <c r="O49" s="315">
        <f>SUMIFS('08. CUSTOS'!$F$5:$F$404,'08. CUSTOS'!$C$5:$C$404,"281",'08. CUSTOS'!$B$5:$B$404,"&gt;="&amp;O$41,'08. CUSTOS'!$B$5:$B$404,"&lt;="&amp;EOMONTH(O$41,0))</f>
        <v>0</v>
      </c>
      <c r="P49" s="315">
        <f>SUMIFS('08. CUSTOS'!$F$5:$F$404,'08. CUSTOS'!$C$5:$C$404,"281",'08. CUSTOS'!$B$5:$B$404,"&gt;="&amp;P$41,'08. CUSTOS'!$B$5:$B$404,"&lt;="&amp;EOMONTH(P$41,0))</f>
        <v>0</v>
      </c>
      <c r="Q49" s="315">
        <f>SUMIFS('08. CUSTOS'!$F$5:$F$404,'08. CUSTOS'!$C$5:$C$404,"281",'08. CUSTOS'!$B$5:$B$404,"&gt;="&amp;Q$41,'08. CUSTOS'!$B$5:$B$404,"&lt;="&amp;EOMONTH(Q$41,0))</f>
        <v>0</v>
      </c>
      <c r="R49" s="315">
        <f>SUMIFS('08. CUSTOS'!$F$5:$F$404,'08. CUSTOS'!$C$5:$C$404,"281",'08. CUSTOS'!$B$5:$B$404,"&gt;="&amp;R$41,'08. CUSTOS'!$B$5:$B$404,"&lt;="&amp;EOMONTH(R$41,0))</f>
        <v>0</v>
      </c>
      <c r="S49" s="324">
        <f>SUMIFS('08. CUSTOS'!$F$5:$F$404,'08. CUSTOS'!$C$5:$C$404,"281",'08. CUSTOS'!$B$5:$B$404,"&gt;="&amp;S$41,'08. CUSTOS'!$B$5:$B$404,"&lt;="&amp;EOMONTH(S$41,0))</f>
        <v>0</v>
      </c>
      <c r="T49" s="324">
        <f>SUMIFS('08. CUSTOS'!$F$5:$F$404,'08. CUSTOS'!$C$5:$C$404,"281",'08. CUSTOS'!$B$5:$B$404,"&gt;="&amp;T$41,'08. CUSTOS'!$B$5:$B$404,"&lt;="&amp;EOMONTH(T$41,0))</f>
        <v>0</v>
      </c>
      <c r="U49" s="324">
        <f>SUMIFS('08. CUSTOS'!$F$5:$F$404,'08. CUSTOS'!$C$5:$C$404,"281",'08. CUSTOS'!$B$5:$B$404,"&gt;="&amp;U$41,'08. CUSTOS'!$B$5:$B$404,"&lt;="&amp;EOMONTH(U$41,0))</f>
        <v>0</v>
      </c>
      <c r="V49" s="324">
        <f>SUMIFS('08. CUSTOS'!$F$5:$F$404,'08. CUSTOS'!$C$5:$C$404,"281",'08. CUSTOS'!$B$5:$B$404,"&gt;="&amp;V$41,'08. CUSTOS'!$B$5:$B$404,"&lt;="&amp;EOMONTH(V$41,0))</f>
        <v>0</v>
      </c>
      <c r="W49" s="324">
        <f>SUMIFS('08. CUSTOS'!$F$5:$F$404,'08. CUSTOS'!$C$5:$C$404,"281",'08. CUSTOS'!$B$5:$B$404,"&gt;="&amp;W$41,'08. CUSTOS'!$B$5:$B$404,"&lt;="&amp;EOMONTH(W$41,0))</f>
        <v>0</v>
      </c>
      <c r="X49" s="324">
        <f>SUMIFS('08. CUSTOS'!$F$5:$F$404,'08. CUSTOS'!$C$5:$C$404,"281",'08. CUSTOS'!$B$5:$B$404,"&gt;="&amp;X$41,'08. CUSTOS'!$B$5:$B$404,"&lt;="&amp;EOMONTH(X$41,0))</f>
        <v>0</v>
      </c>
      <c r="Y49" s="324">
        <f>SUMIFS('08. CUSTOS'!$F$5:$F$404,'08. CUSTOS'!$C$5:$C$404,"281",'08. CUSTOS'!$B$5:$B$404,"&gt;="&amp;Y$41,'08. CUSTOS'!$B$5:$B$404,"&lt;="&amp;EOMONTH(Y$41,0))</f>
        <v>0</v>
      </c>
      <c r="Z49" s="324">
        <f>SUMIFS('08. CUSTOS'!$F$5:$F$404,'08. CUSTOS'!$C$5:$C$404,"281",'08. CUSTOS'!$B$5:$B$404,"&gt;="&amp;Z$41,'08. CUSTOS'!$B$5:$B$404,"&lt;="&amp;EOMONTH(Z$41,0))</f>
        <v>0</v>
      </c>
      <c r="AA49" s="314">
        <f>SUM(C49:Z49)</f>
        <v>1103553.37</v>
      </c>
    </row>
    <row r="50" ht="44" customHeight="1" s="71">
      <c r="B50" s="326" t="inlineStr">
        <is>
          <t>Fonte: Cronograma FF x Gráficos.xlsx, Cronograma!G865:AB865 (BM0 a BM21; o BM fecha no dia 20 e entra no mês em que fecha, como no RPM da SANEAGO). Recebimento sem antecipação; com o termo de antecipação da SANEAGO (1,96% a.m., 15 dias) o dinheiro entra no mês m+1. Custo previsto: a obra não tem orçamento de custo (amarelo na E30).</t>
        </is>
      </c>
    </row>
  </sheetData>
  <mergeCells count="2">
    <mergeCell ref="B50:L50"/>
    <mergeCell ref="B36:L36"/>
  </mergeCells>
  <hyperlinks>
    <hyperlink ref="S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17.xml><?xml version="1.0" encoding="utf-8"?>
<worksheet xmlns="http://schemas.openxmlformats.org/spreadsheetml/2006/main">
  <sheetPr>
    <tabColor rgb="FF70AD47"/>
    <outlinePr summaryBelow="1" summaryRight="1"/>
    <pageSetUpPr fitToPage="1"/>
  </sheetPr>
  <dimension ref="A1:M64"/>
  <sheetViews>
    <sheetView showGridLines="0" workbookViewId="0">
      <pane ySplit="4" topLeftCell="A5" activePane="bottomLeft" state="frozen"/>
      <selection pane="bottomLeft" activeCell="A1" sqref="A1"/>
    </sheetView>
  </sheetViews>
  <sheetFormatPr baseColWidth="8" defaultRowHeight="15"/>
  <cols>
    <col width="12" customWidth="1" style="71" min="1" max="1"/>
    <col width="8" customWidth="1" style="71" min="2" max="2"/>
    <col width="12" customWidth="1" style="71" min="3" max="10"/>
    <col width="50" customWidth="1" style="71" min="11" max="11"/>
  </cols>
  <sheetData>
    <row r="1" ht="26.1" customHeight="1" s="71">
      <c r="A1" s="1" t="inlineStr">
        <is>
          <t>05. SEMANAS — o que o encarregado de cada obra traz para a reunião de segunda</t>
        </is>
      </c>
      <c r="B1" s="2" t="n"/>
      <c r="C1" s="2" t="n"/>
      <c r="D1" s="2" t="n"/>
      <c r="E1" s="2" t="n"/>
      <c r="F1" s="2" t="n"/>
      <c r="G1" s="2" t="n"/>
      <c r="H1" s="2" t="n"/>
      <c r="I1" s="2" t="n"/>
      <c r="J1" s="2" t="n"/>
      <c r="K1" s="2" t="n"/>
      <c r="L1" s="2" t="n"/>
      <c r="M1" s="3" t="inlineStr">
        <is>
          <t>◀ MENU</t>
        </is>
      </c>
    </row>
    <row r="2">
      <c r="A2" s="4" t="inlineStr">
        <is>
          <t>Uma linha por obra por semana. Azul = digitar. PPC vem do plano semanal do encarregado (Last Planner).</t>
        </is>
      </c>
    </row>
    <row r="3"/>
    <row r="4" ht="30" customHeight="1" s="71">
      <c r="A4" s="23" t="inlineStr">
        <is>
          <t>SEMANA (sexta)</t>
        </is>
      </c>
      <c r="B4" s="23" t="inlineStr">
        <is>
          <t>OBRA</t>
        </is>
      </c>
      <c r="C4" s="23" t="inlineStr">
        <is>
          <t>TAREFAS PROMETIDAS (confirmadas na 05A)</t>
        </is>
      </c>
      <c r="D4" s="23" t="inlineStr">
        <is>
          <t>TAREFAS CUMPRIDAS (05A)</t>
        </is>
      </c>
      <c r="E4" s="23" t="inlineStr">
        <is>
          <t>PPC</t>
        </is>
      </c>
      <c r="F4" s="23" t="inlineStr">
        <is>
          <t>EFETIVO EM CAMPO (média dos dias apontados, 05B)</t>
        </is>
      </c>
      <c r="G4" s="23" t="inlineStr">
        <is>
          <t>DIAS COM APONTAMENTO (05B)</t>
        </is>
      </c>
      <c r="H4" s="23" t="inlineStr">
        <is>
          <t>DIAS ÚTEIS DA SEMANA (02, feriados)</t>
        </is>
      </c>
      <c r="I4" s="23" t="inlineStr">
        <is>
          <t>RESTRIÇÕES NOSSAS ABERTAS NA SEXTA (05C)</t>
        </is>
      </c>
      <c r="J4" s="23" t="inlineStr">
        <is>
          <t>PENDÊNCIAS DO CLIENTE ABERTAS NA SEXTA (05C)</t>
        </is>
      </c>
      <c r="K4" s="23" t="inlineStr">
        <is>
          <t>PRINCIPAL CAUSA DE NÃO CUMPRIR (interna primeiro)</t>
        </is>
      </c>
    </row>
    <row r="5">
      <c r="A5" s="37" t="n">
        <v>46311</v>
      </c>
      <c r="B5" s="49" t="inlineStr">
        <is>
          <t>342</t>
        </is>
      </c>
      <c r="C5" s="30">
        <f>IF($A5="","",COUNTIFS('05A. COMPROMISSO DA SEMANA'!$A$5:$A$204,$A5,'05A. COMPROMISSO DA SEMANA'!$B$5:$B$204,$B5,'05A. COMPROMISSO DA SEMANA'!$J$5:$J$204,"SIM"))</f>
        <v>0</v>
      </c>
      <c r="D5" s="30">
        <f>IF($A5="","",COUNTIFS('05A. COMPROMISSO DA SEMANA'!$A$5:$A$204,$A5,'05A. COMPROMISSO DA SEMANA'!$B$5:$B$204,$B5,'05A. COMPROMISSO DA SEMANA'!$J$5:$J$204,"SIM",'05A. COMPROMISSO DA SEMANA'!$N$5:$N$204,"SIM"))</f>
        <v>0</v>
      </c>
      <c r="E5" s="50">
        <f>IF(OR($B5="",$C5="",N($C5)=0,$A5&gt;DATA_GESTAO),"",$D5/$C5)</f>
      </c>
      <c r="F5" s="327">
        <f>IF(OR($A5="",N($G5)=0),"",SUMIFS('05B. APONTAMENTO DIÁRIO'!$H$5:$H$1004,'05B. APONTAMENTO DIÁRIO'!$B$5:$B$1004,$B5,'05B. APONTAMENTO DIÁRIO'!$A$5:$A$1004,"&gt;="&amp;($A5-4),'05B. APONTAMENTO DIÁRIO'!$A$5:$A$1004,"&lt;="&amp;$A5)/$G5)</f>
      </c>
      <c r="G5" s="30">
        <f>IF($A5="","",(COUNTIFS('05B. APONTAMENTO DIÁRIO'!$B$5:$B$1004,$B5,'05B. APONTAMENTO DIÁRIO'!$A$5:$A$1004,$A5-4)&gt;0)+(COUNTIFS('05B. APONTAMENTO DIÁRIO'!$B$5:$B$1004,$B5,'05B. APONTAMENTO DIÁRIO'!$A$5:$A$1004,$A5-3)&gt;0)+(COUNTIFS('05B. APONTAMENTO DIÁRIO'!$B$5:$B$1004,$B5,'05B. APONTAMENTO DIÁRIO'!$A$5:$A$1004,$A5-2)&gt;0)+(COUNTIFS('05B. APONTAMENTO DIÁRIO'!$B$5:$B$1004,$B5,'05B. APONTAMENTO DIÁRIO'!$A$5:$A$1004,$A5-1)&gt;0)+(COUNTIFS('05B. APONTAMENTO DIÁRIO'!$B$5:$B$1004,$B5,'05B. APONTAMENTO DIÁRIO'!$A$5:$A$1004,$A5-0)&gt;0))</f>
        <v>0</v>
      </c>
      <c r="H5" s="30">
        <f>IF($A5="","",IF($B5="343",NETWORKDAYS($A5-4,$A5,FERIADOS_343),IF($B5="281",NETWORKDAYS($A5-4,$A5,FERIADOS_281),NETWORKDAYS($A5-4,$A5,FERIADOS_342))))</f>
        <v>4</v>
      </c>
      <c r="I5" s="30">
        <f>IF(OR($A5="",$A5&gt;DATA_GESTAO),"",COUNTIFS('05C. RESTRIÇÕES'!$B$5:$B$204,$B5,'05C. RESTRIÇÕES'!$H$5:$H$204,"ABERTA",'05C. RESTRIÇÕES'!$E$5:$E$204,"&lt;&gt;CLIENTE")+COUNTIFS('05C. RESTRIÇÕES'!$B$5:$B$204,$B5,'05C. RESTRIÇÕES'!$H$5:$H$204,"RESOLVIDA",'05C. RESTRIÇÕES'!$E$5:$E$204,"&lt;&gt;CLIENTE",'05C. RESTRIÇÕES'!$I$5:$I$204,"&gt;"&amp;$A5))</f>
        <v>39</v>
      </c>
      <c r="J5" s="30">
        <f>IF(OR($A5="",$A5&gt;DATA_GESTAO),"",COUNTIFS('05C. RESTRIÇÕES'!$B$5:$B$204,$B5,'05C. RESTRIÇÕES'!$H$5:$H$204,"ABERTA",'05C. RESTRIÇÕES'!$E$5:$E$204,"CLIENTE")+COUNTIFS('05C. RESTRIÇÕES'!$B$5:$B$204,$B5,'05C. RESTRIÇÕES'!$H$5:$H$204,"RESOLVIDA",'05C. RESTRIÇÕES'!$E$5:$E$204,"CLIENTE",'05C. RESTRIÇÕES'!$I$5:$I$204,"&gt;"&amp;$A5))</f>
        <v>17</v>
      </c>
      <c r="K5" s="49" t="n"/>
    </row>
    <row r="6">
      <c r="A6" s="37" t="n">
        <v>46311</v>
      </c>
      <c r="B6" s="49" t="inlineStr">
        <is>
          <t>343</t>
        </is>
      </c>
      <c r="C6" s="30">
        <f>IF($A6="","",COUNTIFS('05A. COMPROMISSO DA SEMANA'!$A$5:$A$204,$A6,'05A. COMPROMISSO DA SEMANA'!$B$5:$B$204,$B6,'05A. COMPROMISSO DA SEMANA'!$J$5:$J$204,"SIM"))</f>
        <v>0</v>
      </c>
      <c r="D6" s="30">
        <f>IF($A6="","",COUNTIFS('05A. COMPROMISSO DA SEMANA'!$A$5:$A$204,$A6,'05A. COMPROMISSO DA SEMANA'!$B$5:$B$204,$B6,'05A. COMPROMISSO DA SEMANA'!$J$5:$J$204,"SIM",'05A. COMPROMISSO DA SEMANA'!$N$5:$N$204,"SIM"))</f>
        <v>0</v>
      </c>
      <c r="E6" s="50">
        <f>IF(OR($B6="",$C6="",N($C6)=0,$A6&gt;DATA_GESTAO),"",$D6/$C6)</f>
      </c>
      <c r="F6" s="327">
        <f>IF(OR($A6="",N($G6)=0),"",SUMIFS('05B. APONTAMENTO DIÁRIO'!$H$5:$H$1004,'05B. APONTAMENTO DIÁRIO'!$B$5:$B$1004,$B6,'05B. APONTAMENTO DIÁRIO'!$A$5:$A$1004,"&gt;="&amp;($A6-4),'05B. APONTAMENTO DIÁRIO'!$A$5:$A$1004,"&lt;="&amp;$A6)/$G6)</f>
      </c>
      <c r="G6" s="30">
        <f>IF($A6="","",(COUNTIFS('05B. APONTAMENTO DIÁRIO'!$B$5:$B$1004,$B6,'05B. APONTAMENTO DIÁRIO'!$A$5:$A$1004,$A6-4)&gt;0)+(COUNTIFS('05B. APONTAMENTO DIÁRIO'!$B$5:$B$1004,$B6,'05B. APONTAMENTO DIÁRIO'!$A$5:$A$1004,$A6-3)&gt;0)+(COUNTIFS('05B. APONTAMENTO DIÁRIO'!$B$5:$B$1004,$B6,'05B. APONTAMENTO DIÁRIO'!$A$5:$A$1004,$A6-2)&gt;0)+(COUNTIFS('05B. APONTAMENTO DIÁRIO'!$B$5:$B$1004,$B6,'05B. APONTAMENTO DIÁRIO'!$A$5:$A$1004,$A6-1)&gt;0)+(COUNTIFS('05B. APONTAMENTO DIÁRIO'!$B$5:$B$1004,$B6,'05B. APONTAMENTO DIÁRIO'!$A$5:$A$1004,$A6-0)&gt;0))</f>
        <v>0</v>
      </c>
      <c r="H6" s="30">
        <f>IF($A6="","",IF($B6="343",NETWORKDAYS($A6-4,$A6,FERIADOS_343),IF($B6="281",NETWORKDAYS($A6-4,$A6,FERIADOS_281),NETWORKDAYS($A6-4,$A6,FERIADOS_342))))</f>
        <v>4</v>
      </c>
      <c r="I6" s="30">
        <f>IF(OR($A6="",$A6&gt;DATA_GESTAO),"",COUNTIFS('05C. RESTRIÇÕES'!$B$5:$B$204,$B6,'05C. RESTRIÇÕES'!$H$5:$H$204,"ABERTA",'05C. RESTRIÇÕES'!$E$5:$E$204,"&lt;&gt;CLIENTE")+COUNTIFS('05C. RESTRIÇÕES'!$B$5:$B$204,$B6,'05C. RESTRIÇÕES'!$H$5:$H$204,"RESOLVIDA",'05C. RESTRIÇÕES'!$E$5:$E$204,"&lt;&gt;CLIENTE",'05C. RESTRIÇÕES'!$I$5:$I$204,"&gt;"&amp;$A6))</f>
        <v>7</v>
      </c>
      <c r="J6" s="30">
        <f>IF(OR($A6="",$A6&gt;DATA_GESTAO),"",COUNTIFS('05C. RESTRIÇÕES'!$B$5:$B$204,$B6,'05C. RESTRIÇÕES'!$H$5:$H$204,"ABERTA",'05C. RESTRIÇÕES'!$E$5:$E$204,"CLIENTE")+COUNTIFS('05C. RESTRIÇÕES'!$B$5:$B$204,$B6,'05C. RESTRIÇÕES'!$H$5:$H$204,"RESOLVIDA",'05C. RESTRIÇÕES'!$E$5:$E$204,"CLIENTE",'05C. RESTRIÇÕES'!$I$5:$I$204,"&gt;"&amp;$A6))</f>
        <v>4</v>
      </c>
      <c r="K6" s="49" t="n"/>
    </row>
    <row r="7">
      <c r="A7" s="37" t="n">
        <v>46311</v>
      </c>
      <c r="B7" s="49" t="inlineStr">
        <is>
          <t>281</t>
        </is>
      </c>
      <c r="C7" s="30">
        <f>IF($A7="","",COUNTIFS('05A. COMPROMISSO DA SEMANA'!$A$5:$A$204,$A7,'05A. COMPROMISSO DA SEMANA'!$B$5:$B$204,$B7,'05A. COMPROMISSO DA SEMANA'!$J$5:$J$204,"SIM"))</f>
        <v>0</v>
      </c>
      <c r="D7" s="30">
        <f>IF($A7="","",COUNTIFS('05A. COMPROMISSO DA SEMANA'!$A$5:$A$204,$A7,'05A. COMPROMISSO DA SEMANA'!$B$5:$B$204,$B7,'05A. COMPROMISSO DA SEMANA'!$J$5:$J$204,"SIM",'05A. COMPROMISSO DA SEMANA'!$N$5:$N$204,"SIM"))</f>
        <v>0</v>
      </c>
      <c r="E7" s="50">
        <f>IF(OR($B7="",$C7="",N($C7)=0,$A7&gt;DATA_GESTAO),"",$D7/$C7)</f>
      </c>
      <c r="F7" s="327">
        <f>IF(OR($A7="",N($G7)=0),"",SUMIFS('05B. APONTAMENTO DIÁRIO'!$H$5:$H$1004,'05B. APONTAMENTO DIÁRIO'!$B$5:$B$1004,$B7,'05B. APONTAMENTO DIÁRIO'!$A$5:$A$1004,"&gt;="&amp;($A7-4),'05B. APONTAMENTO DIÁRIO'!$A$5:$A$1004,"&lt;="&amp;$A7)/$G7)</f>
      </c>
      <c r="G7" s="30">
        <f>IF($A7="","",(COUNTIFS('05B. APONTAMENTO DIÁRIO'!$B$5:$B$1004,$B7,'05B. APONTAMENTO DIÁRIO'!$A$5:$A$1004,$A7-4)&gt;0)+(COUNTIFS('05B. APONTAMENTO DIÁRIO'!$B$5:$B$1004,$B7,'05B. APONTAMENTO DIÁRIO'!$A$5:$A$1004,$A7-3)&gt;0)+(COUNTIFS('05B. APONTAMENTO DIÁRIO'!$B$5:$B$1004,$B7,'05B. APONTAMENTO DIÁRIO'!$A$5:$A$1004,$A7-2)&gt;0)+(COUNTIFS('05B. APONTAMENTO DIÁRIO'!$B$5:$B$1004,$B7,'05B. APONTAMENTO DIÁRIO'!$A$5:$A$1004,$A7-1)&gt;0)+(COUNTIFS('05B. APONTAMENTO DIÁRIO'!$B$5:$B$1004,$B7,'05B. APONTAMENTO DIÁRIO'!$A$5:$A$1004,$A7-0)&gt;0))</f>
        <v>0</v>
      </c>
      <c r="H7" s="30">
        <f>IF($A7="","",IF($B7="343",NETWORKDAYS($A7-4,$A7,FERIADOS_343),IF($B7="281",NETWORKDAYS($A7-4,$A7,FERIADOS_281),NETWORKDAYS($A7-4,$A7,FERIADOS_342))))</f>
        <v>4</v>
      </c>
      <c r="I7" s="30">
        <f>IF(OR($A7="",$A7&gt;DATA_GESTAO),"",COUNTIFS('05C. RESTRIÇÕES'!$B$5:$B$204,$B7,'05C. RESTRIÇÕES'!$H$5:$H$204,"ABERTA",'05C. RESTRIÇÕES'!$E$5:$E$204,"&lt;&gt;CLIENTE")+COUNTIFS('05C. RESTRIÇÕES'!$B$5:$B$204,$B7,'05C. RESTRIÇÕES'!$H$5:$H$204,"RESOLVIDA",'05C. RESTRIÇÕES'!$E$5:$E$204,"&lt;&gt;CLIENTE",'05C. RESTRIÇÕES'!$I$5:$I$204,"&gt;"&amp;$A7))</f>
        <v>17</v>
      </c>
      <c r="J7" s="30">
        <f>IF(OR($A7="",$A7&gt;DATA_GESTAO),"",COUNTIFS('05C. RESTRIÇÕES'!$B$5:$B$204,$B7,'05C. RESTRIÇÕES'!$H$5:$H$204,"ABERTA",'05C. RESTRIÇÕES'!$E$5:$E$204,"CLIENTE")+COUNTIFS('05C. RESTRIÇÕES'!$B$5:$B$204,$B7,'05C. RESTRIÇÕES'!$H$5:$H$204,"RESOLVIDA",'05C. RESTRIÇÕES'!$E$5:$E$204,"CLIENTE",'05C. RESTRIÇÕES'!$I$5:$I$204,"&gt;"&amp;$A7))</f>
        <v>10</v>
      </c>
      <c r="K7" s="49" t="n"/>
    </row>
    <row r="8">
      <c r="A8" s="37" t="n">
        <v>46318</v>
      </c>
      <c r="B8" s="49" t="inlineStr">
        <is>
          <t>342</t>
        </is>
      </c>
      <c r="C8" s="30">
        <f>IF($A8="","",COUNTIFS('05A. COMPROMISSO DA SEMANA'!$A$5:$A$204,$A8,'05A. COMPROMISSO DA SEMANA'!$B$5:$B$204,$B8,'05A. COMPROMISSO DA SEMANA'!$J$5:$J$204,"SIM"))</f>
        <v>0</v>
      </c>
      <c r="D8" s="30">
        <f>IF($A8="","",COUNTIFS('05A. COMPROMISSO DA SEMANA'!$A$5:$A$204,$A8,'05A. COMPROMISSO DA SEMANA'!$B$5:$B$204,$B8,'05A. COMPROMISSO DA SEMANA'!$J$5:$J$204,"SIM",'05A. COMPROMISSO DA SEMANA'!$N$5:$N$204,"SIM"))</f>
        <v>0</v>
      </c>
      <c r="E8" s="50">
        <f>IF(OR($B8="",$C8="",N($C8)=0,$A8&gt;DATA_GESTAO),"",$D8/$C8)</f>
      </c>
      <c r="F8" s="327">
        <f>IF(OR($A8="",N($G8)=0),"",SUMIFS('05B. APONTAMENTO DIÁRIO'!$H$5:$H$1004,'05B. APONTAMENTO DIÁRIO'!$B$5:$B$1004,$B8,'05B. APONTAMENTO DIÁRIO'!$A$5:$A$1004,"&gt;="&amp;($A8-4),'05B. APONTAMENTO DIÁRIO'!$A$5:$A$1004,"&lt;="&amp;$A8)/$G8)</f>
      </c>
      <c r="G8" s="30">
        <f>IF($A8="","",(COUNTIFS('05B. APONTAMENTO DIÁRIO'!$B$5:$B$1004,$B8,'05B. APONTAMENTO DIÁRIO'!$A$5:$A$1004,$A8-4)&gt;0)+(COUNTIFS('05B. APONTAMENTO DIÁRIO'!$B$5:$B$1004,$B8,'05B. APONTAMENTO DIÁRIO'!$A$5:$A$1004,$A8-3)&gt;0)+(COUNTIFS('05B. APONTAMENTO DIÁRIO'!$B$5:$B$1004,$B8,'05B. APONTAMENTO DIÁRIO'!$A$5:$A$1004,$A8-2)&gt;0)+(COUNTIFS('05B. APONTAMENTO DIÁRIO'!$B$5:$B$1004,$B8,'05B. APONTAMENTO DIÁRIO'!$A$5:$A$1004,$A8-1)&gt;0)+(COUNTIFS('05B. APONTAMENTO DIÁRIO'!$B$5:$B$1004,$B8,'05B. APONTAMENTO DIÁRIO'!$A$5:$A$1004,$A8-0)&gt;0))</f>
        <v>0</v>
      </c>
      <c r="H8" s="30">
        <f>IF($A8="","",IF($B8="343",NETWORKDAYS($A8-4,$A8,FERIADOS_343),IF($B8="281",NETWORKDAYS($A8-4,$A8,FERIADOS_281),NETWORKDAYS($A8-4,$A8,FERIADOS_342))))</f>
        <v>5</v>
      </c>
      <c r="I8" s="30">
        <f>IF(OR($A8="",$A8&gt;DATA_GESTAO),"",COUNTIFS('05C. RESTRIÇÕES'!$B$5:$B$204,$B8,'05C. RESTRIÇÕES'!$H$5:$H$204,"ABERTA",'05C. RESTRIÇÕES'!$E$5:$E$204,"&lt;&gt;CLIENTE")+COUNTIFS('05C. RESTRIÇÕES'!$B$5:$B$204,$B8,'05C. RESTRIÇÕES'!$H$5:$H$204,"RESOLVIDA",'05C. RESTRIÇÕES'!$E$5:$E$204,"&lt;&gt;CLIENTE",'05C. RESTRIÇÕES'!$I$5:$I$204,"&gt;"&amp;$A8))</f>
      </c>
      <c r="J8" s="30">
        <f>IF(OR($A8="",$A8&gt;DATA_GESTAO),"",COUNTIFS('05C. RESTRIÇÕES'!$B$5:$B$204,$B8,'05C. RESTRIÇÕES'!$H$5:$H$204,"ABERTA",'05C. RESTRIÇÕES'!$E$5:$E$204,"CLIENTE")+COUNTIFS('05C. RESTRIÇÕES'!$B$5:$B$204,$B8,'05C. RESTRIÇÕES'!$H$5:$H$204,"RESOLVIDA",'05C. RESTRIÇÕES'!$E$5:$E$204,"CLIENTE",'05C. RESTRIÇÕES'!$I$5:$I$204,"&gt;"&amp;$A8))</f>
      </c>
      <c r="K8" s="49" t="n"/>
    </row>
    <row r="9">
      <c r="A9" s="37" t="n">
        <v>46318</v>
      </c>
      <c r="B9" s="49" t="inlineStr">
        <is>
          <t>343</t>
        </is>
      </c>
      <c r="C9" s="30">
        <f>IF($A9="","",COUNTIFS('05A. COMPROMISSO DA SEMANA'!$A$5:$A$204,$A9,'05A. COMPROMISSO DA SEMANA'!$B$5:$B$204,$B9,'05A. COMPROMISSO DA SEMANA'!$J$5:$J$204,"SIM"))</f>
        <v>0</v>
      </c>
      <c r="D9" s="30">
        <f>IF($A9="","",COUNTIFS('05A. COMPROMISSO DA SEMANA'!$A$5:$A$204,$A9,'05A. COMPROMISSO DA SEMANA'!$B$5:$B$204,$B9,'05A. COMPROMISSO DA SEMANA'!$J$5:$J$204,"SIM",'05A. COMPROMISSO DA SEMANA'!$N$5:$N$204,"SIM"))</f>
        <v>0</v>
      </c>
      <c r="E9" s="50">
        <f>IF(OR($B9="",$C9="",N($C9)=0,$A9&gt;DATA_GESTAO),"",$D9/$C9)</f>
      </c>
      <c r="F9" s="327">
        <f>IF(OR($A9="",N($G9)=0),"",SUMIFS('05B. APONTAMENTO DIÁRIO'!$H$5:$H$1004,'05B. APONTAMENTO DIÁRIO'!$B$5:$B$1004,$B9,'05B. APONTAMENTO DIÁRIO'!$A$5:$A$1004,"&gt;="&amp;($A9-4),'05B. APONTAMENTO DIÁRIO'!$A$5:$A$1004,"&lt;="&amp;$A9)/$G9)</f>
      </c>
      <c r="G9" s="30">
        <f>IF($A9="","",(COUNTIFS('05B. APONTAMENTO DIÁRIO'!$B$5:$B$1004,$B9,'05B. APONTAMENTO DIÁRIO'!$A$5:$A$1004,$A9-4)&gt;0)+(COUNTIFS('05B. APONTAMENTO DIÁRIO'!$B$5:$B$1004,$B9,'05B. APONTAMENTO DIÁRIO'!$A$5:$A$1004,$A9-3)&gt;0)+(COUNTIFS('05B. APONTAMENTO DIÁRIO'!$B$5:$B$1004,$B9,'05B. APONTAMENTO DIÁRIO'!$A$5:$A$1004,$A9-2)&gt;0)+(COUNTIFS('05B. APONTAMENTO DIÁRIO'!$B$5:$B$1004,$B9,'05B. APONTAMENTO DIÁRIO'!$A$5:$A$1004,$A9-1)&gt;0)+(COUNTIFS('05B. APONTAMENTO DIÁRIO'!$B$5:$B$1004,$B9,'05B. APONTAMENTO DIÁRIO'!$A$5:$A$1004,$A9-0)&gt;0))</f>
        <v>0</v>
      </c>
      <c r="H9" s="30">
        <f>IF($A9="","",IF($B9="343",NETWORKDAYS($A9-4,$A9,FERIADOS_343),IF($B9="281",NETWORKDAYS($A9-4,$A9,FERIADOS_281),NETWORKDAYS($A9-4,$A9,FERIADOS_342))))</f>
        <v>5</v>
      </c>
      <c r="I9" s="30">
        <f>IF(OR($A9="",$A9&gt;DATA_GESTAO),"",COUNTIFS('05C. RESTRIÇÕES'!$B$5:$B$204,$B9,'05C. RESTRIÇÕES'!$H$5:$H$204,"ABERTA",'05C. RESTRIÇÕES'!$E$5:$E$204,"&lt;&gt;CLIENTE")+COUNTIFS('05C. RESTRIÇÕES'!$B$5:$B$204,$B9,'05C. RESTRIÇÕES'!$H$5:$H$204,"RESOLVIDA",'05C. RESTRIÇÕES'!$E$5:$E$204,"&lt;&gt;CLIENTE",'05C. RESTRIÇÕES'!$I$5:$I$204,"&gt;"&amp;$A9))</f>
      </c>
      <c r="J9" s="30">
        <f>IF(OR($A9="",$A9&gt;DATA_GESTAO),"",COUNTIFS('05C. RESTRIÇÕES'!$B$5:$B$204,$B9,'05C. RESTRIÇÕES'!$H$5:$H$204,"ABERTA",'05C. RESTRIÇÕES'!$E$5:$E$204,"CLIENTE")+COUNTIFS('05C. RESTRIÇÕES'!$B$5:$B$204,$B9,'05C. RESTRIÇÕES'!$H$5:$H$204,"RESOLVIDA",'05C. RESTRIÇÕES'!$E$5:$E$204,"CLIENTE",'05C. RESTRIÇÕES'!$I$5:$I$204,"&gt;"&amp;$A9))</f>
      </c>
      <c r="K9" s="49" t="n"/>
    </row>
    <row r="10">
      <c r="A10" s="37" t="n">
        <v>46318</v>
      </c>
      <c r="B10" s="49" t="inlineStr">
        <is>
          <t>281</t>
        </is>
      </c>
      <c r="C10" s="30">
        <f>IF($A10="","",COUNTIFS('05A. COMPROMISSO DA SEMANA'!$A$5:$A$204,$A10,'05A. COMPROMISSO DA SEMANA'!$B$5:$B$204,$B10,'05A. COMPROMISSO DA SEMANA'!$J$5:$J$204,"SIM"))</f>
        <v>0</v>
      </c>
      <c r="D10" s="30">
        <f>IF($A10="","",COUNTIFS('05A. COMPROMISSO DA SEMANA'!$A$5:$A$204,$A10,'05A. COMPROMISSO DA SEMANA'!$B$5:$B$204,$B10,'05A. COMPROMISSO DA SEMANA'!$J$5:$J$204,"SIM",'05A. COMPROMISSO DA SEMANA'!$N$5:$N$204,"SIM"))</f>
        <v>0</v>
      </c>
      <c r="E10" s="50">
        <f>IF(OR($B10="",$C10="",N($C10)=0,$A10&gt;DATA_GESTAO),"",$D10/$C10)</f>
      </c>
      <c r="F10" s="327">
        <f>IF(OR($A10="",N($G10)=0),"",SUMIFS('05B. APONTAMENTO DIÁRIO'!$H$5:$H$1004,'05B. APONTAMENTO DIÁRIO'!$B$5:$B$1004,$B10,'05B. APONTAMENTO DIÁRIO'!$A$5:$A$1004,"&gt;="&amp;($A10-4),'05B. APONTAMENTO DIÁRIO'!$A$5:$A$1004,"&lt;="&amp;$A10)/$G10)</f>
      </c>
      <c r="G10" s="30">
        <f>IF($A10="","",(COUNTIFS('05B. APONTAMENTO DIÁRIO'!$B$5:$B$1004,$B10,'05B. APONTAMENTO DIÁRIO'!$A$5:$A$1004,$A10-4)&gt;0)+(COUNTIFS('05B. APONTAMENTO DIÁRIO'!$B$5:$B$1004,$B10,'05B. APONTAMENTO DIÁRIO'!$A$5:$A$1004,$A10-3)&gt;0)+(COUNTIFS('05B. APONTAMENTO DIÁRIO'!$B$5:$B$1004,$B10,'05B. APONTAMENTO DIÁRIO'!$A$5:$A$1004,$A10-2)&gt;0)+(COUNTIFS('05B. APONTAMENTO DIÁRIO'!$B$5:$B$1004,$B10,'05B. APONTAMENTO DIÁRIO'!$A$5:$A$1004,$A10-1)&gt;0)+(COUNTIFS('05B. APONTAMENTO DIÁRIO'!$B$5:$B$1004,$B10,'05B. APONTAMENTO DIÁRIO'!$A$5:$A$1004,$A10-0)&gt;0))</f>
        <v>0</v>
      </c>
      <c r="H10" s="30">
        <f>IF($A10="","",IF($B10="343",NETWORKDAYS($A10-4,$A10,FERIADOS_343),IF($B10="281",NETWORKDAYS($A10-4,$A10,FERIADOS_281),NETWORKDAYS($A10-4,$A10,FERIADOS_342))))</f>
        <v>5</v>
      </c>
      <c r="I10" s="30">
        <f>IF(OR($A10="",$A10&gt;DATA_GESTAO),"",COUNTIFS('05C. RESTRIÇÕES'!$B$5:$B$204,$B10,'05C. RESTRIÇÕES'!$H$5:$H$204,"ABERTA",'05C. RESTRIÇÕES'!$E$5:$E$204,"&lt;&gt;CLIENTE")+COUNTIFS('05C. RESTRIÇÕES'!$B$5:$B$204,$B10,'05C. RESTRIÇÕES'!$H$5:$H$204,"RESOLVIDA",'05C. RESTRIÇÕES'!$E$5:$E$204,"&lt;&gt;CLIENTE",'05C. RESTRIÇÕES'!$I$5:$I$204,"&gt;"&amp;$A10))</f>
      </c>
      <c r="J10" s="30">
        <f>IF(OR($A10="",$A10&gt;DATA_GESTAO),"",COUNTIFS('05C. RESTRIÇÕES'!$B$5:$B$204,$B10,'05C. RESTRIÇÕES'!$H$5:$H$204,"ABERTA",'05C. RESTRIÇÕES'!$E$5:$E$204,"CLIENTE")+COUNTIFS('05C. RESTRIÇÕES'!$B$5:$B$204,$B10,'05C. RESTRIÇÕES'!$H$5:$H$204,"RESOLVIDA",'05C. RESTRIÇÕES'!$E$5:$E$204,"CLIENTE",'05C. RESTRIÇÕES'!$I$5:$I$204,"&gt;"&amp;$A10))</f>
      </c>
      <c r="K10" s="49" t="n"/>
    </row>
    <row r="11">
      <c r="A11" s="37" t="n">
        <v>46325</v>
      </c>
      <c r="B11" s="49" t="inlineStr">
        <is>
          <t>342</t>
        </is>
      </c>
      <c r="C11" s="30">
        <f>IF($A11="","",COUNTIFS('05A. COMPROMISSO DA SEMANA'!$A$5:$A$204,$A11,'05A. COMPROMISSO DA SEMANA'!$B$5:$B$204,$B11,'05A. COMPROMISSO DA SEMANA'!$J$5:$J$204,"SIM"))</f>
        <v>0</v>
      </c>
      <c r="D11" s="30">
        <f>IF($A11="","",COUNTIFS('05A. COMPROMISSO DA SEMANA'!$A$5:$A$204,$A11,'05A. COMPROMISSO DA SEMANA'!$B$5:$B$204,$B11,'05A. COMPROMISSO DA SEMANA'!$J$5:$J$204,"SIM",'05A. COMPROMISSO DA SEMANA'!$N$5:$N$204,"SIM"))</f>
        <v>0</v>
      </c>
      <c r="E11" s="50">
        <f>IF(OR($B11="",$C11="",N($C11)=0,$A11&gt;DATA_GESTAO),"",$D11/$C11)</f>
      </c>
      <c r="F11" s="327">
        <f>IF(OR($A11="",N($G11)=0),"",SUMIFS('05B. APONTAMENTO DIÁRIO'!$H$5:$H$1004,'05B. APONTAMENTO DIÁRIO'!$B$5:$B$1004,$B11,'05B. APONTAMENTO DIÁRIO'!$A$5:$A$1004,"&gt;="&amp;($A11-4),'05B. APONTAMENTO DIÁRIO'!$A$5:$A$1004,"&lt;="&amp;$A11)/$G11)</f>
      </c>
      <c r="G11" s="30">
        <f>IF($A11="","",(COUNTIFS('05B. APONTAMENTO DIÁRIO'!$B$5:$B$1004,$B11,'05B. APONTAMENTO DIÁRIO'!$A$5:$A$1004,$A11-4)&gt;0)+(COUNTIFS('05B. APONTAMENTO DIÁRIO'!$B$5:$B$1004,$B11,'05B. APONTAMENTO DIÁRIO'!$A$5:$A$1004,$A11-3)&gt;0)+(COUNTIFS('05B. APONTAMENTO DIÁRIO'!$B$5:$B$1004,$B11,'05B. APONTAMENTO DIÁRIO'!$A$5:$A$1004,$A11-2)&gt;0)+(COUNTIFS('05B. APONTAMENTO DIÁRIO'!$B$5:$B$1004,$B11,'05B. APONTAMENTO DIÁRIO'!$A$5:$A$1004,$A11-1)&gt;0)+(COUNTIFS('05B. APONTAMENTO DIÁRIO'!$B$5:$B$1004,$B11,'05B. APONTAMENTO DIÁRIO'!$A$5:$A$1004,$A11-0)&gt;0))</f>
        <v>0</v>
      </c>
      <c r="H11" s="30">
        <f>IF($A11="","",IF($B11="343",NETWORKDAYS($A11-4,$A11,FERIADOS_343),IF($B11="281",NETWORKDAYS($A11-4,$A11,FERIADOS_281),NETWORKDAYS($A11-4,$A11,FERIADOS_342))))</f>
        <v>5</v>
      </c>
      <c r="I11" s="30">
        <f>IF(OR($A11="",$A11&gt;DATA_GESTAO),"",COUNTIFS('05C. RESTRIÇÕES'!$B$5:$B$204,$B11,'05C. RESTRIÇÕES'!$H$5:$H$204,"ABERTA",'05C. RESTRIÇÕES'!$E$5:$E$204,"&lt;&gt;CLIENTE")+COUNTIFS('05C. RESTRIÇÕES'!$B$5:$B$204,$B11,'05C. RESTRIÇÕES'!$H$5:$H$204,"RESOLVIDA",'05C. RESTRIÇÕES'!$E$5:$E$204,"&lt;&gt;CLIENTE",'05C. RESTRIÇÕES'!$I$5:$I$204,"&gt;"&amp;$A11))</f>
      </c>
      <c r="J11" s="30">
        <f>IF(OR($A11="",$A11&gt;DATA_GESTAO),"",COUNTIFS('05C. RESTRIÇÕES'!$B$5:$B$204,$B11,'05C. RESTRIÇÕES'!$H$5:$H$204,"ABERTA",'05C. RESTRIÇÕES'!$E$5:$E$204,"CLIENTE")+COUNTIFS('05C. RESTRIÇÕES'!$B$5:$B$204,$B11,'05C. RESTRIÇÕES'!$H$5:$H$204,"RESOLVIDA",'05C. RESTRIÇÕES'!$E$5:$E$204,"CLIENTE",'05C. RESTRIÇÕES'!$I$5:$I$204,"&gt;"&amp;$A11))</f>
      </c>
      <c r="K11" s="49" t="n"/>
    </row>
    <row r="12">
      <c r="A12" s="37" t="n">
        <v>46325</v>
      </c>
      <c r="B12" s="49" t="inlineStr">
        <is>
          <t>343</t>
        </is>
      </c>
      <c r="C12" s="30">
        <f>IF($A12="","",COUNTIFS('05A. COMPROMISSO DA SEMANA'!$A$5:$A$204,$A12,'05A. COMPROMISSO DA SEMANA'!$B$5:$B$204,$B12,'05A. COMPROMISSO DA SEMANA'!$J$5:$J$204,"SIM"))</f>
        <v>0</v>
      </c>
      <c r="D12" s="30">
        <f>IF($A12="","",COUNTIFS('05A. COMPROMISSO DA SEMANA'!$A$5:$A$204,$A12,'05A. COMPROMISSO DA SEMANA'!$B$5:$B$204,$B12,'05A. COMPROMISSO DA SEMANA'!$J$5:$J$204,"SIM",'05A. COMPROMISSO DA SEMANA'!$N$5:$N$204,"SIM"))</f>
        <v>0</v>
      </c>
      <c r="E12" s="50">
        <f>IF(OR($B12="",$C12="",N($C12)=0,$A12&gt;DATA_GESTAO),"",$D12/$C12)</f>
      </c>
      <c r="F12" s="327">
        <f>IF(OR($A12="",N($G12)=0),"",SUMIFS('05B. APONTAMENTO DIÁRIO'!$H$5:$H$1004,'05B. APONTAMENTO DIÁRIO'!$B$5:$B$1004,$B12,'05B. APONTAMENTO DIÁRIO'!$A$5:$A$1004,"&gt;="&amp;($A12-4),'05B. APONTAMENTO DIÁRIO'!$A$5:$A$1004,"&lt;="&amp;$A12)/$G12)</f>
      </c>
      <c r="G12" s="30">
        <f>IF($A12="","",(COUNTIFS('05B. APONTAMENTO DIÁRIO'!$B$5:$B$1004,$B12,'05B. APONTAMENTO DIÁRIO'!$A$5:$A$1004,$A12-4)&gt;0)+(COUNTIFS('05B. APONTAMENTO DIÁRIO'!$B$5:$B$1004,$B12,'05B. APONTAMENTO DIÁRIO'!$A$5:$A$1004,$A12-3)&gt;0)+(COUNTIFS('05B. APONTAMENTO DIÁRIO'!$B$5:$B$1004,$B12,'05B. APONTAMENTO DIÁRIO'!$A$5:$A$1004,$A12-2)&gt;0)+(COUNTIFS('05B. APONTAMENTO DIÁRIO'!$B$5:$B$1004,$B12,'05B. APONTAMENTO DIÁRIO'!$A$5:$A$1004,$A12-1)&gt;0)+(COUNTIFS('05B. APONTAMENTO DIÁRIO'!$B$5:$B$1004,$B12,'05B. APONTAMENTO DIÁRIO'!$A$5:$A$1004,$A12-0)&gt;0))</f>
        <v>0</v>
      </c>
      <c r="H12" s="30">
        <f>IF($A12="","",IF($B12="343",NETWORKDAYS($A12-4,$A12,FERIADOS_343),IF($B12="281",NETWORKDAYS($A12-4,$A12,FERIADOS_281),NETWORKDAYS($A12-4,$A12,FERIADOS_342))))</f>
        <v>5</v>
      </c>
      <c r="I12" s="30">
        <f>IF(OR($A12="",$A12&gt;DATA_GESTAO),"",COUNTIFS('05C. RESTRIÇÕES'!$B$5:$B$204,$B12,'05C. RESTRIÇÕES'!$H$5:$H$204,"ABERTA",'05C. RESTRIÇÕES'!$E$5:$E$204,"&lt;&gt;CLIENTE")+COUNTIFS('05C. RESTRIÇÕES'!$B$5:$B$204,$B12,'05C. RESTRIÇÕES'!$H$5:$H$204,"RESOLVIDA",'05C. RESTRIÇÕES'!$E$5:$E$204,"&lt;&gt;CLIENTE",'05C. RESTRIÇÕES'!$I$5:$I$204,"&gt;"&amp;$A12))</f>
      </c>
      <c r="J12" s="30">
        <f>IF(OR($A12="",$A12&gt;DATA_GESTAO),"",COUNTIFS('05C. RESTRIÇÕES'!$B$5:$B$204,$B12,'05C. RESTRIÇÕES'!$H$5:$H$204,"ABERTA",'05C. RESTRIÇÕES'!$E$5:$E$204,"CLIENTE")+COUNTIFS('05C. RESTRIÇÕES'!$B$5:$B$204,$B12,'05C. RESTRIÇÕES'!$H$5:$H$204,"RESOLVIDA",'05C. RESTRIÇÕES'!$E$5:$E$204,"CLIENTE",'05C. RESTRIÇÕES'!$I$5:$I$204,"&gt;"&amp;$A12))</f>
      </c>
      <c r="K12" s="49" t="n"/>
    </row>
    <row r="13">
      <c r="A13" s="37" t="n">
        <v>46325</v>
      </c>
      <c r="B13" s="49" t="inlineStr">
        <is>
          <t>281</t>
        </is>
      </c>
      <c r="C13" s="30">
        <f>IF($A13="","",COUNTIFS('05A. COMPROMISSO DA SEMANA'!$A$5:$A$204,$A13,'05A. COMPROMISSO DA SEMANA'!$B$5:$B$204,$B13,'05A. COMPROMISSO DA SEMANA'!$J$5:$J$204,"SIM"))</f>
        <v>0</v>
      </c>
      <c r="D13" s="30">
        <f>IF($A13="","",COUNTIFS('05A. COMPROMISSO DA SEMANA'!$A$5:$A$204,$A13,'05A. COMPROMISSO DA SEMANA'!$B$5:$B$204,$B13,'05A. COMPROMISSO DA SEMANA'!$J$5:$J$204,"SIM",'05A. COMPROMISSO DA SEMANA'!$N$5:$N$204,"SIM"))</f>
        <v>0</v>
      </c>
      <c r="E13" s="50">
        <f>IF(OR($B13="",$C13="",N($C13)=0,$A13&gt;DATA_GESTAO),"",$D13/$C13)</f>
      </c>
      <c r="F13" s="327">
        <f>IF(OR($A13="",N($G13)=0),"",SUMIFS('05B. APONTAMENTO DIÁRIO'!$H$5:$H$1004,'05B. APONTAMENTO DIÁRIO'!$B$5:$B$1004,$B13,'05B. APONTAMENTO DIÁRIO'!$A$5:$A$1004,"&gt;="&amp;($A13-4),'05B. APONTAMENTO DIÁRIO'!$A$5:$A$1004,"&lt;="&amp;$A13)/$G13)</f>
      </c>
      <c r="G13" s="30">
        <f>IF($A13="","",(COUNTIFS('05B. APONTAMENTO DIÁRIO'!$B$5:$B$1004,$B13,'05B. APONTAMENTO DIÁRIO'!$A$5:$A$1004,$A13-4)&gt;0)+(COUNTIFS('05B. APONTAMENTO DIÁRIO'!$B$5:$B$1004,$B13,'05B. APONTAMENTO DIÁRIO'!$A$5:$A$1004,$A13-3)&gt;0)+(COUNTIFS('05B. APONTAMENTO DIÁRIO'!$B$5:$B$1004,$B13,'05B. APONTAMENTO DIÁRIO'!$A$5:$A$1004,$A13-2)&gt;0)+(COUNTIFS('05B. APONTAMENTO DIÁRIO'!$B$5:$B$1004,$B13,'05B. APONTAMENTO DIÁRIO'!$A$5:$A$1004,$A13-1)&gt;0)+(COUNTIFS('05B. APONTAMENTO DIÁRIO'!$B$5:$B$1004,$B13,'05B. APONTAMENTO DIÁRIO'!$A$5:$A$1004,$A13-0)&gt;0))</f>
        <v>0</v>
      </c>
      <c r="H13" s="30">
        <f>IF($A13="","",IF($B13="343",NETWORKDAYS($A13-4,$A13,FERIADOS_343),IF($B13="281",NETWORKDAYS($A13-4,$A13,FERIADOS_281),NETWORKDAYS($A13-4,$A13,FERIADOS_342))))</f>
        <v>5</v>
      </c>
      <c r="I13" s="30">
        <f>IF(OR($A13="",$A13&gt;DATA_GESTAO),"",COUNTIFS('05C. RESTRIÇÕES'!$B$5:$B$204,$B13,'05C. RESTRIÇÕES'!$H$5:$H$204,"ABERTA",'05C. RESTRIÇÕES'!$E$5:$E$204,"&lt;&gt;CLIENTE")+COUNTIFS('05C. RESTRIÇÕES'!$B$5:$B$204,$B13,'05C. RESTRIÇÕES'!$H$5:$H$204,"RESOLVIDA",'05C. RESTRIÇÕES'!$E$5:$E$204,"&lt;&gt;CLIENTE",'05C. RESTRIÇÕES'!$I$5:$I$204,"&gt;"&amp;$A13))</f>
      </c>
      <c r="J13" s="30">
        <f>IF(OR($A13="",$A13&gt;DATA_GESTAO),"",COUNTIFS('05C. RESTRIÇÕES'!$B$5:$B$204,$B13,'05C. RESTRIÇÕES'!$H$5:$H$204,"ABERTA",'05C. RESTRIÇÕES'!$E$5:$E$204,"CLIENTE")+COUNTIFS('05C. RESTRIÇÕES'!$B$5:$B$204,$B13,'05C. RESTRIÇÕES'!$H$5:$H$204,"RESOLVIDA",'05C. RESTRIÇÕES'!$E$5:$E$204,"CLIENTE",'05C. RESTRIÇÕES'!$I$5:$I$204,"&gt;"&amp;$A13))</f>
      </c>
      <c r="K13" s="49" t="n"/>
    </row>
    <row r="14">
      <c r="A14" s="37" t="n">
        <v>46332</v>
      </c>
      <c r="B14" s="49" t="inlineStr">
        <is>
          <t>342</t>
        </is>
      </c>
      <c r="C14" s="30">
        <f>IF($A14="","",COUNTIFS('05A. COMPROMISSO DA SEMANA'!$A$5:$A$204,$A14,'05A. COMPROMISSO DA SEMANA'!$B$5:$B$204,$B14,'05A. COMPROMISSO DA SEMANA'!$J$5:$J$204,"SIM"))</f>
        <v>0</v>
      </c>
      <c r="D14" s="30">
        <f>IF($A14="","",COUNTIFS('05A. COMPROMISSO DA SEMANA'!$A$5:$A$204,$A14,'05A. COMPROMISSO DA SEMANA'!$B$5:$B$204,$B14,'05A. COMPROMISSO DA SEMANA'!$J$5:$J$204,"SIM",'05A. COMPROMISSO DA SEMANA'!$N$5:$N$204,"SIM"))</f>
        <v>0</v>
      </c>
      <c r="E14" s="50">
        <f>IF(OR($B14="",$C14="",N($C14)=0,$A14&gt;DATA_GESTAO),"",$D14/$C14)</f>
      </c>
      <c r="F14" s="327">
        <f>IF(OR($A14="",N($G14)=0),"",SUMIFS('05B. APONTAMENTO DIÁRIO'!$H$5:$H$1004,'05B. APONTAMENTO DIÁRIO'!$B$5:$B$1004,$B14,'05B. APONTAMENTO DIÁRIO'!$A$5:$A$1004,"&gt;="&amp;($A14-4),'05B. APONTAMENTO DIÁRIO'!$A$5:$A$1004,"&lt;="&amp;$A14)/$G14)</f>
      </c>
      <c r="G14" s="30">
        <f>IF($A14="","",(COUNTIFS('05B. APONTAMENTO DIÁRIO'!$B$5:$B$1004,$B14,'05B. APONTAMENTO DIÁRIO'!$A$5:$A$1004,$A14-4)&gt;0)+(COUNTIFS('05B. APONTAMENTO DIÁRIO'!$B$5:$B$1004,$B14,'05B. APONTAMENTO DIÁRIO'!$A$5:$A$1004,$A14-3)&gt;0)+(COUNTIFS('05B. APONTAMENTO DIÁRIO'!$B$5:$B$1004,$B14,'05B. APONTAMENTO DIÁRIO'!$A$5:$A$1004,$A14-2)&gt;0)+(COUNTIFS('05B. APONTAMENTO DIÁRIO'!$B$5:$B$1004,$B14,'05B. APONTAMENTO DIÁRIO'!$A$5:$A$1004,$A14-1)&gt;0)+(COUNTIFS('05B. APONTAMENTO DIÁRIO'!$B$5:$B$1004,$B14,'05B. APONTAMENTO DIÁRIO'!$A$5:$A$1004,$A14-0)&gt;0))</f>
        <v>0</v>
      </c>
      <c r="H14" s="30">
        <f>IF($A14="","",IF($B14="343",NETWORKDAYS($A14-4,$A14,FERIADOS_343),IF($B14="281",NETWORKDAYS($A14-4,$A14,FERIADOS_281),NETWORKDAYS($A14-4,$A14,FERIADOS_342))))</f>
        <v>4</v>
      </c>
      <c r="I14" s="30">
        <f>IF(OR($A14="",$A14&gt;DATA_GESTAO),"",COUNTIFS('05C. RESTRIÇÕES'!$B$5:$B$204,$B14,'05C. RESTRIÇÕES'!$H$5:$H$204,"ABERTA",'05C. RESTRIÇÕES'!$E$5:$E$204,"&lt;&gt;CLIENTE")+COUNTIFS('05C. RESTRIÇÕES'!$B$5:$B$204,$B14,'05C. RESTRIÇÕES'!$H$5:$H$204,"RESOLVIDA",'05C. RESTRIÇÕES'!$E$5:$E$204,"&lt;&gt;CLIENTE",'05C. RESTRIÇÕES'!$I$5:$I$204,"&gt;"&amp;$A14))</f>
      </c>
      <c r="J14" s="30">
        <f>IF(OR($A14="",$A14&gt;DATA_GESTAO),"",COUNTIFS('05C. RESTRIÇÕES'!$B$5:$B$204,$B14,'05C. RESTRIÇÕES'!$H$5:$H$204,"ABERTA",'05C. RESTRIÇÕES'!$E$5:$E$204,"CLIENTE")+COUNTIFS('05C. RESTRIÇÕES'!$B$5:$B$204,$B14,'05C. RESTRIÇÕES'!$H$5:$H$204,"RESOLVIDA",'05C. RESTRIÇÕES'!$E$5:$E$204,"CLIENTE",'05C. RESTRIÇÕES'!$I$5:$I$204,"&gt;"&amp;$A14))</f>
      </c>
      <c r="K14" s="49" t="n"/>
    </row>
    <row r="15">
      <c r="A15" s="37" t="n">
        <v>46332</v>
      </c>
      <c r="B15" s="49" t="inlineStr">
        <is>
          <t>343</t>
        </is>
      </c>
      <c r="C15" s="30">
        <f>IF($A15="","",COUNTIFS('05A. COMPROMISSO DA SEMANA'!$A$5:$A$204,$A15,'05A. COMPROMISSO DA SEMANA'!$B$5:$B$204,$B15,'05A. COMPROMISSO DA SEMANA'!$J$5:$J$204,"SIM"))</f>
        <v>0</v>
      </c>
      <c r="D15" s="30">
        <f>IF($A15="","",COUNTIFS('05A. COMPROMISSO DA SEMANA'!$A$5:$A$204,$A15,'05A. COMPROMISSO DA SEMANA'!$B$5:$B$204,$B15,'05A. COMPROMISSO DA SEMANA'!$J$5:$J$204,"SIM",'05A. COMPROMISSO DA SEMANA'!$N$5:$N$204,"SIM"))</f>
        <v>0</v>
      </c>
      <c r="E15" s="50">
        <f>IF(OR($B15="",$C15="",N($C15)=0,$A15&gt;DATA_GESTAO),"",$D15/$C15)</f>
      </c>
      <c r="F15" s="327">
        <f>IF(OR($A15="",N($G15)=0),"",SUMIFS('05B. APONTAMENTO DIÁRIO'!$H$5:$H$1004,'05B. APONTAMENTO DIÁRIO'!$B$5:$B$1004,$B15,'05B. APONTAMENTO DIÁRIO'!$A$5:$A$1004,"&gt;="&amp;($A15-4),'05B. APONTAMENTO DIÁRIO'!$A$5:$A$1004,"&lt;="&amp;$A15)/$G15)</f>
      </c>
      <c r="G15" s="30">
        <f>IF($A15="","",(COUNTIFS('05B. APONTAMENTO DIÁRIO'!$B$5:$B$1004,$B15,'05B. APONTAMENTO DIÁRIO'!$A$5:$A$1004,$A15-4)&gt;0)+(COUNTIFS('05B. APONTAMENTO DIÁRIO'!$B$5:$B$1004,$B15,'05B. APONTAMENTO DIÁRIO'!$A$5:$A$1004,$A15-3)&gt;0)+(COUNTIFS('05B. APONTAMENTO DIÁRIO'!$B$5:$B$1004,$B15,'05B. APONTAMENTO DIÁRIO'!$A$5:$A$1004,$A15-2)&gt;0)+(COUNTIFS('05B. APONTAMENTO DIÁRIO'!$B$5:$B$1004,$B15,'05B. APONTAMENTO DIÁRIO'!$A$5:$A$1004,$A15-1)&gt;0)+(COUNTIFS('05B. APONTAMENTO DIÁRIO'!$B$5:$B$1004,$B15,'05B. APONTAMENTO DIÁRIO'!$A$5:$A$1004,$A15-0)&gt;0))</f>
        <v>0</v>
      </c>
      <c r="H15" s="30">
        <f>IF($A15="","",IF($B15="343",NETWORKDAYS($A15-4,$A15,FERIADOS_343),IF($B15="281",NETWORKDAYS($A15-4,$A15,FERIADOS_281),NETWORKDAYS($A15-4,$A15,FERIADOS_342))))</f>
        <v>4</v>
      </c>
      <c r="I15" s="30">
        <f>IF(OR($A15="",$A15&gt;DATA_GESTAO),"",COUNTIFS('05C. RESTRIÇÕES'!$B$5:$B$204,$B15,'05C. RESTRIÇÕES'!$H$5:$H$204,"ABERTA",'05C. RESTRIÇÕES'!$E$5:$E$204,"&lt;&gt;CLIENTE")+COUNTIFS('05C. RESTRIÇÕES'!$B$5:$B$204,$B15,'05C. RESTRIÇÕES'!$H$5:$H$204,"RESOLVIDA",'05C. RESTRIÇÕES'!$E$5:$E$204,"&lt;&gt;CLIENTE",'05C. RESTRIÇÕES'!$I$5:$I$204,"&gt;"&amp;$A15))</f>
      </c>
      <c r="J15" s="30">
        <f>IF(OR($A15="",$A15&gt;DATA_GESTAO),"",COUNTIFS('05C. RESTRIÇÕES'!$B$5:$B$204,$B15,'05C. RESTRIÇÕES'!$H$5:$H$204,"ABERTA",'05C. RESTRIÇÕES'!$E$5:$E$204,"CLIENTE")+COUNTIFS('05C. RESTRIÇÕES'!$B$5:$B$204,$B15,'05C. RESTRIÇÕES'!$H$5:$H$204,"RESOLVIDA",'05C. RESTRIÇÕES'!$E$5:$E$204,"CLIENTE",'05C. RESTRIÇÕES'!$I$5:$I$204,"&gt;"&amp;$A15))</f>
      </c>
      <c r="K15" s="49" t="n"/>
    </row>
    <row r="16">
      <c r="A16" s="37" t="n">
        <v>46332</v>
      </c>
      <c r="B16" s="49" t="inlineStr">
        <is>
          <t>281</t>
        </is>
      </c>
      <c r="C16" s="30">
        <f>IF($A16="","",COUNTIFS('05A. COMPROMISSO DA SEMANA'!$A$5:$A$204,$A16,'05A. COMPROMISSO DA SEMANA'!$B$5:$B$204,$B16,'05A. COMPROMISSO DA SEMANA'!$J$5:$J$204,"SIM"))</f>
        <v>0</v>
      </c>
      <c r="D16" s="30">
        <f>IF($A16="","",COUNTIFS('05A. COMPROMISSO DA SEMANA'!$A$5:$A$204,$A16,'05A. COMPROMISSO DA SEMANA'!$B$5:$B$204,$B16,'05A. COMPROMISSO DA SEMANA'!$J$5:$J$204,"SIM",'05A. COMPROMISSO DA SEMANA'!$N$5:$N$204,"SIM"))</f>
        <v>0</v>
      </c>
      <c r="E16" s="50">
        <f>IF(OR($B16="",$C16="",N($C16)=0,$A16&gt;DATA_GESTAO),"",$D16/$C16)</f>
      </c>
      <c r="F16" s="327">
        <f>IF(OR($A16="",N($G16)=0),"",SUMIFS('05B. APONTAMENTO DIÁRIO'!$H$5:$H$1004,'05B. APONTAMENTO DIÁRIO'!$B$5:$B$1004,$B16,'05B. APONTAMENTO DIÁRIO'!$A$5:$A$1004,"&gt;="&amp;($A16-4),'05B. APONTAMENTO DIÁRIO'!$A$5:$A$1004,"&lt;="&amp;$A16)/$G16)</f>
      </c>
      <c r="G16" s="30">
        <f>IF($A16="","",(COUNTIFS('05B. APONTAMENTO DIÁRIO'!$B$5:$B$1004,$B16,'05B. APONTAMENTO DIÁRIO'!$A$5:$A$1004,$A16-4)&gt;0)+(COUNTIFS('05B. APONTAMENTO DIÁRIO'!$B$5:$B$1004,$B16,'05B. APONTAMENTO DIÁRIO'!$A$5:$A$1004,$A16-3)&gt;0)+(COUNTIFS('05B. APONTAMENTO DIÁRIO'!$B$5:$B$1004,$B16,'05B. APONTAMENTO DIÁRIO'!$A$5:$A$1004,$A16-2)&gt;0)+(COUNTIFS('05B. APONTAMENTO DIÁRIO'!$B$5:$B$1004,$B16,'05B. APONTAMENTO DIÁRIO'!$A$5:$A$1004,$A16-1)&gt;0)+(COUNTIFS('05B. APONTAMENTO DIÁRIO'!$B$5:$B$1004,$B16,'05B. APONTAMENTO DIÁRIO'!$A$5:$A$1004,$A16-0)&gt;0))</f>
        <v>0</v>
      </c>
      <c r="H16" s="30">
        <f>IF($A16="","",IF($B16="343",NETWORKDAYS($A16-4,$A16,FERIADOS_343),IF($B16="281",NETWORKDAYS($A16-4,$A16,FERIADOS_281),NETWORKDAYS($A16-4,$A16,FERIADOS_342))))</f>
        <v>4</v>
      </c>
      <c r="I16" s="30">
        <f>IF(OR($A16="",$A16&gt;DATA_GESTAO),"",COUNTIFS('05C. RESTRIÇÕES'!$B$5:$B$204,$B16,'05C. RESTRIÇÕES'!$H$5:$H$204,"ABERTA",'05C. RESTRIÇÕES'!$E$5:$E$204,"&lt;&gt;CLIENTE")+COUNTIFS('05C. RESTRIÇÕES'!$B$5:$B$204,$B16,'05C. RESTRIÇÕES'!$H$5:$H$204,"RESOLVIDA",'05C. RESTRIÇÕES'!$E$5:$E$204,"&lt;&gt;CLIENTE",'05C. RESTRIÇÕES'!$I$5:$I$204,"&gt;"&amp;$A16))</f>
      </c>
      <c r="J16" s="30">
        <f>IF(OR($A16="",$A16&gt;DATA_GESTAO),"",COUNTIFS('05C. RESTRIÇÕES'!$B$5:$B$204,$B16,'05C. RESTRIÇÕES'!$H$5:$H$204,"ABERTA",'05C. RESTRIÇÕES'!$E$5:$E$204,"CLIENTE")+COUNTIFS('05C. RESTRIÇÕES'!$B$5:$B$204,$B16,'05C. RESTRIÇÕES'!$H$5:$H$204,"RESOLVIDA",'05C. RESTRIÇÕES'!$E$5:$E$204,"CLIENTE",'05C. RESTRIÇÕES'!$I$5:$I$204,"&gt;"&amp;$A16))</f>
      </c>
      <c r="K16" s="49" t="n"/>
    </row>
    <row r="17">
      <c r="A17" s="37" t="n">
        <v>46339</v>
      </c>
      <c r="B17" s="49" t="inlineStr">
        <is>
          <t>342</t>
        </is>
      </c>
      <c r="C17" s="30">
        <f>IF($A17="","",COUNTIFS('05A. COMPROMISSO DA SEMANA'!$A$5:$A$204,$A17,'05A. COMPROMISSO DA SEMANA'!$B$5:$B$204,$B17,'05A. COMPROMISSO DA SEMANA'!$J$5:$J$204,"SIM"))</f>
        <v>0</v>
      </c>
      <c r="D17" s="30">
        <f>IF($A17="","",COUNTIFS('05A. COMPROMISSO DA SEMANA'!$A$5:$A$204,$A17,'05A. COMPROMISSO DA SEMANA'!$B$5:$B$204,$B17,'05A. COMPROMISSO DA SEMANA'!$J$5:$J$204,"SIM",'05A. COMPROMISSO DA SEMANA'!$N$5:$N$204,"SIM"))</f>
        <v>0</v>
      </c>
      <c r="E17" s="50">
        <f>IF(OR($B17="",$C17="",N($C17)=0,$A17&gt;DATA_GESTAO),"",$D17/$C17)</f>
      </c>
      <c r="F17" s="327">
        <f>IF(OR($A17="",N($G17)=0),"",SUMIFS('05B. APONTAMENTO DIÁRIO'!$H$5:$H$1004,'05B. APONTAMENTO DIÁRIO'!$B$5:$B$1004,$B17,'05B. APONTAMENTO DIÁRIO'!$A$5:$A$1004,"&gt;="&amp;($A17-4),'05B. APONTAMENTO DIÁRIO'!$A$5:$A$1004,"&lt;="&amp;$A17)/$G17)</f>
      </c>
      <c r="G17" s="30">
        <f>IF($A17="","",(COUNTIFS('05B. APONTAMENTO DIÁRIO'!$B$5:$B$1004,$B17,'05B. APONTAMENTO DIÁRIO'!$A$5:$A$1004,$A17-4)&gt;0)+(COUNTIFS('05B. APONTAMENTO DIÁRIO'!$B$5:$B$1004,$B17,'05B. APONTAMENTO DIÁRIO'!$A$5:$A$1004,$A17-3)&gt;0)+(COUNTIFS('05B. APONTAMENTO DIÁRIO'!$B$5:$B$1004,$B17,'05B. APONTAMENTO DIÁRIO'!$A$5:$A$1004,$A17-2)&gt;0)+(COUNTIFS('05B. APONTAMENTO DIÁRIO'!$B$5:$B$1004,$B17,'05B. APONTAMENTO DIÁRIO'!$A$5:$A$1004,$A17-1)&gt;0)+(COUNTIFS('05B. APONTAMENTO DIÁRIO'!$B$5:$B$1004,$B17,'05B. APONTAMENTO DIÁRIO'!$A$5:$A$1004,$A17-0)&gt;0))</f>
        <v>0</v>
      </c>
      <c r="H17" s="30">
        <f>IF($A17="","",IF($B17="343",NETWORKDAYS($A17-4,$A17,FERIADOS_343),IF($B17="281",NETWORKDAYS($A17-4,$A17,FERIADOS_281),NETWORKDAYS($A17-4,$A17,FERIADOS_342))))</f>
        <v>5</v>
      </c>
      <c r="I17" s="30">
        <f>IF(OR($A17="",$A17&gt;DATA_GESTAO),"",COUNTIFS('05C. RESTRIÇÕES'!$B$5:$B$204,$B17,'05C. RESTRIÇÕES'!$H$5:$H$204,"ABERTA",'05C. RESTRIÇÕES'!$E$5:$E$204,"&lt;&gt;CLIENTE")+COUNTIFS('05C. RESTRIÇÕES'!$B$5:$B$204,$B17,'05C. RESTRIÇÕES'!$H$5:$H$204,"RESOLVIDA",'05C. RESTRIÇÕES'!$E$5:$E$204,"&lt;&gt;CLIENTE",'05C. RESTRIÇÕES'!$I$5:$I$204,"&gt;"&amp;$A17))</f>
      </c>
      <c r="J17" s="30">
        <f>IF(OR($A17="",$A17&gt;DATA_GESTAO),"",COUNTIFS('05C. RESTRIÇÕES'!$B$5:$B$204,$B17,'05C. RESTRIÇÕES'!$H$5:$H$204,"ABERTA",'05C. RESTRIÇÕES'!$E$5:$E$204,"CLIENTE")+COUNTIFS('05C. RESTRIÇÕES'!$B$5:$B$204,$B17,'05C. RESTRIÇÕES'!$H$5:$H$204,"RESOLVIDA",'05C. RESTRIÇÕES'!$E$5:$E$204,"CLIENTE",'05C. RESTRIÇÕES'!$I$5:$I$204,"&gt;"&amp;$A17))</f>
      </c>
      <c r="K17" s="49" t="n"/>
    </row>
    <row r="18">
      <c r="A18" s="37" t="n">
        <v>46339</v>
      </c>
      <c r="B18" s="49" t="inlineStr">
        <is>
          <t>343</t>
        </is>
      </c>
      <c r="C18" s="30">
        <f>IF($A18="","",COUNTIFS('05A. COMPROMISSO DA SEMANA'!$A$5:$A$204,$A18,'05A. COMPROMISSO DA SEMANA'!$B$5:$B$204,$B18,'05A. COMPROMISSO DA SEMANA'!$J$5:$J$204,"SIM"))</f>
        <v>0</v>
      </c>
      <c r="D18" s="30">
        <f>IF($A18="","",COUNTIFS('05A. COMPROMISSO DA SEMANA'!$A$5:$A$204,$A18,'05A. COMPROMISSO DA SEMANA'!$B$5:$B$204,$B18,'05A. COMPROMISSO DA SEMANA'!$J$5:$J$204,"SIM",'05A. COMPROMISSO DA SEMANA'!$N$5:$N$204,"SIM"))</f>
        <v>0</v>
      </c>
      <c r="E18" s="50">
        <f>IF(OR($B18="",$C18="",N($C18)=0,$A18&gt;DATA_GESTAO),"",$D18/$C18)</f>
      </c>
      <c r="F18" s="327">
        <f>IF(OR($A18="",N($G18)=0),"",SUMIFS('05B. APONTAMENTO DIÁRIO'!$H$5:$H$1004,'05B. APONTAMENTO DIÁRIO'!$B$5:$B$1004,$B18,'05B. APONTAMENTO DIÁRIO'!$A$5:$A$1004,"&gt;="&amp;($A18-4),'05B. APONTAMENTO DIÁRIO'!$A$5:$A$1004,"&lt;="&amp;$A18)/$G18)</f>
      </c>
      <c r="G18" s="30">
        <f>IF($A18="","",(COUNTIFS('05B. APONTAMENTO DIÁRIO'!$B$5:$B$1004,$B18,'05B. APONTAMENTO DIÁRIO'!$A$5:$A$1004,$A18-4)&gt;0)+(COUNTIFS('05B. APONTAMENTO DIÁRIO'!$B$5:$B$1004,$B18,'05B. APONTAMENTO DIÁRIO'!$A$5:$A$1004,$A18-3)&gt;0)+(COUNTIFS('05B. APONTAMENTO DIÁRIO'!$B$5:$B$1004,$B18,'05B. APONTAMENTO DIÁRIO'!$A$5:$A$1004,$A18-2)&gt;0)+(COUNTIFS('05B. APONTAMENTO DIÁRIO'!$B$5:$B$1004,$B18,'05B. APONTAMENTO DIÁRIO'!$A$5:$A$1004,$A18-1)&gt;0)+(COUNTIFS('05B. APONTAMENTO DIÁRIO'!$B$5:$B$1004,$B18,'05B. APONTAMENTO DIÁRIO'!$A$5:$A$1004,$A18-0)&gt;0))</f>
        <v>0</v>
      </c>
      <c r="H18" s="30">
        <f>IF($A18="","",IF($B18="343",NETWORKDAYS($A18-4,$A18,FERIADOS_343),IF($B18="281",NETWORKDAYS($A18-4,$A18,FERIADOS_281),NETWORKDAYS($A18-4,$A18,FERIADOS_342))))</f>
        <v>5</v>
      </c>
      <c r="I18" s="30">
        <f>IF(OR($A18="",$A18&gt;DATA_GESTAO),"",COUNTIFS('05C. RESTRIÇÕES'!$B$5:$B$204,$B18,'05C. RESTRIÇÕES'!$H$5:$H$204,"ABERTA",'05C. RESTRIÇÕES'!$E$5:$E$204,"&lt;&gt;CLIENTE")+COUNTIFS('05C. RESTRIÇÕES'!$B$5:$B$204,$B18,'05C. RESTRIÇÕES'!$H$5:$H$204,"RESOLVIDA",'05C. RESTRIÇÕES'!$E$5:$E$204,"&lt;&gt;CLIENTE",'05C. RESTRIÇÕES'!$I$5:$I$204,"&gt;"&amp;$A18))</f>
      </c>
      <c r="J18" s="30">
        <f>IF(OR($A18="",$A18&gt;DATA_GESTAO),"",COUNTIFS('05C. RESTRIÇÕES'!$B$5:$B$204,$B18,'05C. RESTRIÇÕES'!$H$5:$H$204,"ABERTA",'05C. RESTRIÇÕES'!$E$5:$E$204,"CLIENTE")+COUNTIFS('05C. RESTRIÇÕES'!$B$5:$B$204,$B18,'05C. RESTRIÇÕES'!$H$5:$H$204,"RESOLVIDA",'05C. RESTRIÇÕES'!$E$5:$E$204,"CLIENTE",'05C. RESTRIÇÕES'!$I$5:$I$204,"&gt;"&amp;$A18))</f>
      </c>
      <c r="K18" s="49" t="n"/>
    </row>
    <row r="19">
      <c r="A19" s="37" t="n">
        <v>46339</v>
      </c>
      <c r="B19" s="49" t="inlineStr">
        <is>
          <t>281</t>
        </is>
      </c>
      <c r="C19" s="30">
        <f>IF($A19="","",COUNTIFS('05A. COMPROMISSO DA SEMANA'!$A$5:$A$204,$A19,'05A. COMPROMISSO DA SEMANA'!$B$5:$B$204,$B19,'05A. COMPROMISSO DA SEMANA'!$J$5:$J$204,"SIM"))</f>
        <v>0</v>
      </c>
      <c r="D19" s="30">
        <f>IF($A19="","",COUNTIFS('05A. COMPROMISSO DA SEMANA'!$A$5:$A$204,$A19,'05A. COMPROMISSO DA SEMANA'!$B$5:$B$204,$B19,'05A. COMPROMISSO DA SEMANA'!$J$5:$J$204,"SIM",'05A. COMPROMISSO DA SEMANA'!$N$5:$N$204,"SIM"))</f>
        <v>0</v>
      </c>
      <c r="E19" s="50">
        <f>IF(OR($B19="",$C19="",N($C19)=0,$A19&gt;DATA_GESTAO),"",$D19/$C19)</f>
      </c>
      <c r="F19" s="327">
        <f>IF(OR($A19="",N($G19)=0),"",SUMIFS('05B. APONTAMENTO DIÁRIO'!$H$5:$H$1004,'05B. APONTAMENTO DIÁRIO'!$B$5:$B$1004,$B19,'05B. APONTAMENTO DIÁRIO'!$A$5:$A$1004,"&gt;="&amp;($A19-4),'05B. APONTAMENTO DIÁRIO'!$A$5:$A$1004,"&lt;="&amp;$A19)/$G19)</f>
      </c>
      <c r="G19" s="30">
        <f>IF($A19="","",(COUNTIFS('05B. APONTAMENTO DIÁRIO'!$B$5:$B$1004,$B19,'05B. APONTAMENTO DIÁRIO'!$A$5:$A$1004,$A19-4)&gt;0)+(COUNTIFS('05B. APONTAMENTO DIÁRIO'!$B$5:$B$1004,$B19,'05B. APONTAMENTO DIÁRIO'!$A$5:$A$1004,$A19-3)&gt;0)+(COUNTIFS('05B. APONTAMENTO DIÁRIO'!$B$5:$B$1004,$B19,'05B. APONTAMENTO DIÁRIO'!$A$5:$A$1004,$A19-2)&gt;0)+(COUNTIFS('05B. APONTAMENTO DIÁRIO'!$B$5:$B$1004,$B19,'05B. APONTAMENTO DIÁRIO'!$A$5:$A$1004,$A19-1)&gt;0)+(COUNTIFS('05B. APONTAMENTO DIÁRIO'!$B$5:$B$1004,$B19,'05B. APONTAMENTO DIÁRIO'!$A$5:$A$1004,$A19-0)&gt;0))</f>
        <v>0</v>
      </c>
      <c r="H19" s="30">
        <f>IF($A19="","",IF($B19="343",NETWORKDAYS($A19-4,$A19,FERIADOS_343),IF($B19="281",NETWORKDAYS($A19-4,$A19,FERIADOS_281),NETWORKDAYS($A19-4,$A19,FERIADOS_342))))</f>
        <v>5</v>
      </c>
      <c r="I19" s="30">
        <f>IF(OR($A19="",$A19&gt;DATA_GESTAO),"",COUNTIFS('05C. RESTRIÇÕES'!$B$5:$B$204,$B19,'05C. RESTRIÇÕES'!$H$5:$H$204,"ABERTA",'05C. RESTRIÇÕES'!$E$5:$E$204,"&lt;&gt;CLIENTE")+COUNTIFS('05C. RESTRIÇÕES'!$B$5:$B$204,$B19,'05C. RESTRIÇÕES'!$H$5:$H$204,"RESOLVIDA",'05C. RESTRIÇÕES'!$E$5:$E$204,"&lt;&gt;CLIENTE",'05C. RESTRIÇÕES'!$I$5:$I$204,"&gt;"&amp;$A19))</f>
      </c>
      <c r="J19" s="30">
        <f>IF(OR($A19="",$A19&gt;DATA_GESTAO),"",COUNTIFS('05C. RESTRIÇÕES'!$B$5:$B$204,$B19,'05C. RESTRIÇÕES'!$H$5:$H$204,"ABERTA",'05C. RESTRIÇÕES'!$E$5:$E$204,"CLIENTE")+COUNTIFS('05C. RESTRIÇÕES'!$B$5:$B$204,$B19,'05C. RESTRIÇÕES'!$H$5:$H$204,"RESOLVIDA",'05C. RESTRIÇÕES'!$E$5:$E$204,"CLIENTE",'05C. RESTRIÇÕES'!$I$5:$I$204,"&gt;"&amp;$A19))</f>
      </c>
      <c r="K19" s="49" t="n"/>
    </row>
    <row r="20">
      <c r="A20" s="37" t="n">
        <v>46346</v>
      </c>
      <c r="B20" s="49" t="inlineStr">
        <is>
          <t>342</t>
        </is>
      </c>
      <c r="C20" s="30">
        <f>IF($A20="","",COUNTIFS('05A. COMPROMISSO DA SEMANA'!$A$5:$A$204,$A20,'05A. COMPROMISSO DA SEMANA'!$B$5:$B$204,$B20,'05A. COMPROMISSO DA SEMANA'!$J$5:$J$204,"SIM"))</f>
        <v>0</v>
      </c>
      <c r="D20" s="30">
        <f>IF($A20="","",COUNTIFS('05A. COMPROMISSO DA SEMANA'!$A$5:$A$204,$A20,'05A. COMPROMISSO DA SEMANA'!$B$5:$B$204,$B20,'05A. COMPROMISSO DA SEMANA'!$J$5:$J$204,"SIM",'05A. COMPROMISSO DA SEMANA'!$N$5:$N$204,"SIM"))</f>
        <v>0</v>
      </c>
      <c r="E20" s="50">
        <f>IF(OR($B20="",$C20="",N($C20)=0,$A20&gt;DATA_GESTAO),"",$D20/$C20)</f>
      </c>
      <c r="F20" s="327">
        <f>IF(OR($A20="",N($G20)=0),"",SUMIFS('05B. APONTAMENTO DIÁRIO'!$H$5:$H$1004,'05B. APONTAMENTO DIÁRIO'!$B$5:$B$1004,$B20,'05B. APONTAMENTO DIÁRIO'!$A$5:$A$1004,"&gt;="&amp;($A20-4),'05B. APONTAMENTO DIÁRIO'!$A$5:$A$1004,"&lt;="&amp;$A20)/$G20)</f>
      </c>
      <c r="G20" s="30">
        <f>IF($A20="","",(COUNTIFS('05B. APONTAMENTO DIÁRIO'!$B$5:$B$1004,$B20,'05B. APONTAMENTO DIÁRIO'!$A$5:$A$1004,$A20-4)&gt;0)+(COUNTIFS('05B. APONTAMENTO DIÁRIO'!$B$5:$B$1004,$B20,'05B. APONTAMENTO DIÁRIO'!$A$5:$A$1004,$A20-3)&gt;0)+(COUNTIFS('05B. APONTAMENTO DIÁRIO'!$B$5:$B$1004,$B20,'05B. APONTAMENTO DIÁRIO'!$A$5:$A$1004,$A20-2)&gt;0)+(COUNTIFS('05B. APONTAMENTO DIÁRIO'!$B$5:$B$1004,$B20,'05B. APONTAMENTO DIÁRIO'!$A$5:$A$1004,$A20-1)&gt;0)+(COUNTIFS('05B. APONTAMENTO DIÁRIO'!$B$5:$B$1004,$B20,'05B. APONTAMENTO DIÁRIO'!$A$5:$A$1004,$A20-0)&gt;0))</f>
        <v>0</v>
      </c>
      <c r="H20" s="30">
        <f>IF($A20="","",IF($B20="343",NETWORKDAYS($A20-4,$A20,FERIADOS_343),IF($B20="281",NETWORKDAYS($A20-4,$A20,FERIADOS_281),NETWORKDAYS($A20-4,$A20,FERIADOS_342))))</f>
        <v>4</v>
      </c>
      <c r="I20" s="30">
        <f>IF(OR($A20="",$A20&gt;DATA_GESTAO),"",COUNTIFS('05C. RESTRIÇÕES'!$B$5:$B$204,$B20,'05C. RESTRIÇÕES'!$H$5:$H$204,"ABERTA",'05C. RESTRIÇÕES'!$E$5:$E$204,"&lt;&gt;CLIENTE")+COUNTIFS('05C. RESTRIÇÕES'!$B$5:$B$204,$B20,'05C. RESTRIÇÕES'!$H$5:$H$204,"RESOLVIDA",'05C. RESTRIÇÕES'!$E$5:$E$204,"&lt;&gt;CLIENTE",'05C. RESTRIÇÕES'!$I$5:$I$204,"&gt;"&amp;$A20))</f>
      </c>
      <c r="J20" s="30">
        <f>IF(OR($A20="",$A20&gt;DATA_GESTAO),"",COUNTIFS('05C. RESTRIÇÕES'!$B$5:$B$204,$B20,'05C. RESTRIÇÕES'!$H$5:$H$204,"ABERTA",'05C. RESTRIÇÕES'!$E$5:$E$204,"CLIENTE")+COUNTIFS('05C. RESTRIÇÕES'!$B$5:$B$204,$B20,'05C. RESTRIÇÕES'!$H$5:$H$204,"RESOLVIDA",'05C. RESTRIÇÕES'!$E$5:$E$204,"CLIENTE",'05C. RESTRIÇÕES'!$I$5:$I$204,"&gt;"&amp;$A20))</f>
      </c>
      <c r="K20" s="49" t="n"/>
    </row>
    <row r="21">
      <c r="A21" s="37" t="n">
        <v>46346</v>
      </c>
      <c r="B21" s="49" t="inlineStr">
        <is>
          <t>343</t>
        </is>
      </c>
      <c r="C21" s="30">
        <f>IF($A21="","",COUNTIFS('05A. COMPROMISSO DA SEMANA'!$A$5:$A$204,$A21,'05A. COMPROMISSO DA SEMANA'!$B$5:$B$204,$B21,'05A. COMPROMISSO DA SEMANA'!$J$5:$J$204,"SIM"))</f>
        <v>0</v>
      </c>
      <c r="D21" s="30">
        <f>IF($A21="","",COUNTIFS('05A. COMPROMISSO DA SEMANA'!$A$5:$A$204,$A21,'05A. COMPROMISSO DA SEMANA'!$B$5:$B$204,$B21,'05A. COMPROMISSO DA SEMANA'!$J$5:$J$204,"SIM",'05A. COMPROMISSO DA SEMANA'!$N$5:$N$204,"SIM"))</f>
        <v>0</v>
      </c>
      <c r="E21" s="50">
        <f>IF(OR($B21="",$C21="",N($C21)=0,$A21&gt;DATA_GESTAO),"",$D21/$C21)</f>
      </c>
      <c r="F21" s="327">
        <f>IF(OR($A21="",N($G21)=0),"",SUMIFS('05B. APONTAMENTO DIÁRIO'!$H$5:$H$1004,'05B. APONTAMENTO DIÁRIO'!$B$5:$B$1004,$B21,'05B. APONTAMENTO DIÁRIO'!$A$5:$A$1004,"&gt;="&amp;($A21-4),'05B. APONTAMENTO DIÁRIO'!$A$5:$A$1004,"&lt;="&amp;$A21)/$G21)</f>
      </c>
      <c r="G21" s="30">
        <f>IF($A21="","",(COUNTIFS('05B. APONTAMENTO DIÁRIO'!$B$5:$B$1004,$B21,'05B. APONTAMENTO DIÁRIO'!$A$5:$A$1004,$A21-4)&gt;0)+(COUNTIFS('05B. APONTAMENTO DIÁRIO'!$B$5:$B$1004,$B21,'05B. APONTAMENTO DIÁRIO'!$A$5:$A$1004,$A21-3)&gt;0)+(COUNTIFS('05B. APONTAMENTO DIÁRIO'!$B$5:$B$1004,$B21,'05B. APONTAMENTO DIÁRIO'!$A$5:$A$1004,$A21-2)&gt;0)+(COUNTIFS('05B. APONTAMENTO DIÁRIO'!$B$5:$B$1004,$B21,'05B. APONTAMENTO DIÁRIO'!$A$5:$A$1004,$A21-1)&gt;0)+(COUNTIFS('05B. APONTAMENTO DIÁRIO'!$B$5:$B$1004,$B21,'05B. APONTAMENTO DIÁRIO'!$A$5:$A$1004,$A21-0)&gt;0))</f>
        <v>0</v>
      </c>
      <c r="H21" s="30">
        <f>IF($A21="","",IF($B21="343",NETWORKDAYS($A21-4,$A21,FERIADOS_343),IF($B21="281",NETWORKDAYS($A21-4,$A21,FERIADOS_281),NETWORKDAYS($A21-4,$A21,FERIADOS_342))))</f>
        <v>4</v>
      </c>
      <c r="I21" s="30">
        <f>IF(OR($A21="",$A21&gt;DATA_GESTAO),"",COUNTIFS('05C. RESTRIÇÕES'!$B$5:$B$204,$B21,'05C. RESTRIÇÕES'!$H$5:$H$204,"ABERTA",'05C. RESTRIÇÕES'!$E$5:$E$204,"&lt;&gt;CLIENTE")+COUNTIFS('05C. RESTRIÇÕES'!$B$5:$B$204,$B21,'05C. RESTRIÇÕES'!$H$5:$H$204,"RESOLVIDA",'05C. RESTRIÇÕES'!$E$5:$E$204,"&lt;&gt;CLIENTE",'05C. RESTRIÇÕES'!$I$5:$I$204,"&gt;"&amp;$A21))</f>
      </c>
      <c r="J21" s="30">
        <f>IF(OR($A21="",$A21&gt;DATA_GESTAO),"",COUNTIFS('05C. RESTRIÇÕES'!$B$5:$B$204,$B21,'05C. RESTRIÇÕES'!$H$5:$H$204,"ABERTA",'05C. RESTRIÇÕES'!$E$5:$E$204,"CLIENTE")+COUNTIFS('05C. RESTRIÇÕES'!$B$5:$B$204,$B21,'05C. RESTRIÇÕES'!$H$5:$H$204,"RESOLVIDA",'05C. RESTRIÇÕES'!$E$5:$E$204,"CLIENTE",'05C. RESTRIÇÕES'!$I$5:$I$204,"&gt;"&amp;$A21))</f>
      </c>
      <c r="K21" s="49" t="n"/>
    </row>
    <row r="22">
      <c r="A22" s="37" t="n">
        <v>46346</v>
      </c>
      <c r="B22" s="49" t="inlineStr">
        <is>
          <t>281</t>
        </is>
      </c>
      <c r="C22" s="30">
        <f>IF($A22="","",COUNTIFS('05A. COMPROMISSO DA SEMANA'!$A$5:$A$204,$A22,'05A. COMPROMISSO DA SEMANA'!$B$5:$B$204,$B22,'05A. COMPROMISSO DA SEMANA'!$J$5:$J$204,"SIM"))</f>
        <v>0</v>
      </c>
      <c r="D22" s="30">
        <f>IF($A22="","",COUNTIFS('05A. COMPROMISSO DA SEMANA'!$A$5:$A$204,$A22,'05A. COMPROMISSO DA SEMANA'!$B$5:$B$204,$B22,'05A. COMPROMISSO DA SEMANA'!$J$5:$J$204,"SIM",'05A. COMPROMISSO DA SEMANA'!$N$5:$N$204,"SIM"))</f>
        <v>0</v>
      </c>
      <c r="E22" s="50">
        <f>IF(OR($B22="",$C22="",N($C22)=0,$A22&gt;DATA_GESTAO),"",$D22/$C22)</f>
      </c>
      <c r="F22" s="327">
        <f>IF(OR($A22="",N($G22)=0),"",SUMIFS('05B. APONTAMENTO DIÁRIO'!$H$5:$H$1004,'05B. APONTAMENTO DIÁRIO'!$B$5:$B$1004,$B22,'05B. APONTAMENTO DIÁRIO'!$A$5:$A$1004,"&gt;="&amp;($A22-4),'05B. APONTAMENTO DIÁRIO'!$A$5:$A$1004,"&lt;="&amp;$A22)/$G22)</f>
      </c>
      <c r="G22" s="30">
        <f>IF($A22="","",(COUNTIFS('05B. APONTAMENTO DIÁRIO'!$B$5:$B$1004,$B22,'05B. APONTAMENTO DIÁRIO'!$A$5:$A$1004,$A22-4)&gt;0)+(COUNTIFS('05B. APONTAMENTO DIÁRIO'!$B$5:$B$1004,$B22,'05B. APONTAMENTO DIÁRIO'!$A$5:$A$1004,$A22-3)&gt;0)+(COUNTIFS('05B. APONTAMENTO DIÁRIO'!$B$5:$B$1004,$B22,'05B. APONTAMENTO DIÁRIO'!$A$5:$A$1004,$A22-2)&gt;0)+(COUNTIFS('05B. APONTAMENTO DIÁRIO'!$B$5:$B$1004,$B22,'05B. APONTAMENTO DIÁRIO'!$A$5:$A$1004,$A22-1)&gt;0)+(COUNTIFS('05B. APONTAMENTO DIÁRIO'!$B$5:$B$1004,$B22,'05B. APONTAMENTO DIÁRIO'!$A$5:$A$1004,$A22-0)&gt;0))</f>
        <v>0</v>
      </c>
      <c r="H22" s="30">
        <f>IF($A22="","",IF($B22="343",NETWORKDAYS($A22-4,$A22,FERIADOS_343),IF($B22="281",NETWORKDAYS($A22-4,$A22,FERIADOS_281),NETWORKDAYS($A22-4,$A22,FERIADOS_342))))</f>
        <v>4</v>
      </c>
      <c r="I22" s="30">
        <f>IF(OR($A22="",$A22&gt;DATA_GESTAO),"",COUNTIFS('05C. RESTRIÇÕES'!$B$5:$B$204,$B22,'05C. RESTRIÇÕES'!$H$5:$H$204,"ABERTA",'05C. RESTRIÇÕES'!$E$5:$E$204,"&lt;&gt;CLIENTE")+COUNTIFS('05C. RESTRIÇÕES'!$B$5:$B$204,$B22,'05C. RESTRIÇÕES'!$H$5:$H$204,"RESOLVIDA",'05C. RESTRIÇÕES'!$E$5:$E$204,"&lt;&gt;CLIENTE",'05C. RESTRIÇÕES'!$I$5:$I$204,"&gt;"&amp;$A22))</f>
      </c>
      <c r="J22" s="30">
        <f>IF(OR($A22="",$A22&gt;DATA_GESTAO),"",COUNTIFS('05C. RESTRIÇÕES'!$B$5:$B$204,$B22,'05C. RESTRIÇÕES'!$H$5:$H$204,"ABERTA",'05C. RESTRIÇÕES'!$E$5:$E$204,"CLIENTE")+COUNTIFS('05C. RESTRIÇÕES'!$B$5:$B$204,$B22,'05C. RESTRIÇÕES'!$H$5:$H$204,"RESOLVIDA",'05C. RESTRIÇÕES'!$E$5:$E$204,"CLIENTE",'05C. RESTRIÇÕES'!$I$5:$I$204,"&gt;"&amp;$A22))</f>
      </c>
      <c r="K22" s="49" t="n"/>
    </row>
    <row r="23">
      <c r="A23" s="37" t="n">
        <v>46353</v>
      </c>
      <c r="B23" s="49" t="inlineStr">
        <is>
          <t>342</t>
        </is>
      </c>
      <c r="C23" s="30">
        <f>IF($A23="","",COUNTIFS('05A. COMPROMISSO DA SEMANA'!$A$5:$A$204,$A23,'05A. COMPROMISSO DA SEMANA'!$B$5:$B$204,$B23,'05A. COMPROMISSO DA SEMANA'!$J$5:$J$204,"SIM"))</f>
        <v>0</v>
      </c>
      <c r="D23" s="30">
        <f>IF($A23="","",COUNTIFS('05A. COMPROMISSO DA SEMANA'!$A$5:$A$204,$A23,'05A. COMPROMISSO DA SEMANA'!$B$5:$B$204,$B23,'05A. COMPROMISSO DA SEMANA'!$J$5:$J$204,"SIM",'05A. COMPROMISSO DA SEMANA'!$N$5:$N$204,"SIM"))</f>
        <v>0</v>
      </c>
      <c r="E23" s="50">
        <f>IF(OR($B23="",$C23="",N($C23)=0,$A23&gt;DATA_GESTAO),"",$D23/$C23)</f>
      </c>
      <c r="F23" s="327">
        <f>IF(OR($A23="",N($G23)=0),"",SUMIFS('05B. APONTAMENTO DIÁRIO'!$H$5:$H$1004,'05B. APONTAMENTO DIÁRIO'!$B$5:$B$1004,$B23,'05B. APONTAMENTO DIÁRIO'!$A$5:$A$1004,"&gt;="&amp;($A23-4),'05B. APONTAMENTO DIÁRIO'!$A$5:$A$1004,"&lt;="&amp;$A23)/$G23)</f>
      </c>
      <c r="G23" s="30">
        <f>IF($A23="","",(COUNTIFS('05B. APONTAMENTO DIÁRIO'!$B$5:$B$1004,$B23,'05B. APONTAMENTO DIÁRIO'!$A$5:$A$1004,$A23-4)&gt;0)+(COUNTIFS('05B. APONTAMENTO DIÁRIO'!$B$5:$B$1004,$B23,'05B. APONTAMENTO DIÁRIO'!$A$5:$A$1004,$A23-3)&gt;0)+(COUNTIFS('05B. APONTAMENTO DIÁRIO'!$B$5:$B$1004,$B23,'05B. APONTAMENTO DIÁRIO'!$A$5:$A$1004,$A23-2)&gt;0)+(COUNTIFS('05B. APONTAMENTO DIÁRIO'!$B$5:$B$1004,$B23,'05B. APONTAMENTO DIÁRIO'!$A$5:$A$1004,$A23-1)&gt;0)+(COUNTIFS('05B. APONTAMENTO DIÁRIO'!$B$5:$B$1004,$B23,'05B. APONTAMENTO DIÁRIO'!$A$5:$A$1004,$A23-0)&gt;0))</f>
        <v>0</v>
      </c>
      <c r="H23" s="30">
        <f>IF($A23="","",IF($B23="343",NETWORKDAYS($A23-4,$A23,FERIADOS_343),IF($B23="281",NETWORKDAYS($A23-4,$A23,FERIADOS_281),NETWORKDAYS($A23-4,$A23,FERIADOS_342))))</f>
        <v>5</v>
      </c>
      <c r="I23" s="30">
        <f>IF(OR($A23="",$A23&gt;DATA_GESTAO),"",COUNTIFS('05C. RESTRIÇÕES'!$B$5:$B$204,$B23,'05C. RESTRIÇÕES'!$H$5:$H$204,"ABERTA",'05C. RESTRIÇÕES'!$E$5:$E$204,"&lt;&gt;CLIENTE")+COUNTIFS('05C. RESTRIÇÕES'!$B$5:$B$204,$B23,'05C. RESTRIÇÕES'!$H$5:$H$204,"RESOLVIDA",'05C. RESTRIÇÕES'!$E$5:$E$204,"&lt;&gt;CLIENTE",'05C. RESTRIÇÕES'!$I$5:$I$204,"&gt;"&amp;$A23))</f>
      </c>
      <c r="J23" s="30">
        <f>IF(OR($A23="",$A23&gt;DATA_GESTAO),"",COUNTIFS('05C. RESTRIÇÕES'!$B$5:$B$204,$B23,'05C. RESTRIÇÕES'!$H$5:$H$204,"ABERTA",'05C. RESTRIÇÕES'!$E$5:$E$204,"CLIENTE")+COUNTIFS('05C. RESTRIÇÕES'!$B$5:$B$204,$B23,'05C. RESTRIÇÕES'!$H$5:$H$204,"RESOLVIDA",'05C. RESTRIÇÕES'!$E$5:$E$204,"CLIENTE",'05C. RESTRIÇÕES'!$I$5:$I$204,"&gt;"&amp;$A23))</f>
      </c>
      <c r="K23" s="49" t="n"/>
    </row>
    <row r="24">
      <c r="A24" s="37" t="n">
        <v>46353</v>
      </c>
      <c r="B24" s="49" t="inlineStr">
        <is>
          <t>343</t>
        </is>
      </c>
      <c r="C24" s="30">
        <f>IF($A24="","",COUNTIFS('05A. COMPROMISSO DA SEMANA'!$A$5:$A$204,$A24,'05A. COMPROMISSO DA SEMANA'!$B$5:$B$204,$B24,'05A. COMPROMISSO DA SEMANA'!$J$5:$J$204,"SIM"))</f>
        <v>0</v>
      </c>
      <c r="D24" s="30">
        <f>IF($A24="","",COUNTIFS('05A. COMPROMISSO DA SEMANA'!$A$5:$A$204,$A24,'05A. COMPROMISSO DA SEMANA'!$B$5:$B$204,$B24,'05A. COMPROMISSO DA SEMANA'!$J$5:$J$204,"SIM",'05A. COMPROMISSO DA SEMANA'!$N$5:$N$204,"SIM"))</f>
        <v>0</v>
      </c>
      <c r="E24" s="50">
        <f>IF(OR($B24="",$C24="",N($C24)=0,$A24&gt;DATA_GESTAO),"",$D24/$C24)</f>
      </c>
      <c r="F24" s="327">
        <f>IF(OR($A24="",N($G24)=0),"",SUMIFS('05B. APONTAMENTO DIÁRIO'!$H$5:$H$1004,'05B. APONTAMENTO DIÁRIO'!$B$5:$B$1004,$B24,'05B. APONTAMENTO DIÁRIO'!$A$5:$A$1004,"&gt;="&amp;($A24-4),'05B. APONTAMENTO DIÁRIO'!$A$5:$A$1004,"&lt;="&amp;$A24)/$G24)</f>
      </c>
      <c r="G24" s="30">
        <f>IF($A24="","",(COUNTIFS('05B. APONTAMENTO DIÁRIO'!$B$5:$B$1004,$B24,'05B. APONTAMENTO DIÁRIO'!$A$5:$A$1004,$A24-4)&gt;0)+(COUNTIFS('05B. APONTAMENTO DIÁRIO'!$B$5:$B$1004,$B24,'05B. APONTAMENTO DIÁRIO'!$A$5:$A$1004,$A24-3)&gt;0)+(COUNTIFS('05B. APONTAMENTO DIÁRIO'!$B$5:$B$1004,$B24,'05B. APONTAMENTO DIÁRIO'!$A$5:$A$1004,$A24-2)&gt;0)+(COUNTIFS('05B. APONTAMENTO DIÁRIO'!$B$5:$B$1004,$B24,'05B. APONTAMENTO DIÁRIO'!$A$5:$A$1004,$A24-1)&gt;0)+(COUNTIFS('05B. APONTAMENTO DIÁRIO'!$B$5:$B$1004,$B24,'05B. APONTAMENTO DIÁRIO'!$A$5:$A$1004,$A24-0)&gt;0))</f>
        <v>0</v>
      </c>
      <c r="H24" s="30">
        <f>IF($A24="","",IF($B24="343",NETWORKDAYS($A24-4,$A24,FERIADOS_343),IF($B24="281",NETWORKDAYS($A24-4,$A24,FERIADOS_281),NETWORKDAYS($A24-4,$A24,FERIADOS_342))))</f>
        <v>5</v>
      </c>
      <c r="I24" s="30">
        <f>IF(OR($A24="",$A24&gt;DATA_GESTAO),"",COUNTIFS('05C. RESTRIÇÕES'!$B$5:$B$204,$B24,'05C. RESTRIÇÕES'!$H$5:$H$204,"ABERTA",'05C. RESTRIÇÕES'!$E$5:$E$204,"&lt;&gt;CLIENTE")+COUNTIFS('05C. RESTRIÇÕES'!$B$5:$B$204,$B24,'05C. RESTRIÇÕES'!$H$5:$H$204,"RESOLVIDA",'05C. RESTRIÇÕES'!$E$5:$E$204,"&lt;&gt;CLIENTE",'05C. RESTRIÇÕES'!$I$5:$I$204,"&gt;"&amp;$A24))</f>
      </c>
      <c r="J24" s="30">
        <f>IF(OR($A24="",$A24&gt;DATA_GESTAO),"",COUNTIFS('05C. RESTRIÇÕES'!$B$5:$B$204,$B24,'05C. RESTRIÇÕES'!$H$5:$H$204,"ABERTA",'05C. RESTRIÇÕES'!$E$5:$E$204,"CLIENTE")+COUNTIFS('05C. RESTRIÇÕES'!$B$5:$B$204,$B24,'05C. RESTRIÇÕES'!$H$5:$H$204,"RESOLVIDA",'05C. RESTRIÇÕES'!$E$5:$E$204,"CLIENTE",'05C. RESTRIÇÕES'!$I$5:$I$204,"&gt;"&amp;$A24))</f>
      </c>
      <c r="K24" s="49" t="n"/>
    </row>
    <row r="25">
      <c r="A25" s="37" t="n">
        <v>46353</v>
      </c>
      <c r="B25" s="49" t="inlineStr">
        <is>
          <t>281</t>
        </is>
      </c>
      <c r="C25" s="30">
        <f>IF($A25="","",COUNTIFS('05A. COMPROMISSO DA SEMANA'!$A$5:$A$204,$A25,'05A. COMPROMISSO DA SEMANA'!$B$5:$B$204,$B25,'05A. COMPROMISSO DA SEMANA'!$J$5:$J$204,"SIM"))</f>
        <v>0</v>
      </c>
      <c r="D25" s="30">
        <f>IF($A25="","",COUNTIFS('05A. COMPROMISSO DA SEMANA'!$A$5:$A$204,$A25,'05A. COMPROMISSO DA SEMANA'!$B$5:$B$204,$B25,'05A. COMPROMISSO DA SEMANA'!$J$5:$J$204,"SIM",'05A. COMPROMISSO DA SEMANA'!$N$5:$N$204,"SIM"))</f>
        <v>0</v>
      </c>
      <c r="E25" s="50">
        <f>IF(OR($B25="",$C25="",N($C25)=0,$A25&gt;DATA_GESTAO),"",$D25/$C25)</f>
      </c>
      <c r="F25" s="327">
        <f>IF(OR($A25="",N($G25)=0),"",SUMIFS('05B. APONTAMENTO DIÁRIO'!$H$5:$H$1004,'05B. APONTAMENTO DIÁRIO'!$B$5:$B$1004,$B25,'05B. APONTAMENTO DIÁRIO'!$A$5:$A$1004,"&gt;="&amp;($A25-4),'05B. APONTAMENTO DIÁRIO'!$A$5:$A$1004,"&lt;="&amp;$A25)/$G25)</f>
      </c>
      <c r="G25" s="30">
        <f>IF($A25="","",(COUNTIFS('05B. APONTAMENTO DIÁRIO'!$B$5:$B$1004,$B25,'05B. APONTAMENTO DIÁRIO'!$A$5:$A$1004,$A25-4)&gt;0)+(COUNTIFS('05B. APONTAMENTO DIÁRIO'!$B$5:$B$1004,$B25,'05B. APONTAMENTO DIÁRIO'!$A$5:$A$1004,$A25-3)&gt;0)+(COUNTIFS('05B. APONTAMENTO DIÁRIO'!$B$5:$B$1004,$B25,'05B. APONTAMENTO DIÁRIO'!$A$5:$A$1004,$A25-2)&gt;0)+(COUNTIFS('05B. APONTAMENTO DIÁRIO'!$B$5:$B$1004,$B25,'05B. APONTAMENTO DIÁRIO'!$A$5:$A$1004,$A25-1)&gt;0)+(COUNTIFS('05B. APONTAMENTO DIÁRIO'!$B$5:$B$1004,$B25,'05B. APONTAMENTO DIÁRIO'!$A$5:$A$1004,$A25-0)&gt;0))</f>
        <v>0</v>
      </c>
      <c r="H25" s="30">
        <f>IF($A25="","",IF($B25="343",NETWORKDAYS($A25-4,$A25,FERIADOS_343),IF($B25="281",NETWORKDAYS($A25-4,$A25,FERIADOS_281),NETWORKDAYS($A25-4,$A25,FERIADOS_342))))</f>
        <v>5</v>
      </c>
      <c r="I25" s="30">
        <f>IF(OR($A25="",$A25&gt;DATA_GESTAO),"",COUNTIFS('05C. RESTRIÇÕES'!$B$5:$B$204,$B25,'05C. RESTRIÇÕES'!$H$5:$H$204,"ABERTA",'05C. RESTRIÇÕES'!$E$5:$E$204,"&lt;&gt;CLIENTE")+COUNTIFS('05C. RESTRIÇÕES'!$B$5:$B$204,$B25,'05C. RESTRIÇÕES'!$H$5:$H$204,"RESOLVIDA",'05C. RESTRIÇÕES'!$E$5:$E$204,"&lt;&gt;CLIENTE",'05C. RESTRIÇÕES'!$I$5:$I$204,"&gt;"&amp;$A25))</f>
      </c>
      <c r="J25" s="30">
        <f>IF(OR($A25="",$A25&gt;DATA_GESTAO),"",COUNTIFS('05C. RESTRIÇÕES'!$B$5:$B$204,$B25,'05C. RESTRIÇÕES'!$H$5:$H$204,"ABERTA",'05C. RESTRIÇÕES'!$E$5:$E$204,"CLIENTE")+COUNTIFS('05C. RESTRIÇÕES'!$B$5:$B$204,$B25,'05C. RESTRIÇÕES'!$H$5:$H$204,"RESOLVIDA",'05C. RESTRIÇÕES'!$E$5:$E$204,"CLIENTE",'05C. RESTRIÇÕES'!$I$5:$I$204,"&gt;"&amp;$A25))</f>
      </c>
      <c r="K25" s="49" t="n"/>
    </row>
    <row r="26">
      <c r="A26" s="37" t="n"/>
      <c r="B26" s="49" t="n"/>
      <c r="C26" s="30">
        <f>IF($A26="","",COUNTIFS('05A. COMPROMISSO DA SEMANA'!$A$5:$A$204,$A26,'05A. COMPROMISSO DA SEMANA'!$B$5:$B$204,$B26,'05A. COMPROMISSO DA SEMANA'!$J$5:$J$204,"SIM"))</f>
      </c>
      <c r="D26" s="30">
        <f>IF($A26="","",COUNTIFS('05A. COMPROMISSO DA SEMANA'!$A$5:$A$204,$A26,'05A. COMPROMISSO DA SEMANA'!$B$5:$B$204,$B26,'05A. COMPROMISSO DA SEMANA'!$J$5:$J$204,"SIM",'05A. COMPROMISSO DA SEMANA'!$N$5:$N$204,"SIM"))</f>
      </c>
      <c r="E26" s="50">
        <f>IF(OR($B26="",$C26="",N($C26)=0,$A26&gt;DATA_GESTAO),"",$D26/$C26)</f>
      </c>
      <c r="F26" s="327">
        <f>IF(OR($A26="",N($G26)=0),"",SUMIFS('05B. APONTAMENTO DIÁRIO'!$H$5:$H$1004,'05B. APONTAMENTO DIÁRIO'!$B$5:$B$1004,$B26,'05B. APONTAMENTO DIÁRIO'!$A$5:$A$1004,"&gt;="&amp;($A26-4),'05B. APONTAMENTO DIÁRIO'!$A$5:$A$1004,"&lt;="&amp;$A26)/$G26)</f>
      </c>
      <c r="G26" s="30">
        <f>IF($A26="","",(COUNTIFS('05B. APONTAMENTO DIÁRIO'!$B$5:$B$1004,$B26,'05B. APONTAMENTO DIÁRIO'!$A$5:$A$1004,$A26-4)&gt;0)+(COUNTIFS('05B. APONTAMENTO DIÁRIO'!$B$5:$B$1004,$B26,'05B. APONTAMENTO DIÁRIO'!$A$5:$A$1004,$A26-3)&gt;0)+(COUNTIFS('05B. APONTAMENTO DIÁRIO'!$B$5:$B$1004,$B26,'05B. APONTAMENTO DIÁRIO'!$A$5:$A$1004,$A26-2)&gt;0)+(COUNTIFS('05B. APONTAMENTO DIÁRIO'!$B$5:$B$1004,$B26,'05B. APONTAMENTO DIÁRIO'!$A$5:$A$1004,$A26-1)&gt;0)+(COUNTIFS('05B. APONTAMENTO DIÁRIO'!$B$5:$B$1004,$B26,'05B. APONTAMENTO DIÁRIO'!$A$5:$A$1004,$A26-0)&gt;0))</f>
      </c>
      <c r="H26" s="30">
        <f>IF($A26="","",IF($B26="343",NETWORKDAYS($A26-4,$A26,FERIADOS_343),IF($B26="281",NETWORKDAYS($A26-4,$A26,FERIADOS_281),NETWORKDAYS($A26-4,$A26,FERIADOS_342))))</f>
      </c>
      <c r="I26" s="30">
        <f>IF(OR($A26="",$A26&gt;DATA_GESTAO),"",COUNTIFS('05C. RESTRIÇÕES'!$B$5:$B$204,$B26,'05C. RESTRIÇÕES'!$H$5:$H$204,"ABERTA",'05C. RESTRIÇÕES'!$E$5:$E$204,"&lt;&gt;CLIENTE")+COUNTIFS('05C. RESTRIÇÕES'!$B$5:$B$204,$B26,'05C. RESTRIÇÕES'!$H$5:$H$204,"RESOLVIDA",'05C. RESTRIÇÕES'!$E$5:$E$204,"&lt;&gt;CLIENTE",'05C. RESTRIÇÕES'!$I$5:$I$204,"&gt;"&amp;$A26))</f>
      </c>
      <c r="J26" s="30">
        <f>IF(OR($A26="",$A26&gt;DATA_GESTAO),"",COUNTIFS('05C. RESTRIÇÕES'!$B$5:$B$204,$B26,'05C. RESTRIÇÕES'!$H$5:$H$204,"ABERTA",'05C. RESTRIÇÕES'!$E$5:$E$204,"CLIENTE")+COUNTIFS('05C. RESTRIÇÕES'!$B$5:$B$204,$B26,'05C. RESTRIÇÕES'!$H$5:$H$204,"RESOLVIDA",'05C. RESTRIÇÕES'!$E$5:$E$204,"CLIENTE",'05C. RESTRIÇÕES'!$I$5:$I$204,"&gt;"&amp;$A26))</f>
      </c>
      <c r="K26" s="49" t="n"/>
    </row>
    <row r="27">
      <c r="A27" s="37" t="n"/>
      <c r="B27" s="49" t="n"/>
      <c r="C27" s="30">
        <f>IF($A27="","",COUNTIFS('05A. COMPROMISSO DA SEMANA'!$A$5:$A$204,$A27,'05A. COMPROMISSO DA SEMANA'!$B$5:$B$204,$B27,'05A. COMPROMISSO DA SEMANA'!$J$5:$J$204,"SIM"))</f>
      </c>
      <c r="D27" s="30">
        <f>IF($A27="","",COUNTIFS('05A. COMPROMISSO DA SEMANA'!$A$5:$A$204,$A27,'05A. COMPROMISSO DA SEMANA'!$B$5:$B$204,$B27,'05A. COMPROMISSO DA SEMANA'!$J$5:$J$204,"SIM",'05A. COMPROMISSO DA SEMANA'!$N$5:$N$204,"SIM"))</f>
      </c>
      <c r="E27" s="50">
        <f>IF(OR($B27="",$C27="",N($C27)=0,$A27&gt;DATA_GESTAO),"",$D27/$C27)</f>
      </c>
      <c r="F27" s="327">
        <f>IF(OR($A27="",N($G27)=0),"",SUMIFS('05B. APONTAMENTO DIÁRIO'!$H$5:$H$1004,'05B. APONTAMENTO DIÁRIO'!$B$5:$B$1004,$B27,'05B. APONTAMENTO DIÁRIO'!$A$5:$A$1004,"&gt;="&amp;($A27-4),'05B. APONTAMENTO DIÁRIO'!$A$5:$A$1004,"&lt;="&amp;$A27)/$G27)</f>
      </c>
      <c r="G27" s="30">
        <f>IF($A27="","",(COUNTIFS('05B. APONTAMENTO DIÁRIO'!$B$5:$B$1004,$B27,'05B. APONTAMENTO DIÁRIO'!$A$5:$A$1004,$A27-4)&gt;0)+(COUNTIFS('05B. APONTAMENTO DIÁRIO'!$B$5:$B$1004,$B27,'05B. APONTAMENTO DIÁRIO'!$A$5:$A$1004,$A27-3)&gt;0)+(COUNTIFS('05B. APONTAMENTO DIÁRIO'!$B$5:$B$1004,$B27,'05B. APONTAMENTO DIÁRIO'!$A$5:$A$1004,$A27-2)&gt;0)+(COUNTIFS('05B. APONTAMENTO DIÁRIO'!$B$5:$B$1004,$B27,'05B. APONTAMENTO DIÁRIO'!$A$5:$A$1004,$A27-1)&gt;0)+(COUNTIFS('05B. APONTAMENTO DIÁRIO'!$B$5:$B$1004,$B27,'05B. APONTAMENTO DIÁRIO'!$A$5:$A$1004,$A27-0)&gt;0))</f>
      </c>
      <c r="H27" s="30">
        <f>IF($A27="","",IF($B27="343",NETWORKDAYS($A27-4,$A27,FERIADOS_343),IF($B27="281",NETWORKDAYS($A27-4,$A27,FERIADOS_281),NETWORKDAYS($A27-4,$A27,FERIADOS_342))))</f>
      </c>
      <c r="I27" s="30">
        <f>IF(OR($A27="",$A27&gt;DATA_GESTAO),"",COUNTIFS('05C. RESTRIÇÕES'!$B$5:$B$204,$B27,'05C. RESTRIÇÕES'!$H$5:$H$204,"ABERTA",'05C. RESTRIÇÕES'!$E$5:$E$204,"&lt;&gt;CLIENTE")+COUNTIFS('05C. RESTRIÇÕES'!$B$5:$B$204,$B27,'05C. RESTRIÇÕES'!$H$5:$H$204,"RESOLVIDA",'05C. RESTRIÇÕES'!$E$5:$E$204,"&lt;&gt;CLIENTE",'05C. RESTRIÇÕES'!$I$5:$I$204,"&gt;"&amp;$A27))</f>
      </c>
      <c r="J27" s="30">
        <f>IF(OR($A27="",$A27&gt;DATA_GESTAO),"",COUNTIFS('05C. RESTRIÇÕES'!$B$5:$B$204,$B27,'05C. RESTRIÇÕES'!$H$5:$H$204,"ABERTA",'05C. RESTRIÇÕES'!$E$5:$E$204,"CLIENTE")+COUNTIFS('05C. RESTRIÇÕES'!$B$5:$B$204,$B27,'05C. RESTRIÇÕES'!$H$5:$H$204,"RESOLVIDA",'05C. RESTRIÇÕES'!$E$5:$E$204,"CLIENTE",'05C. RESTRIÇÕES'!$I$5:$I$204,"&gt;"&amp;$A27))</f>
      </c>
      <c r="K27" s="49" t="n"/>
    </row>
    <row r="28">
      <c r="A28" s="37" t="n"/>
      <c r="B28" s="49" t="n"/>
      <c r="C28" s="30">
        <f>IF($A28="","",COUNTIFS('05A. COMPROMISSO DA SEMANA'!$A$5:$A$204,$A28,'05A. COMPROMISSO DA SEMANA'!$B$5:$B$204,$B28,'05A. COMPROMISSO DA SEMANA'!$J$5:$J$204,"SIM"))</f>
      </c>
      <c r="D28" s="30">
        <f>IF($A28="","",COUNTIFS('05A. COMPROMISSO DA SEMANA'!$A$5:$A$204,$A28,'05A. COMPROMISSO DA SEMANA'!$B$5:$B$204,$B28,'05A. COMPROMISSO DA SEMANA'!$J$5:$J$204,"SIM",'05A. COMPROMISSO DA SEMANA'!$N$5:$N$204,"SIM"))</f>
      </c>
      <c r="E28" s="50">
        <f>IF(OR($B28="",$C28="",N($C28)=0,$A28&gt;DATA_GESTAO),"",$D28/$C28)</f>
      </c>
      <c r="F28" s="327">
        <f>IF(OR($A28="",N($G28)=0),"",SUMIFS('05B. APONTAMENTO DIÁRIO'!$H$5:$H$1004,'05B. APONTAMENTO DIÁRIO'!$B$5:$B$1004,$B28,'05B. APONTAMENTO DIÁRIO'!$A$5:$A$1004,"&gt;="&amp;($A28-4),'05B. APONTAMENTO DIÁRIO'!$A$5:$A$1004,"&lt;="&amp;$A28)/$G28)</f>
      </c>
      <c r="G28" s="30">
        <f>IF($A28="","",(COUNTIFS('05B. APONTAMENTO DIÁRIO'!$B$5:$B$1004,$B28,'05B. APONTAMENTO DIÁRIO'!$A$5:$A$1004,$A28-4)&gt;0)+(COUNTIFS('05B. APONTAMENTO DIÁRIO'!$B$5:$B$1004,$B28,'05B. APONTAMENTO DIÁRIO'!$A$5:$A$1004,$A28-3)&gt;0)+(COUNTIFS('05B. APONTAMENTO DIÁRIO'!$B$5:$B$1004,$B28,'05B. APONTAMENTO DIÁRIO'!$A$5:$A$1004,$A28-2)&gt;0)+(COUNTIFS('05B. APONTAMENTO DIÁRIO'!$B$5:$B$1004,$B28,'05B. APONTAMENTO DIÁRIO'!$A$5:$A$1004,$A28-1)&gt;0)+(COUNTIFS('05B. APONTAMENTO DIÁRIO'!$B$5:$B$1004,$B28,'05B. APONTAMENTO DIÁRIO'!$A$5:$A$1004,$A28-0)&gt;0))</f>
      </c>
      <c r="H28" s="30">
        <f>IF($A28="","",IF($B28="343",NETWORKDAYS($A28-4,$A28,FERIADOS_343),IF($B28="281",NETWORKDAYS($A28-4,$A28,FERIADOS_281),NETWORKDAYS($A28-4,$A28,FERIADOS_342))))</f>
      </c>
      <c r="I28" s="30">
        <f>IF(OR($A28="",$A28&gt;DATA_GESTAO),"",COUNTIFS('05C. RESTRIÇÕES'!$B$5:$B$204,$B28,'05C. RESTRIÇÕES'!$H$5:$H$204,"ABERTA",'05C. RESTRIÇÕES'!$E$5:$E$204,"&lt;&gt;CLIENTE")+COUNTIFS('05C. RESTRIÇÕES'!$B$5:$B$204,$B28,'05C. RESTRIÇÕES'!$H$5:$H$204,"RESOLVIDA",'05C. RESTRIÇÕES'!$E$5:$E$204,"&lt;&gt;CLIENTE",'05C. RESTRIÇÕES'!$I$5:$I$204,"&gt;"&amp;$A28))</f>
      </c>
      <c r="J28" s="30">
        <f>IF(OR($A28="",$A28&gt;DATA_GESTAO),"",COUNTIFS('05C. RESTRIÇÕES'!$B$5:$B$204,$B28,'05C. RESTRIÇÕES'!$H$5:$H$204,"ABERTA",'05C. RESTRIÇÕES'!$E$5:$E$204,"CLIENTE")+COUNTIFS('05C. RESTRIÇÕES'!$B$5:$B$204,$B28,'05C. RESTRIÇÕES'!$H$5:$H$204,"RESOLVIDA",'05C. RESTRIÇÕES'!$E$5:$E$204,"CLIENTE",'05C. RESTRIÇÕES'!$I$5:$I$204,"&gt;"&amp;$A28))</f>
      </c>
      <c r="K28" s="49" t="n"/>
    </row>
    <row r="29">
      <c r="A29" s="37" t="n"/>
      <c r="B29" s="49" t="n"/>
      <c r="C29" s="30">
        <f>IF($A29="","",COUNTIFS('05A. COMPROMISSO DA SEMANA'!$A$5:$A$204,$A29,'05A. COMPROMISSO DA SEMANA'!$B$5:$B$204,$B29,'05A. COMPROMISSO DA SEMANA'!$J$5:$J$204,"SIM"))</f>
      </c>
      <c r="D29" s="30">
        <f>IF($A29="","",COUNTIFS('05A. COMPROMISSO DA SEMANA'!$A$5:$A$204,$A29,'05A. COMPROMISSO DA SEMANA'!$B$5:$B$204,$B29,'05A. COMPROMISSO DA SEMANA'!$J$5:$J$204,"SIM",'05A. COMPROMISSO DA SEMANA'!$N$5:$N$204,"SIM"))</f>
      </c>
      <c r="E29" s="50">
        <f>IF(OR($B29="",$C29="",N($C29)=0,$A29&gt;DATA_GESTAO),"",$D29/$C29)</f>
      </c>
      <c r="F29" s="327">
        <f>IF(OR($A29="",N($G29)=0),"",SUMIFS('05B. APONTAMENTO DIÁRIO'!$H$5:$H$1004,'05B. APONTAMENTO DIÁRIO'!$B$5:$B$1004,$B29,'05B. APONTAMENTO DIÁRIO'!$A$5:$A$1004,"&gt;="&amp;($A29-4),'05B. APONTAMENTO DIÁRIO'!$A$5:$A$1004,"&lt;="&amp;$A29)/$G29)</f>
      </c>
      <c r="G29" s="30">
        <f>IF($A29="","",(COUNTIFS('05B. APONTAMENTO DIÁRIO'!$B$5:$B$1004,$B29,'05B. APONTAMENTO DIÁRIO'!$A$5:$A$1004,$A29-4)&gt;0)+(COUNTIFS('05B. APONTAMENTO DIÁRIO'!$B$5:$B$1004,$B29,'05B. APONTAMENTO DIÁRIO'!$A$5:$A$1004,$A29-3)&gt;0)+(COUNTIFS('05B. APONTAMENTO DIÁRIO'!$B$5:$B$1004,$B29,'05B. APONTAMENTO DIÁRIO'!$A$5:$A$1004,$A29-2)&gt;0)+(COUNTIFS('05B. APONTAMENTO DIÁRIO'!$B$5:$B$1004,$B29,'05B. APONTAMENTO DIÁRIO'!$A$5:$A$1004,$A29-1)&gt;0)+(COUNTIFS('05B. APONTAMENTO DIÁRIO'!$B$5:$B$1004,$B29,'05B. APONTAMENTO DIÁRIO'!$A$5:$A$1004,$A29-0)&gt;0))</f>
      </c>
      <c r="H29" s="30">
        <f>IF($A29="","",IF($B29="343",NETWORKDAYS($A29-4,$A29,FERIADOS_343),IF($B29="281",NETWORKDAYS($A29-4,$A29,FERIADOS_281),NETWORKDAYS($A29-4,$A29,FERIADOS_342))))</f>
      </c>
      <c r="I29" s="30">
        <f>IF(OR($A29="",$A29&gt;DATA_GESTAO),"",COUNTIFS('05C. RESTRIÇÕES'!$B$5:$B$204,$B29,'05C. RESTRIÇÕES'!$H$5:$H$204,"ABERTA",'05C. RESTRIÇÕES'!$E$5:$E$204,"&lt;&gt;CLIENTE")+COUNTIFS('05C. RESTRIÇÕES'!$B$5:$B$204,$B29,'05C. RESTRIÇÕES'!$H$5:$H$204,"RESOLVIDA",'05C. RESTRIÇÕES'!$E$5:$E$204,"&lt;&gt;CLIENTE",'05C. RESTRIÇÕES'!$I$5:$I$204,"&gt;"&amp;$A29))</f>
      </c>
      <c r="J29" s="30">
        <f>IF(OR($A29="",$A29&gt;DATA_GESTAO),"",COUNTIFS('05C. RESTRIÇÕES'!$B$5:$B$204,$B29,'05C. RESTRIÇÕES'!$H$5:$H$204,"ABERTA",'05C. RESTRIÇÕES'!$E$5:$E$204,"CLIENTE")+COUNTIFS('05C. RESTRIÇÕES'!$B$5:$B$204,$B29,'05C. RESTRIÇÕES'!$H$5:$H$204,"RESOLVIDA",'05C. RESTRIÇÕES'!$E$5:$E$204,"CLIENTE",'05C. RESTRIÇÕES'!$I$5:$I$204,"&gt;"&amp;$A29))</f>
      </c>
      <c r="K29" s="49" t="n"/>
    </row>
    <row r="30">
      <c r="A30" s="37" t="n"/>
      <c r="B30" s="49" t="n"/>
      <c r="C30" s="30">
        <f>IF($A30="","",COUNTIFS('05A. COMPROMISSO DA SEMANA'!$A$5:$A$204,$A30,'05A. COMPROMISSO DA SEMANA'!$B$5:$B$204,$B30,'05A. COMPROMISSO DA SEMANA'!$J$5:$J$204,"SIM"))</f>
      </c>
      <c r="D30" s="30">
        <f>IF($A30="","",COUNTIFS('05A. COMPROMISSO DA SEMANA'!$A$5:$A$204,$A30,'05A. COMPROMISSO DA SEMANA'!$B$5:$B$204,$B30,'05A. COMPROMISSO DA SEMANA'!$J$5:$J$204,"SIM",'05A. COMPROMISSO DA SEMANA'!$N$5:$N$204,"SIM"))</f>
      </c>
      <c r="E30" s="50">
        <f>IF(OR($B30="",$C30="",N($C30)=0,$A30&gt;DATA_GESTAO),"",$D30/$C30)</f>
      </c>
      <c r="F30" s="327">
        <f>IF(OR($A30="",N($G30)=0),"",SUMIFS('05B. APONTAMENTO DIÁRIO'!$H$5:$H$1004,'05B. APONTAMENTO DIÁRIO'!$B$5:$B$1004,$B30,'05B. APONTAMENTO DIÁRIO'!$A$5:$A$1004,"&gt;="&amp;($A30-4),'05B. APONTAMENTO DIÁRIO'!$A$5:$A$1004,"&lt;="&amp;$A30)/$G30)</f>
      </c>
      <c r="G30" s="30">
        <f>IF($A30="","",(COUNTIFS('05B. APONTAMENTO DIÁRIO'!$B$5:$B$1004,$B30,'05B. APONTAMENTO DIÁRIO'!$A$5:$A$1004,$A30-4)&gt;0)+(COUNTIFS('05B. APONTAMENTO DIÁRIO'!$B$5:$B$1004,$B30,'05B. APONTAMENTO DIÁRIO'!$A$5:$A$1004,$A30-3)&gt;0)+(COUNTIFS('05B. APONTAMENTO DIÁRIO'!$B$5:$B$1004,$B30,'05B. APONTAMENTO DIÁRIO'!$A$5:$A$1004,$A30-2)&gt;0)+(COUNTIFS('05B. APONTAMENTO DIÁRIO'!$B$5:$B$1004,$B30,'05B. APONTAMENTO DIÁRIO'!$A$5:$A$1004,$A30-1)&gt;0)+(COUNTIFS('05B. APONTAMENTO DIÁRIO'!$B$5:$B$1004,$B30,'05B. APONTAMENTO DIÁRIO'!$A$5:$A$1004,$A30-0)&gt;0))</f>
      </c>
      <c r="H30" s="30">
        <f>IF($A30="","",IF($B30="343",NETWORKDAYS($A30-4,$A30,FERIADOS_343),IF($B30="281",NETWORKDAYS($A30-4,$A30,FERIADOS_281),NETWORKDAYS($A30-4,$A30,FERIADOS_342))))</f>
      </c>
      <c r="I30" s="30">
        <f>IF(OR($A30="",$A30&gt;DATA_GESTAO),"",COUNTIFS('05C. RESTRIÇÕES'!$B$5:$B$204,$B30,'05C. RESTRIÇÕES'!$H$5:$H$204,"ABERTA",'05C. RESTRIÇÕES'!$E$5:$E$204,"&lt;&gt;CLIENTE")+COUNTIFS('05C. RESTRIÇÕES'!$B$5:$B$204,$B30,'05C. RESTRIÇÕES'!$H$5:$H$204,"RESOLVIDA",'05C. RESTRIÇÕES'!$E$5:$E$204,"&lt;&gt;CLIENTE",'05C. RESTRIÇÕES'!$I$5:$I$204,"&gt;"&amp;$A30))</f>
      </c>
      <c r="J30" s="30">
        <f>IF(OR($A30="",$A30&gt;DATA_GESTAO),"",COUNTIFS('05C. RESTRIÇÕES'!$B$5:$B$204,$B30,'05C. RESTRIÇÕES'!$H$5:$H$204,"ABERTA",'05C. RESTRIÇÕES'!$E$5:$E$204,"CLIENTE")+COUNTIFS('05C. RESTRIÇÕES'!$B$5:$B$204,$B30,'05C. RESTRIÇÕES'!$H$5:$H$204,"RESOLVIDA",'05C. RESTRIÇÕES'!$E$5:$E$204,"CLIENTE",'05C. RESTRIÇÕES'!$I$5:$I$204,"&gt;"&amp;$A30))</f>
      </c>
      <c r="K30" s="49" t="n"/>
    </row>
    <row r="31">
      <c r="A31" s="37" t="n"/>
      <c r="B31" s="49" t="n"/>
      <c r="C31" s="30">
        <f>IF($A31="","",COUNTIFS('05A. COMPROMISSO DA SEMANA'!$A$5:$A$204,$A31,'05A. COMPROMISSO DA SEMANA'!$B$5:$B$204,$B31,'05A. COMPROMISSO DA SEMANA'!$J$5:$J$204,"SIM"))</f>
      </c>
      <c r="D31" s="30">
        <f>IF($A31="","",COUNTIFS('05A. COMPROMISSO DA SEMANA'!$A$5:$A$204,$A31,'05A. COMPROMISSO DA SEMANA'!$B$5:$B$204,$B31,'05A. COMPROMISSO DA SEMANA'!$J$5:$J$204,"SIM",'05A. COMPROMISSO DA SEMANA'!$N$5:$N$204,"SIM"))</f>
      </c>
      <c r="E31" s="50">
        <f>IF(OR($B31="",$C31="",N($C31)=0,$A31&gt;DATA_GESTAO),"",$D31/$C31)</f>
      </c>
      <c r="F31" s="327">
        <f>IF(OR($A31="",N($G31)=0),"",SUMIFS('05B. APONTAMENTO DIÁRIO'!$H$5:$H$1004,'05B. APONTAMENTO DIÁRIO'!$B$5:$B$1004,$B31,'05B. APONTAMENTO DIÁRIO'!$A$5:$A$1004,"&gt;="&amp;($A31-4),'05B. APONTAMENTO DIÁRIO'!$A$5:$A$1004,"&lt;="&amp;$A31)/$G31)</f>
      </c>
      <c r="G31" s="30">
        <f>IF($A31="","",(COUNTIFS('05B. APONTAMENTO DIÁRIO'!$B$5:$B$1004,$B31,'05B. APONTAMENTO DIÁRIO'!$A$5:$A$1004,$A31-4)&gt;0)+(COUNTIFS('05B. APONTAMENTO DIÁRIO'!$B$5:$B$1004,$B31,'05B. APONTAMENTO DIÁRIO'!$A$5:$A$1004,$A31-3)&gt;0)+(COUNTIFS('05B. APONTAMENTO DIÁRIO'!$B$5:$B$1004,$B31,'05B. APONTAMENTO DIÁRIO'!$A$5:$A$1004,$A31-2)&gt;0)+(COUNTIFS('05B. APONTAMENTO DIÁRIO'!$B$5:$B$1004,$B31,'05B. APONTAMENTO DIÁRIO'!$A$5:$A$1004,$A31-1)&gt;0)+(COUNTIFS('05B. APONTAMENTO DIÁRIO'!$B$5:$B$1004,$B31,'05B. APONTAMENTO DIÁRIO'!$A$5:$A$1004,$A31-0)&gt;0))</f>
      </c>
      <c r="H31" s="30">
        <f>IF($A31="","",IF($B31="343",NETWORKDAYS($A31-4,$A31,FERIADOS_343),IF($B31="281",NETWORKDAYS($A31-4,$A31,FERIADOS_281),NETWORKDAYS($A31-4,$A31,FERIADOS_342))))</f>
      </c>
      <c r="I31" s="30">
        <f>IF(OR($A31="",$A31&gt;DATA_GESTAO),"",COUNTIFS('05C. RESTRIÇÕES'!$B$5:$B$204,$B31,'05C. RESTRIÇÕES'!$H$5:$H$204,"ABERTA",'05C. RESTRIÇÕES'!$E$5:$E$204,"&lt;&gt;CLIENTE")+COUNTIFS('05C. RESTRIÇÕES'!$B$5:$B$204,$B31,'05C. RESTRIÇÕES'!$H$5:$H$204,"RESOLVIDA",'05C. RESTRIÇÕES'!$E$5:$E$204,"&lt;&gt;CLIENTE",'05C. RESTRIÇÕES'!$I$5:$I$204,"&gt;"&amp;$A31))</f>
      </c>
      <c r="J31" s="30">
        <f>IF(OR($A31="",$A31&gt;DATA_GESTAO),"",COUNTIFS('05C. RESTRIÇÕES'!$B$5:$B$204,$B31,'05C. RESTRIÇÕES'!$H$5:$H$204,"ABERTA",'05C. RESTRIÇÕES'!$E$5:$E$204,"CLIENTE")+COUNTIFS('05C. RESTRIÇÕES'!$B$5:$B$204,$B31,'05C. RESTRIÇÕES'!$H$5:$H$204,"RESOLVIDA",'05C. RESTRIÇÕES'!$E$5:$E$204,"CLIENTE",'05C. RESTRIÇÕES'!$I$5:$I$204,"&gt;"&amp;$A31))</f>
      </c>
      <c r="K31" s="49" t="n"/>
    </row>
    <row r="32">
      <c r="A32" s="37" t="n"/>
      <c r="B32" s="49" t="n"/>
      <c r="C32" s="30">
        <f>IF($A32="","",COUNTIFS('05A. COMPROMISSO DA SEMANA'!$A$5:$A$204,$A32,'05A. COMPROMISSO DA SEMANA'!$B$5:$B$204,$B32,'05A. COMPROMISSO DA SEMANA'!$J$5:$J$204,"SIM"))</f>
      </c>
      <c r="D32" s="30">
        <f>IF($A32="","",COUNTIFS('05A. COMPROMISSO DA SEMANA'!$A$5:$A$204,$A32,'05A. COMPROMISSO DA SEMANA'!$B$5:$B$204,$B32,'05A. COMPROMISSO DA SEMANA'!$J$5:$J$204,"SIM",'05A. COMPROMISSO DA SEMANA'!$N$5:$N$204,"SIM"))</f>
      </c>
      <c r="E32" s="50">
        <f>IF(OR($B32="",$C32="",N($C32)=0,$A32&gt;DATA_GESTAO),"",$D32/$C32)</f>
      </c>
      <c r="F32" s="327">
        <f>IF(OR($A32="",N($G32)=0),"",SUMIFS('05B. APONTAMENTO DIÁRIO'!$H$5:$H$1004,'05B. APONTAMENTO DIÁRIO'!$B$5:$B$1004,$B32,'05B. APONTAMENTO DIÁRIO'!$A$5:$A$1004,"&gt;="&amp;($A32-4),'05B. APONTAMENTO DIÁRIO'!$A$5:$A$1004,"&lt;="&amp;$A32)/$G32)</f>
      </c>
      <c r="G32" s="30">
        <f>IF($A32="","",(COUNTIFS('05B. APONTAMENTO DIÁRIO'!$B$5:$B$1004,$B32,'05B. APONTAMENTO DIÁRIO'!$A$5:$A$1004,$A32-4)&gt;0)+(COUNTIFS('05B. APONTAMENTO DIÁRIO'!$B$5:$B$1004,$B32,'05B. APONTAMENTO DIÁRIO'!$A$5:$A$1004,$A32-3)&gt;0)+(COUNTIFS('05B. APONTAMENTO DIÁRIO'!$B$5:$B$1004,$B32,'05B. APONTAMENTO DIÁRIO'!$A$5:$A$1004,$A32-2)&gt;0)+(COUNTIFS('05B. APONTAMENTO DIÁRIO'!$B$5:$B$1004,$B32,'05B. APONTAMENTO DIÁRIO'!$A$5:$A$1004,$A32-1)&gt;0)+(COUNTIFS('05B. APONTAMENTO DIÁRIO'!$B$5:$B$1004,$B32,'05B. APONTAMENTO DIÁRIO'!$A$5:$A$1004,$A32-0)&gt;0))</f>
      </c>
      <c r="H32" s="30">
        <f>IF($A32="","",IF($B32="343",NETWORKDAYS($A32-4,$A32,FERIADOS_343),IF($B32="281",NETWORKDAYS($A32-4,$A32,FERIADOS_281),NETWORKDAYS($A32-4,$A32,FERIADOS_342))))</f>
      </c>
      <c r="I32" s="30">
        <f>IF(OR($A32="",$A32&gt;DATA_GESTAO),"",COUNTIFS('05C. RESTRIÇÕES'!$B$5:$B$204,$B32,'05C. RESTRIÇÕES'!$H$5:$H$204,"ABERTA",'05C. RESTRIÇÕES'!$E$5:$E$204,"&lt;&gt;CLIENTE")+COUNTIFS('05C. RESTRIÇÕES'!$B$5:$B$204,$B32,'05C. RESTRIÇÕES'!$H$5:$H$204,"RESOLVIDA",'05C. RESTRIÇÕES'!$E$5:$E$204,"&lt;&gt;CLIENTE",'05C. RESTRIÇÕES'!$I$5:$I$204,"&gt;"&amp;$A32))</f>
      </c>
      <c r="J32" s="30">
        <f>IF(OR($A32="",$A32&gt;DATA_GESTAO),"",COUNTIFS('05C. RESTRIÇÕES'!$B$5:$B$204,$B32,'05C. RESTRIÇÕES'!$H$5:$H$204,"ABERTA",'05C. RESTRIÇÕES'!$E$5:$E$204,"CLIENTE")+COUNTIFS('05C. RESTRIÇÕES'!$B$5:$B$204,$B32,'05C. RESTRIÇÕES'!$H$5:$H$204,"RESOLVIDA",'05C. RESTRIÇÕES'!$E$5:$E$204,"CLIENTE",'05C. RESTRIÇÕES'!$I$5:$I$204,"&gt;"&amp;$A32))</f>
      </c>
      <c r="K32" s="49" t="n"/>
    </row>
    <row r="33">
      <c r="A33" s="37" t="n"/>
      <c r="B33" s="49" t="n"/>
      <c r="C33" s="30">
        <f>IF($A33="","",COUNTIFS('05A. COMPROMISSO DA SEMANA'!$A$5:$A$204,$A33,'05A. COMPROMISSO DA SEMANA'!$B$5:$B$204,$B33,'05A. COMPROMISSO DA SEMANA'!$J$5:$J$204,"SIM"))</f>
      </c>
      <c r="D33" s="30">
        <f>IF($A33="","",COUNTIFS('05A. COMPROMISSO DA SEMANA'!$A$5:$A$204,$A33,'05A. COMPROMISSO DA SEMANA'!$B$5:$B$204,$B33,'05A. COMPROMISSO DA SEMANA'!$J$5:$J$204,"SIM",'05A. COMPROMISSO DA SEMANA'!$N$5:$N$204,"SIM"))</f>
      </c>
      <c r="E33" s="50">
        <f>IF(OR($B33="",$C33="",N($C33)=0,$A33&gt;DATA_GESTAO),"",$D33/$C33)</f>
      </c>
      <c r="F33" s="327">
        <f>IF(OR($A33="",N($G33)=0),"",SUMIFS('05B. APONTAMENTO DIÁRIO'!$H$5:$H$1004,'05B. APONTAMENTO DIÁRIO'!$B$5:$B$1004,$B33,'05B. APONTAMENTO DIÁRIO'!$A$5:$A$1004,"&gt;="&amp;($A33-4),'05B. APONTAMENTO DIÁRIO'!$A$5:$A$1004,"&lt;="&amp;$A33)/$G33)</f>
      </c>
      <c r="G33" s="30">
        <f>IF($A33="","",(COUNTIFS('05B. APONTAMENTO DIÁRIO'!$B$5:$B$1004,$B33,'05B. APONTAMENTO DIÁRIO'!$A$5:$A$1004,$A33-4)&gt;0)+(COUNTIFS('05B. APONTAMENTO DIÁRIO'!$B$5:$B$1004,$B33,'05B. APONTAMENTO DIÁRIO'!$A$5:$A$1004,$A33-3)&gt;0)+(COUNTIFS('05B. APONTAMENTO DIÁRIO'!$B$5:$B$1004,$B33,'05B. APONTAMENTO DIÁRIO'!$A$5:$A$1004,$A33-2)&gt;0)+(COUNTIFS('05B. APONTAMENTO DIÁRIO'!$B$5:$B$1004,$B33,'05B. APONTAMENTO DIÁRIO'!$A$5:$A$1004,$A33-1)&gt;0)+(COUNTIFS('05B. APONTAMENTO DIÁRIO'!$B$5:$B$1004,$B33,'05B. APONTAMENTO DIÁRIO'!$A$5:$A$1004,$A33-0)&gt;0))</f>
      </c>
      <c r="H33" s="30">
        <f>IF($A33="","",IF($B33="343",NETWORKDAYS($A33-4,$A33,FERIADOS_343),IF($B33="281",NETWORKDAYS($A33-4,$A33,FERIADOS_281),NETWORKDAYS($A33-4,$A33,FERIADOS_342))))</f>
      </c>
      <c r="I33" s="30">
        <f>IF(OR($A33="",$A33&gt;DATA_GESTAO),"",COUNTIFS('05C. RESTRIÇÕES'!$B$5:$B$204,$B33,'05C. RESTRIÇÕES'!$H$5:$H$204,"ABERTA",'05C. RESTRIÇÕES'!$E$5:$E$204,"&lt;&gt;CLIENTE")+COUNTIFS('05C. RESTRIÇÕES'!$B$5:$B$204,$B33,'05C. RESTRIÇÕES'!$H$5:$H$204,"RESOLVIDA",'05C. RESTRIÇÕES'!$E$5:$E$204,"&lt;&gt;CLIENTE",'05C. RESTRIÇÕES'!$I$5:$I$204,"&gt;"&amp;$A33))</f>
      </c>
      <c r="J33" s="30">
        <f>IF(OR($A33="",$A33&gt;DATA_GESTAO),"",COUNTIFS('05C. RESTRIÇÕES'!$B$5:$B$204,$B33,'05C. RESTRIÇÕES'!$H$5:$H$204,"ABERTA",'05C. RESTRIÇÕES'!$E$5:$E$204,"CLIENTE")+COUNTIFS('05C. RESTRIÇÕES'!$B$5:$B$204,$B33,'05C. RESTRIÇÕES'!$H$5:$H$204,"RESOLVIDA",'05C. RESTRIÇÕES'!$E$5:$E$204,"CLIENTE",'05C. RESTRIÇÕES'!$I$5:$I$204,"&gt;"&amp;$A33))</f>
      </c>
      <c r="K33" s="49" t="n"/>
    </row>
    <row r="34">
      <c r="A34" s="37" t="n"/>
      <c r="B34" s="49" t="n"/>
      <c r="C34" s="30">
        <f>IF($A34="","",COUNTIFS('05A. COMPROMISSO DA SEMANA'!$A$5:$A$204,$A34,'05A. COMPROMISSO DA SEMANA'!$B$5:$B$204,$B34,'05A. COMPROMISSO DA SEMANA'!$J$5:$J$204,"SIM"))</f>
      </c>
      <c r="D34" s="30">
        <f>IF($A34="","",COUNTIFS('05A. COMPROMISSO DA SEMANA'!$A$5:$A$204,$A34,'05A. COMPROMISSO DA SEMANA'!$B$5:$B$204,$B34,'05A. COMPROMISSO DA SEMANA'!$J$5:$J$204,"SIM",'05A. COMPROMISSO DA SEMANA'!$N$5:$N$204,"SIM"))</f>
      </c>
      <c r="E34" s="50">
        <f>IF(OR($B34="",$C34="",N($C34)=0,$A34&gt;DATA_GESTAO),"",$D34/$C34)</f>
      </c>
      <c r="F34" s="327">
        <f>IF(OR($A34="",N($G34)=0),"",SUMIFS('05B. APONTAMENTO DIÁRIO'!$H$5:$H$1004,'05B. APONTAMENTO DIÁRIO'!$B$5:$B$1004,$B34,'05B. APONTAMENTO DIÁRIO'!$A$5:$A$1004,"&gt;="&amp;($A34-4),'05B. APONTAMENTO DIÁRIO'!$A$5:$A$1004,"&lt;="&amp;$A34)/$G34)</f>
      </c>
      <c r="G34" s="30">
        <f>IF($A34="","",(COUNTIFS('05B. APONTAMENTO DIÁRIO'!$B$5:$B$1004,$B34,'05B. APONTAMENTO DIÁRIO'!$A$5:$A$1004,$A34-4)&gt;0)+(COUNTIFS('05B. APONTAMENTO DIÁRIO'!$B$5:$B$1004,$B34,'05B. APONTAMENTO DIÁRIO'!$A$5:$A$1004,$A34-3)&gt;0)+(COUNTIFS('05B. APONTAMENTO DIÁRIO'!$B$5:$B$1004,$B34,'05B. APONTAMENTO DIÁRIO'!$A$5:$A$1004,$A34-2)&gt;0)+(COUNTIFS('05B. APONTAMENTO DIÁRIO'!$B$5:$B$1004,$B34,'05B. APONTAMENTO DIÁRIO'!$A$5:$A$1004,$A34-1)&gt;0)+(COUNTIFS('05B. APONTAMENTO DIÁRIO'!$B$5:$B$1004,$B34,'05B. APONTAMENTO DIÁRIO'!$A$5:$A$1004,$A34-0)&gt;0))</f>
      </c>
      <c r="H34" s="30">
        <f>IF($A34="","",IF($B34="343",NETWORKDAYS($A34-4,$A34,FERIADOS_343),IF($B34="281",NETWORKDAYS($A34-4,$A34,FERIADOS_281),NETWORKDAYS($A34-4,$A34,FERIADOS_342))))</f>
      </c>
      <c r="I34" s="30">
        <f>IF(OR($A34="",$A34&gt;DATA_GESTAO),"",COUNTIFS('05C. RESTRIÇÕES'!$B$5:$B$204,$B34,'05C. RESTRIÇÕES'!$H$5:$H$204,"ABERTA",'05C. RESTRIÇÕES'!$E$5:$E$204,"&lt;&gt;CLIENTE")+COUNTIFS('05C. RESTRIÇÕES'!$B$5:$B$204,$B34,'05C. RESTRIÇÕES'!$H$5:$H$204,"RESOLVIDA",'05C. RESTRIÇÕES'!$E$5:$E$204,"&lt;&gt;CLIENTE",'05C. RESTRIÇÕES'!$I$5:$I$204,"&gt;"&amp;$A34))</f>
      </c>
      <c r="J34" s="30">
        <f>IF(OR($A34="",$A34&gt;DATA_GESTAO),"",COUNTIFS('05C. RESTRIÇÕES'!$B$5:$B$204,$B34,'05C. RESTRIÇÕES'!$H$5:$H$204,"ABERTA",'05C. RESTRIÇÕES'!$E$5:$E$204,"CLIENTE")+COUNTIFS('05C. RESTRIÇÕES'!$B$5:$B$204,$B34,'05C. RESTRIÇÕES'!$H$5:$H$204,"RESOLVIDA",'05C. RESTRIÇÕES'!$E$5:$E$204,"CLIENTE",'05C. RESTRIÇÕES'!$I$5:$I$204,"&gt;"&amp;$A34))</f>
      </c>
      <c r="K34" s="49" t="n"/>
    </row>
    <row r="35">
      <c r="A35" s="37" t="n"/>
      <c r="B35" s="49" t="n"/>
      <c r="C35" s="30">
        <f>IF($A35="","",COUNTIFS('05A. COMPROMISSO DA SEMANA'!$A$5:$A$204,$A35,'05A. COMPROMISSO DA SEMANA'!$B$5:$B$204,$B35,'05A. COMPROMISSO DA SEMANA'!$J$5:$J$204,"SIM"))</f>
      </c>
      <c r="D35" s="30">
        <f>IF($A35="","",COUNTIFS('05A. COMPROMISSO DA SEMANA'!$A$5:$A$204,$A35,'05A. COMPROMISSO DA SEMANA'!$B$5:$B$204,$B35,'05A. COMPROMISSO DA SEMANA'!$J$5:$J$204,"SIM",'05A. COMPROMISSO DA SEMANA'!$N$5:$N$204,"SIM"))</f>
      </c>
      <c r="E35" s="50">
        <f>IF(OR($B35="",$C35="",N($C35)=0,$A35&gt;DATA_GESTAO),"",$D35/$C35)</f>
      </c>
      <c r="F35" s="327">
        <f>IF(OR($A35="",N($G35)=0),"",SUMIFS('05B. APONTAMENTO DIÁRIO'!$H$5:$H$1004,'05B. APONTAMENTO DIÁRIO'!$B$5:$B$1004,$B35,'05B. APONTAMENTO DIÁRIO'!$A$5:$A$1004,"&gt;="&amp;($A35-4),'05B. APONTAMENTO DIÁRIO'!$A$5:$A$1004,"&lt;="&amp;$A35)/$G35)</f>
      </c>
      <c r="G35" s="30">
        <f>IF($A35="","",(COUNTIFS('05B. APONTAMENTO DIÁRIO'!$B$5:$B$1004,$B35,'05B. APONTAMENTO DIÁRIO'!$A$5:$A$1004,$A35-4)&gt;0)+(COUNTIFS('05B. APONTAMENTO DIÁRIO'!$B$5:$B$1004,$B35,'05B. APONTAMENTO DIÁRIO'!$A$5:$A$1004,$A35-3)&gt;0)+(COUNTIFS('05B. APONTAMENTO DIÁRIO'!$B$5:$B$1004,$B35,'05B. APONTAMENTO DIÁRIO'!$A$5:$A$1004,$A35-2)&gt;0)+(COUNTIFS('05B. APONTAMENTO DIÁRIO'!$B$5:$B$1004,$B35,'05B. APONTAMENTO DIÁRIO'!$A$5:$A$1004,$A35-1)&gt;0)+(COUNTIFS('05B. APONTAMENTO DIÁRIO'!$B$5:$B$1004,$B35,'05B. APONTAMENTO DIÁRIO'!$A$5:$A$1004,$A35-0)&gt;0))</f>
      </c>
      <c r="H35" s="30">
        <f>IF($A35="","",IF($B35="343",NETWORKDAYS($A35-4,$A35,FERIADOS_343),IF($B35="281",NETWORKDAYS($A35-4,$A35,FERIADOS_281),NETWORKDAYS($A35-4,$A35,FERIADOS_342))))</f>
      </c>
      <c r="I35" s="30">
        <f>IF(OR($A35="",$A35&gt;DATA_GESTAO),"",COUNTIFS('05C. RESTRIÇÕES'!$B$5:$B$204,$B35,'05C. RESTRIÇÕES'!$H$5:$H$204,"ABERTA",'05C. RESTRIÇÕES'!$E$5:$E$204,"&lt;&gt;CLIENTE")+COUNTIFS('05C. RESTRIÇÕES'!$B$5:$B$204,$B35,'05C. RESTRIÇÕES'!$H$5:$H$204,"RESOLVIDA",'05C. RESTRIÇÕES'!$E$5:$E$204,"&lt;&gt;CLIENTE",'05C. RESTRIÇÕES'!$I$5:$I$204,"&gt;"&amp;$A35))</f>
      </c>
      <c r="J35" s="30">
        <f>IF(OR($A35="",$A35&gt;DATA_GESTAO),"",COUNTIFS('05C. RESTRIÇÕES'!$B$5:$B$204,$B35,'05C. RESTRIÇÕES'!$H$5:$H$204,"ABERTA",'05C. RESTRIÇÕES'!$E$5:$E$204,"CLIENTE")+COUNTIFS('05C. RESTRIÇÕES'!$B$5:$B$204,$B35,'05C. RESTRIÇÕES'!$H$5:$H$204,"RESOLVIDA",'05C. RESTRIÇÕES'!$E$5:$E$204,"CLIENTE",'05C. RESTRIÇÕES'!$I$5:$I$204,"&gt;"&amp;$A35))</f>
      </c>
      <c r="K35" s="49" t="n"/>
    </row>
    <row r="36">
      <c r="A36" s="37" t="n"/>
      <c r="B36" s="49" t="n"/>
      <c r="C36" s="30">
        <f>IF($A36="","",COUNTIFS('05A. COMPROMISSO DA SEMANA'!$A$5:$A$204,$A36,'05A. COMPROMISSO DA SEMANA'!$B$5:$B$204,$B36,'05A. COMPROMISSO DA SEMANA'!$J$5:$J$204,"SIM"))</f>
      </c>
      <c r="D36" s="30">
        <f>IF($A36="","",COUNTIFS('05A. COMPROMISSO DA SEMANA'!$A$5:$A$204,$A36,'05A. COMPROMISSO DA SEMANA'!$B$5:$B$204,$B36,'05A. COMPROMISSO DA SEMANA'!$J$5:$J$204,"SIM",'05A. COMPROMISSO DA SEMANA'!$N$5:$N$204,"SIM"))</f>
      </c>
      <c r="E36" s="50">
        <f>IF(OR($B36="",$C36="",N($C36)=0,$A36&gt;DATA_GESTAO),"",$D36/$C36)</f>
      </c>
      <c r="F36" s="327">
        <f>IF(OR($A36="",N($G36)=0),"",SUMIFS('05B. APONTAMENTO DIÁRIO'!$H$5:$H$1004,'05B. APONTAMENTO DIÁRIO'!$B$5:$B$1004,$B36,'05B. APONTAMENTO DIÁRIO'!$A$5:$A$1004,"&gt;="&amp;($A36-4),'05B. APONTAMENTO DIÁRIO'!$A$5:$A$1004,"&lt;="&amp;$A36)/$G36)</f>
      </c>
      <c r="G36" s="30">
        <f>IF($A36="","",(COUNTIFS('05B. APONTAMENTO DIÁRIO'!$B$5:$B$1004,$B36,'05B. APONTAMENTO DIÁRIO'!$A$5:$A$1004,$A36-4)&gt;0)+(COUNTIFS('05B. APONTAMENTO DIÁRIO'!$B$5:$B$1004,$B36,'05B. APONTAMENTO DIÁRIO'!$A$5:$A$1004,$A36-3)&gt;0)+(COUNTIFS('05B. APONTAMENTO DIÁRIO'!$B$5:$B$1004,$B36,'05B. APONTAMENTO DIÁRIO'!$A$5:$A$1004,$A36-2)&gt;0)+(COUNTIFS('05B. APONTAMENTO DIÁRIO'!$B$5:$B$1004,$B36,'05B. APONTAMENTO DIÁRIO'!$A$5:$A$1004,$A36-1)&gt;0)+(COUNTIFS('05B. APONTAMENTO DIÁRIO'!$B$5:$B$1004,$B36,'05B. APONTAMENTO DIÁRIO'!$A$5:$A$1004,$A36-0)&gt;0))</f>
      </c>
      <c r="H36" s="30">
        <f>IF($A36="","",IF($B36="343",NETWORKDAYS($A36-4,$A36,FERIADOS_343),IF($B36="281",NETWORKDAYS($A36-4,$A36,FERIADOS_281),NETWORKDAYS($A36-4,$A36,FERIADOS_342))))</f>
      </c>
      <c r="I36" s="30">
        <f>IF(OR($A36="",$A36&gt;DATA_GESTAO),"",COUNTIFS('05C. RESTRIÇÕES'!$B$5:$B$204,$B36,'05C. RESTRIÇÕES'!$H$5:$H$204,"ABERTA",'05C. RESTRIÇÕES'!$E$5:$E$204,"&lt;&gt;CLIENTE")+COUNTIFS('05C. RESTRIÇÕES'!$B$5:$B$204,$B36,'05C. RESTRIÇÕES'!$H$5:$H$204,"RESOLVIDA",'05C. RESTRIÇÕES'!$E$5:$E$204,"&lt;&gt;CLIENTE",'05C. RESTRIÇÕES'!$I$5:$I$204,"&gt;"&amp;$A36))</f>
      </c>
      <c r="J36" s="30">
        <f>IF(OR($A36="",$A36&gt;DATA_GESTAO),"",COUNTIFS('05C. RESTRIÇÕES'!$B$5:$B$204,$B36,'05C. RESTRIÇÕES'!$H$5:$H$204,"ABERTA",'05C. RESTRIÇÕES'!$E$5:$E$204,"CLIENTE")+COUNTIFS('05C. RESTRIÇÕES'!$B$5:$B$204,$B36,'05C. RESTRIÇÕES'!$H$5:$H$204,"RESOLVIDA",'05C. RESTRIÇÕES'!$E$5:$E$204,"CLIENTE",'05C. RESTRIÇÕES'!$I$5:$I$204,"&gt;"&amp;$A36))</f>
      </c>
      <c r="K36" s="49" t="n"/>
    </row>
    <row r="37">
      <c r="A37" s="37" t="n"/>
      <c r="B37" s="49" t="n"/>
      <c r="C37" s="30">
        <f>IF($A37="","",COUNTIFS('05A. COMPROMISSO DA SEMANA'!$A$5:$A$204,$A37,'05A. COMPROMISSO DA SEMANA'!$B$5:$B$204,$B37,'05A. COMPROMISSO DA SEMANA'!$J$5:$J$204,"SIM"))</f>
      </c>
      <c r="D37" s="30">
        <f>IF($A37="","",COUNTIFS('05A. COMPROMISSO DA SEMANA'!$A$5:$A$204,$A37,'05A. COMPROMISSO DA SEMANA'!$B$5:$B$204,$B37,'05A. COMPROMISSO DA SEMANA'!$J$5:$J$204,"SIM",'05A. COMPROMISSO DA SEMANA'!$N$5:$N$204,"SIM"))</f>
      </c>
      <c r="E37" s="50">
        <f>IF(OR($B37="",$C37="",N($C37)=0,$A37&gt;DATA_GESTAO),"",$D37/$C37)</f>
      </c>
      <c r="F37" s="327">
        <f>IF(OR($A37="",N($G37)=0),"",SUMIFS('05B. APONTAMENTO DIÁRIO'!$H$5:$H$1004,'05B. APONTAMENTO DIÁRIO'!$B$5:$B$1004,$B37,'05B. APONTAMENTO DIÁRIO'!$A$5:$A$1004,"&gt;="&amp;($A37-4),'05B. APONTAMENTO DIÁRIO'!$A$5:$A$1004,"&lt;="&amp;$A37)/$G37)</f>
      </c>
      <c r="G37" s="30">
        <f>IF($A37="","",(COUNTIFS('05B. APONTAMENTO DIÁRIO'!$B$5:$B$1004,$B37,'05B. APONTAMENTO DIÁRIO'!$A$5:$A$1004,$A37-4)&gt;0)+(COUNTIFS('05B. APONTAMENTO DIÁRIO'!$B$5:$B$1004,$B37,'05B. APONTAMENTO DIÁRIO'!$A$5:$A$1004,$A37-3)&gt;0)+(COUNTIFS('05B. APONTAMENTO DIÁRIO'!$B$5:$B$1004,$B37,'05B. APONTAMENTO DIÁRIO'!$A$5:$A$1004,$A37-2)&gt;0)+(COUNTIFS('05B. APONTAMENTO DIÁRIO'!$B$5:$B$1004,$B37,'05B. APONTAMENTO DIÁRIO'!$A$5:$A$1004,$A37-1)&gt;0)+(COUNTIFS('05B. APONTAMENTO DIÁRIO'!$B$5:$B$1004,$B37,'05B. APONTAMENTO DIÁRIO'!$A$5:$A$1004,$A37-0)&gt;0))</f>
      </c>
      <c r="H37" s="30">
        <f>IF($A37="","",IF($B37="343",NETWORKDAYS($A37-4,$A37,FERIADOS_343),IF($B37="281",NETWORKDAYS($A37-4,$A37,FERIADOS_281),NETWORKDAYS($A37-4,$A37,FERIADOS_342))))</f>
      </c>
      <c r="I37" s="30">
        <f>IF(OR($A37="",$A37&gt;DATA_GESTAO),"",COUNTIFS('05C. RESTRIÇÕES'!$B$5:$B$204,$B37,'05C. RESTRIÇÕES'!$H$5:$H$204,"ABERTA",'05C. RESTRIÇÕES'!$E$5:$E$204,"&lt;&gt;CLIENTE")+COUNTIFS('05C. RESTRIÇÕES'!$B$5:$B$204,$B37,'05C. RESTRIÇÕES'!$H$5:$H$204,"RESOLVIDA",'05C. RESTRIÇÕES'!$E$5:$E$204,"&lt;&gt;CLIENTE",'05C. RESTRIÇÕES'!$I$5:$I$204,"&gt;"&amp;$A37))</f>
      </c>
      <c r="J37" s="30">
        <f>IF(OR($A37="",$A37&gt;DATA_GESTAO),"",COUNTIFS('05C. RESTRIÇÕES'!$B$5:$B$204,$B37,'05C. RESTRIÇÕES'!$H$5:$H$204,"ABERTA",'05C. RESTRIÇÕES'!$E$5:$E$204,"CLIENTE")+COUNTIFS('05C. RESTRIÇÕES'!$B$5:$B$204,$B37,'05C. RESTRIÇÕES'!$H$5:$H$204,"RESOLVIDA",'05C. RESTRIÇÕES'!$E$5:$E$204,"CLIENTE",'05C. RESTRIÇÕES'!$I$5:$I$204,"&gt;"&amp;$A37))</f>
      </c>
      <c r="K37" s="49" t="n"/>
    </row>
    <row r="38">
      <c r="A38" s="37" t="n"/>
      <c r="B38" s="49" t="n"/>
      <c r="C38" s="30">
        <f>IF($A38="","",COUNTIFS('05A. COMPROMISSO DA SEMANA'!$A$5:$A$204,$A38,'05A. COMPROMISSO DA SEMANA'!$B$5:$B$204,$B38,'05A. COMPROMISSO DA SEMANA'!$J$5:$J$204,"SIM"))</f>
      </c>
      <c r="D38" s="30">
        <f>IF($A38="","",COUNTIFS('05A. COMPROMISSO DA SEMANA'!$A$5:$A$204,$A38,'05A. COMPROMISSO DA SEMANA'!$B$5:$B$204,$B38,'05A. COMPROMISSO DA SEMANA'!$J$5:$J$204,"SIM",'05A. COMPROMISSO DA SEMANA'!$N$5:$N$204,"SIM"))</f>
      </c>
      <c r="E38" s="50">
        <f>IF(OR($B38="",$C38="",N($C38)=0,$A38&gt;DATA_GESTAO),"",$D38/$C38)</f>
      </c>
      <c r="F38" s="327">
        <f>IF(OR($A38="",N($G38)=0),"",SUMIFS('05B. APONTAMENTO DIÁRIO'!$H$5:$H$1004,'05B. APONTAMENTO DIÁRIO'!$B$5:$B$1004,$B38,'05B. APONTAMENTO DIÁRIO'!$A$5:$A$1004,"&gt;="&amp;($A38-4),'05B. APONTAMENTO DIÁRIO'!$A$5:$A$1004,"&lt;="&amp;$A38)/$G38)</f>
      </c>
      <c r="G38" s="30">
        <f>IF($A38="","",(COUNTIFS('05B. APONTAMENTO DIÁRIO'!$B$5:$B$1004,$B38,'05B. APONTAMENTO DIÁRIO'!$A$5:$A$1004,$A38-4)&gt;0)+(COUNTIFS('05B. APONTAMENTO DIÁRIO'!$B$5:$B$1004,$B38,'05B. APONTAMENTO DIÁRIO'!$A$5:$A$1004,$A38-3)&gt;0)+(COUNTIFS('05B. APONTAMENTO DIÁRIO'!$B$5:$B$1004,$B38,'05B. APONTAMENTO DIÁRIO'!$A$5:$A$1004,$A38-2)&gt;0)+(COUNTIFS('05B. APONTAMENTO DIÁRIO'!$B$5:$B$1004,$B38,'05B. APONTAMENTO DIÁRIO'!$A$5:$A$1004,$A38-1)&gt;0)+(COUNTIFS('05B. APONTAMENTO DIÁRIO'!$B$5:$B$1004,$B38,'05B. APONTAMENTO DIÁRIO'!$A$5:$A$1004,$A38-0)&gt;0))</f>
      </c>
      <c r="H38" s="30">
        <f>IF($A38="","",IF($B38="343",NETWORKDAYS($A38-4,$A38,FERIADOS_343),IF($B38="281",NETWORKDAYS($A38-4,$A38,FERIADOS_281),NETWORKDAYS($A38-4,$A38,FERIADOS_342))))</f>
      </c>
      <c r="I38" s="30">
        <f>IF(OR($A38="",$A38&gt;DATA_GESTAO),"",COUNTIFS('05C. RESTRIÇÕES'!$B$5:$B$204,$B38,'05C. RESTRIÇÕES'!$H$5:$H$204,"ABERTA",'05C. RESTRIÇÕES'!$E$5:$E$204,"&lt;&gt;CLIENTE")+COUNTIFS('05C. RESTRIÇÕES'!$B$5:$B$204,$B38,'05C. RESTRIÇÕES'!$H$5:$H$204,"RESOLVIDA",'05C. RESTRIÇÕES'!$E$5:$E$204,"&lt;&gt;CLIENTE",'05C. RESTRIÇÕES'!$I$5:$I$204,"&gt;"&amp;$A38))</f>
      </c>
      <c r="J38" s="30">
        <f>IF(OR($A38="",$A38&gt;DATA_GESTAO),"",COUNTIFS('05C. RESTRIÇÕES'!$B$5:$B$204,$B38,'05C. RESTRIÇÕES'!$H$5:$H$204,"ABERTA",'05C. RESTRIÇÕES'!$E$5:$E$204,"CLIENTE")+COUNTIFS('05C. RESTRIÇÕES'!$B$5:$B$204,$B38,'05C. RESTRIÇÕES'!$H$5:$H$204,"RESOLVIDA",'05C. RESTRIÇÕES'!$E$5:$E$204,"CLIENTE",'05C. RESTRIÇÕES'!$I$5:$I$204,"&gt;"&amp;$A38))</f>
      </c>
      <c r="K38" s="49" t="n"/>
    </row>
    <row r="39">
      <c r="A39" s="37" t="n"/>
      <c r="B39" s="49" t="n"/>
      <c r="C39" s="30">
        <f>IF($A39="","",COUNTIFS('05A. COMPROMISSO DA SEMANA'!$A$5:$A$204,$A39,'05A. COMPROMISSO DA SEMANA'!$B$5:$B$204,$B39,'05A. COMPROMISSO DA SEMANA'!$J$5:$J$204,"SIM"))</f>
      </c>
      <c r="D39" s="30">
        <f>IF($A39="","",COUNTIFS('05A. COMPROMISSO DA SEMANA'!$A$5:$A$204,$A39,'05A. COMPROMISSO DA SEMANA'!$B$5:$B$204,$B39,'05A. COMPROMISSO DA SEMANA'!$J$5:$J$204,"SIM",'05A. COMPROMISSO DA SEMANA'!$N$5:$N$204,"SIM"))</f>
      </c>
      <c r="E39" s="50">
        <f>IF(OR($B39="",$C39="",N($C39)=0,$A39&gt;DATA_GESTAO),"",$D39/$C39)</f>
      </c>
      <c r="F39" s="327">
        <f>IF(OR($A39="",N($G39)=0),"",SUMIFS('05B. APONTAMENTO DIÁRIO'!$H$5:$H$1004,'05B. APONTAMENTO DIÁRIO'!$B$5:$B$1004,$B39,'05B. APONTAMENTO DIÁRIO'!$A$5:$A$1004,"&gt;="&amp;($A39-4),'05B. APONTAMENTO DIÁRIO'!$A$5:$A$1004,"&lt;="&amp;$A39)/$G39)</f>
      </c>
      <c r="G39" s="30">
        <f>IF($A39="","",(COUNTIFS('05B. APONTAMENTO DIÁRIO'!$B$5:$B$1004,$B39,'05B. APONTAMENTO DIÁRIO'!$A$5:$A$1004,$A39-4)&gt;0)+(COUNTIFS('05B. APONTAMENTO DIÁRIO'!$B$5:$B$1004,$B39,'05B. APONTAMENTO DIÁRIO'!$A$5:$A$1004,$A39-3)&gt;0)+(COUNTIFS('05B. APONTAMENTO DIÁRIO'!$B$5:$B$1004,$B39,'05B. APONTAMENTO DIÁRIO'!$A$5:$A$1004,$A39-2)&gt;0)+(COUNTIFS('05B. APONTAMENTO DIÁRIO'!$B$5:$B$1004,$B39,'05B. APONTAMENTO DIÁRIO'!$A$5:$A$1004,$A39-1)&gt;0)+(COUNTIFS('05B. APONTAMENTO DIÁRIO'!$B$5:$B$1004,$B39,'05B. APONTAMENTO DIÁRIO'!$A$5:$A$1004,$A39-0)&gt;0))</f>
      </c>
      <c r="H39" s="30">
        <f>IF($A39="","",IF($B39="343",NETWORKDAYS($A39-4,$A39,FERIADOS_343),IF($B39="281",NETWORKDAYS($A39-4,$A39,FERIADOS_281),NETWORKDAYS($A39-4,$A39,FERIADOS_342))))</f>
      </c>
      <c r="I39" s="30">
        <f>IF(OR($A39="",$A39&gt;DATA_GESTAO),"",COUNTIFS('05C. RESTRIÇÕES'!$B$5:$B$204,$B39,'05C. RESTRIÇÕES'!$H$5:$H$204,"ABERTA",'05C. RESTRIÇÕES'!$E$5:$E$204,"&lt;&gt;CLIENTE")+COUNTIFS('05C. RESTRIÇÕES'!$B$5:$B$204,$B39,'05C. RESTRIÇÕES'!$H$5:$H$204,"RESOLVIDA",'05C. RESTRIÇÕES'!$E$5:$E$204,"&lt;&gt;CLIENTE",'05C. RESTRIÇÕES'!$I$5:$I$204,"&gt;"&amp;$A39))</f>
      </c>
      <c r="J39" s="30">
        <f>IF(OR($A39="",$A39&gt;DATA_GESTAO),"",COUNTIFS('05C. RESTRIÇÕES'!$B$5:$B$204,$B39,'05C. RESTRIÇÕES'!$H$5:$H$204,"ABERTA",'05C. RESTRIÇÕES'!$E$5:$E$204,"CLIENTE")+COUNTIFS('05C. RESTRIÇÕES'!$B$5:$B$204,$B39,'05C. RESTRIÇÕES'!$H$5:$H$204,"RESOLVIDA",'05C. RESTRIÇÕES'!$E$5:$E$204,"CLIENTE",'05C. RESTRIÇÕES'!$I$5:$I$204,"&gt;"&amp;$A39))</f>
      </c>
      <c r="K39" s="49" t="n"/>
    </row>
    <row r="40">
      <c r="A40" s="37" t="n"/>
      <c r="B40" s="49" t="n"/>
      <c r="C40" s="30">
        <f>IF($A40="","",COUNTIFS('05A. COMPROMISSO DA SEMANA'!$A$5:$A$204,$A40,'05A. COMPROMISSO DA SEMANA'!$B$5:$B$204,$B40,'05A. COMPROMISSO DA SEMANA'!$J$5:$J$204,"SIM"))</f>
      </c>
      <c r="D40" s="30">
        <f>IF($A40="","",COUNTIFS('05A. COMPROMISSO DA SEMANA'!$A$5:$A$204,$A40,'05A. COMPROMISSO DA SEMANA'!$B$5:$B$204,$B40,'05A. COMPROMISSO DA SEMANA'!$J$5:$J$204,"SIM",'05A. COMPROMISSO DA SEMANA'!$N$5:$N$204,"SIM"))</f>
      </c>
      <c r="E40" s="50">
        <f>IF(OR($B40="",$C40="",N($C40)=0,$A40&gt;DATA_GESTAO),"",$D40/$C40)</f>
      </c>
      <c r="F40" s="327">
        <f>IF(OR($A40="",N($G40)=0),"",SUMIFS('05B. APONTAMENTO DIÁRIO'!$H$5:$H$1004,'05B. APONTAMENTO DIÁRIO'!$B$5:$B$1004,$B40,'05B. APONTAMENTO DIÁRIO'!$A$5:$A$1004,"&gt;="&amp;($A40-4),'05B. APONTAMENTO DIÁRIO'!$A$5:$A$1004,"&lt;="&amp;$A40)/$G40)</f>
      </c>
      <c r="G40" s="30">
        <f>IF($A40="","",(COUNTIFS('05B. APONTAMENTO DIÁRIO'!$B$5:$B$1004,$B40,'05B. APONTAMENTO DIÁRIO'!$A$5:$A$1004,$A40-4)&gt;0)+(COUNTIFS('05B. APONTAMENTO DIÁRIO'!$B$5:$B$1004,$B40,'05B. APONTAMENTO DIÁRIO'!$A$5:$A$1004,$A40-3)&gt;0)+(COUNTIFS('05B. APONTAMENTO DIÁRIO'!$B$5:$B$1004,$B40,'05B. APONTAMENTO DIÁRIO'!$A$5:$A$1004,$A40-2)&gt;0)+(COUNTIFS('05B. APONTAMENTO DIÁRIO'!$B$5:$B$1004,$B40,'05B. APONTAMENTO DIÁRIO'!$A$5:$A$1004,$A40-1)&gt;0)+(COUNTIFS('05B. APONTAMENTO DIÁRIO'!$B$5:$B$1004,$B40,'05B. APONTAMENTO DIÁRIO'!$A$5:$A$1004,$A40-0)&gt;0))</f>
      </c>
      <c r="H40" s="30">
        <f>IF($A40="","",IF($B40="343",NETWORKDAYS($A40-4,$A40,FERIADOS_343),IF($B40="281",NETWORKDAYS($A40-4,$A40,FERIADOS_281),NETWORKDAYS($A40-4,$A40,FERIADOS_342))))</f>
      </c>
      <c r="I40" s="30">
        <f>IF(OR($A40="",$A40&gt;DATA_GESTAO),"",COUNTIFS('05C. RESTRIÇÕES'!$B$5:$B$204,$B40,'05C. RESTRIÇÕES'!$H$5:$H$204,"ABERTA",'05C. RESTRIÇÕES'!$E$5:$E$204,"&lt;&gt;CLIENTE")+COUNTIFS('05C. RESTRIÇÕES'!$B$5:$B$204,$B40,'05C. RESTRIÇÕES'!$H$5:$H$204,"RESOLVIDA",'05C. RESTRIÇÕES'!$E$5:$E$204,"&lt;&gt;CLIENTE",'05C. RESTRIÇÕES'!$I$5:$I$204,"&gt;"&amp;$A40))</f>
      </c>
      <c r="J40" s="30">
        <f>IF(OR($A40="",$A40&gt;DATA_GESTAO),"",COUNTIFS('05C. RESTRIÇÕES'!$B$5:$B$204,$B40,'05C. RESTRIÇÕES'!$H$5:$H$204,"ABERTA",'05C. RESTRIÇÕES'!$E$5:$E$204,"CLIENTE")+COUNTIFS('05C. RESTRIÇÕES'!$B$5:$B$204,$B40,'05C. RESTRIÇÕES'!$H$5:$H$204,"RESOLVIDA",'05C. RESTRIÇÕES'!$E$5:$E$204,"CLIENTE",'05C. RESTRIÇÕES'!$I$5:$I$204,"&gt;"&amp;$A40))</f>
      </c>
      <c r="K40" s="49" t="n"/>
    </row>
    <row r="41">
      <c r="A41" s="37" t="n"/>
      <c r="B41" s="49" t="n"/>
      <c r="C41" s="30">
        <f>IF($A41="","",COUNTIFS('05A. COMPROMISSO DA SEMANA'!$A$5:$A$204,$A41,'05A. COMPROMISSO DA SEMANA'!$B$5:$B$204,$B41,'05A. COMPROMISSO DA SEMANA'!$J$5:$J$204,"SIM"))</f>
      </c>
      <c r="D41" s="30">
        <f>IF($A41="","",COUNTIFS('05A. COMPROMISSO DA SEMANA'!$A$5:$A$204,$A41,'05A. COMPROMISSO DA SEMANA'!$B$5:$B$204,$B41,'05A. COMPROMISSO DA SEMANA'!$J$5:$J$204,"SIM",'05A. COMPROMISSO DA SEMANA'!$N$5:$N$204,"SIM"))</f>
      </c>
      <c r="E41" s="50">
        <f>IF(OR($B41="",$C41="",N($C41)=0,$A41&gt;DATA_GESTAO),"",$D41/$C41)</f>
      </c>
      <c r="F41" s="327">
        <f>IF(OR($A41="",N($G41)=0),"",SUMIFS('05B. APONTAMENTO DIÁRIO'!$H$5:$H$1004,'05B. APONTAMENTO DIÁRIO'!$B$5:$B$1004,$B41,'05B. APONTAMENTO DIÁRIO'!$A$5:$A$1004,"&gt;="&amp;($A41-4),'05B. APONTAMENTO DIÁRIO'!$A$5:$A$1004,"&lt;="&amp;$A41)/$G41)</f>
      </c>
      <c r="G41" s="30">
        <f>IF($A41="","",(COUNTIFS('05B. APONTAMENTO DIÁRIO'!$B$5:$B$1004,$B41,'05B. APONTAMENTO DIÁRIO'!$A$5:$A$1004,$A41-4)&gt;0)+(COUNTIFS('05B. APONTAMENTO DIÁRIO'!$B$5:$B$1004,$B41,'05B. APONTAMENTO DIÁRIO'!$A$5:$A$1004,$A41-3)&gt;0)+(COUNTIFS('05B. APONTAMENTO DIÁRIO'!$B$5:$B$1004,$B41,'05B. APONTAMENTO DIÁRIO'!$A$5:$A$1004,$A41-2)&gt;0)+(COUNTIFS('05B. APONTAMENTO DIÁRIO'!$B$5:$B$1004,$B41,'05B. APONTAMENTO DIÁRIO'!$A$5:$A$1004,$A41-1)&gt;0)+(COUNTIFS('05B. APONTAMENTO DIÁRIO'!$B$5:$B$1004,$B41,'05B. APONTAMENTO DIÁRIO'!$A$5:$A$1004,$A41-0)&gt;0))</f>
      </c>
      <c r="H41" s="30">
        <f>IF($A41="","",IF($B41="343",NETWORKDAYS($A41-4,$A41,FERIADOS_343),IF($B41="281",NETWORKDAYS($A41-4,$A41,FERIADOS_281),NETWORKDAYS($A41-4,$A41,FERIADOS_342))))</f>
      </c>
      <c r="I41" s="30">
        <f>IF(OR($A41="",$A41&gt;DATA_GESTAO),"",COUNTIFS('05C. RESTRIÇÕES'!$B$5:$B$204,$B41,'05C. RESTRIÇÕES'!$H$5:$H$204,"ABERTA",'05C. RESTRIÇÕES'!$E$5:$E$204,"&lt;&gt;CLIENTE")+COUNTIFS('05C. RESTRIÇÕES'!$B$5:$B$204,$B41,'05C. RESTRIÇÕES'!$H$5:$H$204,"RESOLVIDA",'05C. RESTRIÇÕES'!$E$5:$E$204,"&lt;&gt;CLIENTE",'05C. RESTRIÇÕES'!$I$5:$I$204,"&gt;"&amp;$A41))</f>
      </c>
      <c r="J41" s="30">
        <f>IF(OR($A41="",$A41&gt;DATA_GESTAO),"",COUNTIFS('05C. RESTRIÇÕES'!$B$5:$B$204,$B41,'05C. RESTRIÇÕES'!$H$5:$H$204,"ABERTA",'05C. RESTRIÇÕES'!$E$5:$E$204,"CLIENTE")+COUNTIFS('05C. RESTRIÇÕES'!$B$5:$B$204,$B41,'05C. RESTRIÇÕES'!$H$5:$H$204,"RESOLVIDA",'05C. RESTRIÇÕES'!$E$5:$E$204,"CLIENTE",'05C. RESTRIÇÕES'!$I$5:$I$204,"&gt;"&amp;$A41))</f>
      </c>
      <c r="K41" s="49" t="n"/>
    </row>
    <row r="42">
      <c r="A42" s="37" t="n"/>
      <c r="B42" s="49" t="n"/>
      <c r="C42" s="30">
        <f>IF($A42="","",COUNTIFS('05A. COMPROMISSO DA SEMANA'!$A$5:$A$204,$A42,'05A. COMPROMISSO DA SEMANA'!$B$5:$B$204,$B42,'05A. COMPROMISSO DA SEMANA'!$J$5:$J$204,"SIM"))</f>
      </c>
      <c r="D42" s="30">
        <f>IF($A42="","",COUNTIFS('05A. COMPROMISSO DA SEMANA'!$A$5:$A$204,$A42,'05A. COMPROMISSO DA SEMANA'!$B$5:$B$204,$B42,'05A. COMPROMISSO DA SEMANA'!$J$5:$J$204,"SIM",'05A. COMPROMISSO DA SEMANA'!$N$5:$N$204,"SIM"))</f>
      </c>
      <c r="E42" s="50">
        <f>IF(OR($B42="",$C42="",N($C42)=0,$A42&gt;DATA_GESTAO),"",$D42/$C42)</f>
      </c>
      <c r="F42" s="327">
        <f>IF(OR($A42="",N($G42)=0),"",SUMIFS('05B. APONTAMENTO DIÁRIO'!$H$5:$H$1004,'05B. APONTAMENTO DIÁRIO'!$B$5:$B$1004,$B42,'05B. APONTAMENTO DIÁRIO'!$A$5:$A$1004,"&gt;="&amp;($A42-4),'05B. APONTAMENTO DIÁRIO'!$A$5:$A$1004,"&lt;="&amp;$A42)/$G42)</f>
      </c>
      <c r="G42" s="30">
        <f>IF($A42="","",(COUNTIFS('05B. APONTAMENTO DIÁRIO'!$B$5:$B$1004,$B42,'05B. APONTAMENTO DIÁRIO'!$A$5:$A$1004,$A42-4)&gt;0)+(COUNTIFS('05B. APONTAMENTO DIÁRIO'!$B$5:$B$1004,$B42,'05B. APONTAMENTO DIÁRIO'!$A$5:$A$1004,$A42-3)&gt;0)+(COUNTIFS('05B. APONTAMENTO DIÁRIO'!$B$5:$B$1004,$B42,'05B. APONTAMENTO DIÁRIO'!$A$5:$A$1004,$A42-2)&gt;0)+(COUNTIFS('05B. APONTAMENTO DIÁRIO'!$B$5:$B$1004,$B42,'05B. APONTAMENTO DIÁRIO'!$A$5:$A$1004,$A42-1)&gt;0)+(COUNTIFS('05B. APONTAMENTO DIÁRIO'!$B$5:$B$1004,$B42,'05B. APONTAMENTO DIÁRIO'!$A$5:$A$1004,$A42-0)&gt;0))</f>
      </c>
      <c r="H42" s="30">
        <f>IF($A42="","",IF($B42="343",NETWORKDAYS($A42-4,$A42,FERIADOS_343),IF($B42="281",NETWORKDAYS($A42-4,$A42,FERIADOS_281),NETWORKDAYS($A42-4,$A42,FERIADOS_342))))</f>
      </c>
      <c r="I42" s="30">
        <f>IF(OR($A42="",$A42&gt;DATA_GESTAO),"",COUNTIFS('05C. RESTRIÇÕES'!$B$5:$B$204,$B42,'05C. RESTRIÇÕES'!$H$5:$H$204,"ABERTA",'05C. RESTRIÇÕES'!$E$5:$E$204,"&lt;&gt;CLIENTE")+COUNTIFS('05C. RESTRIÇÕES'!$B$5:$B$204,$B42,'05C. RESTRIÇÕES'!$H$5:$H$204,"RESOLVIDA",'05C. RESTRIÇÕES'!$E$5:$E$204,"&lt;&gt;CLIENTE",'05C. RESTRIÇÕES'!$I$5:$I$204,"&gt;"&amp;$A42))</f>
      </c>
      <c r="J42" s="30">
        <f>IF(OR($A42="",$A42&gt;DATA_GESTAO),"",COUNTIFS('05C. RESTRIÇÕES'!$B$5:$B$204,$B42,'05C. RESTRIÇÕES'!$H$5:$H$204,"ABERTA",'05C. RESTRIÇÕES'!$E$5:$E$204,"CLIENTE")+COUNTIFS('05C. RESTRIÇÕES'!$B$5:$B$204,$B42,'05C. RESTRIÇÕES'!$H$5:$H$204,"RESOLVIDA",'05C. RESTRIÇÕES'!$E$5:$E$204,"CLIENTE",'05C. RESTRIÇÕES'!$I$5:$I$204,"&gt;"&amp;$A42))</f>
      </c>
      <c r="K42" s="49" t="n"/>
    </row>
    <row r="43">
      <c r="A43" s="37" t="n"/>
      <c r="B43" s="49" t="n"/>
      <c r="C43" s="30">
        <f>IF($A43="","",COUNTIFS('05A. COMPROMISSO DA SEMANA'!$A$5:$A$204,$A43,'05A. COMPROMISSO DA SEMANA'!$B$5:$B$204,$B43,'05A. COMPROMISSO DA SEMANA'!$J$5:$J$204,"SIM"))</f>
      </c>
      <c r="D43" s="30">
        <f>IF($A43="","",COUNTIFS('05A. COMPROMISSO DA SEMANA'!$A$5:$A$204,$A43,'05A. COMPROMISSO DA SEMANA'!$B$5:$B$204,$B43,'05A. COMPROMISSO DA SEMANA'!$J$5:$J$204,"SIM",'05A. COMPROMISSO DA SEMANA'!$N$5:$N$204,"SIM"))</f>
      </c>
      <c r="E43" s="50">
        <f>IF(OR($B43="",$C43="",N($C43)=0,$A43&gt;DATA_GESTAO),"",$D43/$C43)</f>
      </c>
      <c r="F43" s="327">
        <f>IF(OR($A43="",N($G43)=0),"",SUMIFS('05B. APONTAMENTO DIÁRIO'!$H$5:$H$1004,'05B. APONTAMENTO DIÁRIO'!$B$5:$B$1004,$B43,'05B. APONTAMENTO DIÁRIO'!$A$5:$A$1004,"&gt;="&amp;($A43-4),'05B. APONTAMENTO DIÁRIO'!$A$5:$A$1004,"&lt;="&amp;$A43)/$G43)</f>
      </c>
      <c r="G43" s="30">
        <f>IF($A43="","",(COUNTIFS('05B. APONTAMENTO DIÁRIO'!$B$5:$B$1004,$B43,'05B. APONTAMENTO DIÁRIO'!$A$5:$A$1004,$A43-4)&gt;0)+(COUNTIFS('05B. APONTAMENTO DIÁRIO'!$B$5:$B$1004,$B43,'05B. APONTAMENTO DIÁRIO'!$A$5:$A$1004,$A43-3)&gt;0)+(COUNTIFS('05B. APONTAMENTO DIÁRIO'!$B$5:$B$1004,$B43,'05B. APONTAMENTO DIÁRIO'!$A$5:$A$1004,$A43-2)&gt;0)+(COUNTIFS('05B. APONTAMENTO DIÁRIO'!$B$5:$B$1004,$B43,'05B. APONTAMENTO DIÁRIO'!$A$5:$A$1004,$A43-1)&gt;0)+(COUNTIFS('05B. APONTAMENTO DIÁRIO'!$B$5:$B$1004,$B43,'05B. APONTAMENTO DIÁRIO'!$A$5:$A$1004,$A43-0)&gt;0))</f>
      </c>
      <c r="H43" s="30">
        <f>IF($A43="","",IF($B43="343",NETWORKDAYS($A43-4,$A43,FERIADOS_343),IF($B43="281",NETWORKDAYS($A43-4,$A43,FERIADOS_281),NETWORKDAYS($A43-4,$A43,FERIADOS_342))))</f>
      </c>
      <c r="I43" s="30">
        <f>IF(OR($A43="",$A43&gt;DATA_GESTAO),"",COUNTIFS('05C. RESTRIÇÕES'!$B$5:$B$204,$B43,'05C. RESTRIÇÕES'!$H$5:$H$204,"ABERTA",'05C. RESTRIÇÕES'!$E$5:$E$204,"&lt;&gt;CLIENTE")+COUNTIFS('05C. RESTRIÇÕES'!$B$5:$B$204,$B43,'05C. RESTRIÇÕES'!$H$5:$H$204,"RESOLVIDA",'05C. RESTRIÇÕES'!$E$5:$E$204,"&lt;&gt;CLIENTE",'05C. RESTRIÇÕES'!$I$5:$I$204,"&gt;"&amp;$A43))</f>
      </c>
      <c r="J43" s="30">
        <f>IF(OR($A43="",$A43&gt;DATA_GESTAO),"",COUNTIFS('05C. RESTRIÇÕES'!$B$5:$B$204,$B43,'05C. RESTRIÇÕES'!$H$5:$H$204,"ABERTA",'05C. RESTRIÇÕES'!$E$5:$E$204,"CLIENTE")+COUNTIFS('05C. RESTRIÇÕES'!$B$5:$B$204,$B43,'05C. RESTRIÇÕES'!$H$5:$H$204,"RESOLVIDA",'05C. RESTRIÇÕES'!$E$5:$E$204,"CLIENTE",'05C. RESTRIÇÕES'!$I$5:$I$204,"&gt;"&amp;$A43))</f>
      </c>
      <c r="K43" s="49" t="n"/>
    </row>
    <row r="44">
      <c r="A44" s="37" t="n"/>
      <c r="B44" s="49" t="n"/>
      <c r="C44" s="30">
        <f>IF($A44="","",COUNTIFS('05A. COMPROMISSO DA SEMANA'!$A$5:$A$204,$A44,'05A. COMPROMISSO DA SEMANA'!$B$5:$B$204,$B44,'05A. COMPROMISSO DA SEMANA'!$J$5:$J$204,"SIM"))</f>
      </c>
      <c r="D44" s="30">
        <f>IF($A44="","",COUNTIFS('05A. COMPROMISSO DA SEMANA'!$A$5:$A$204,$A44,'05A. COMPROMISSO DA SEMANA'!$B$5:$B$204,$B44,'05A. COMPROMISSO DA SEMANA'!$J$5:$J$204,"SIM",'05A. COMPROMISSO DA SEMANA'!$N$5:$N$204,"SIM"))</f>
      </c>
      <c r="E44" s="50">
        <f>IF(OR($B44="",$C44="",N($C44)=0,$A44&gt;DATA_GESTAO),"",$D44/$C44)</f>
      </c>
      <c r="F44" s="327">
        <f>IF(OR($A44="",N($G44)=0),"",SUMIFS('05B. APONTAMENTO DIÁRIO'!$H$5:$H$1004,'05B. APONTAMENTO DIÁRIO'!$B$5:$B$1004,$B44,'05B. APONTAMENTO DIÁRIO'!$A$5:$A$1004,"&gt;="&amp;($A44-4),'05B. APONTAMENTO DIÁRIO'!$A$5:$A$1004,"&lt;="&amp;$A44)/$G44)</f>
      </c>
      <c r="G44" s="30">
        <f>IF($A44="","",(COUNTIFS('05B. APONTAMENTO DIÁRIO'!$B$5:$B$1004,$B44,'05B. APONTAMENTO DIÁRIO'!$A$5:$A$1004,$A44-4)&gt;0)+(COUNTIFS('05B. APONTAMENTO DIÁRIO'!$B$5:$B$1004,$B44,'05B. APONTAMENTO DIÁRIO'!$A$5:$A$1004,$A44-3)&gt;0)+(COUNTIFS('05B. APONTAMENTO DIÁRIO'!$B$5:$B$1004,$B44,'05B. APONTAMENTO DIÁRIO'!$A$5:$A$1004,$A44-2)&gt;0)+(COUNTIFS('05B. APONTAMENTO DIÁRIO'!$B$5:$B$1004,$B44,'05B. APONTAMENTO DIÁRIO'!$A$5:$A$1004,$A44-1)&gt;0)+(COUNTIFS('05B. APONTAMENTO DIÁRIO'!$B$5:$B$1004,$B44,'05B. APONTAMENTO DIÁRIO'!$A$5:$A$1004,$A44-0)&gt;0))</f>
      </c>
      <c r="H44" s="30">
        <f>IF($A44="","",IF($B44="343",NETWORKDAYS($A44-4,$A44,FERIADOS_343),IF($B44="281",NETWORKDAYS($A44-4,$A44,FERIADOS_281),NETWORKDAYS($A44-4,$A44,FERIADOS_342))))</f>
      </c>
      <c r="I44" s="30">
        <f>IF(OR($A44="",$A44&gt;DATA_GESTAO),"",COUNTIFS('05C. RESTRIÇÕES'!$B$5:$B$204,$B44,'05C. RESTRIÇÕES'!$H$5:$H$204,"ABERTA",'05C. RESTRIÇÕES'!$E$5:$E$204,"&lt;&gt;CLIENTE")+COUNTIFS('05C. RESTRIÇÕES'!$B$5:$B$204,$B44,'05C. RESTRIÇÕES'!$H$5:$H$204,"RESOLVIDA",'05C. RESTRIÇÕES'!$E$5:$E$204,"&lt;&gt;CLIENTE",'05C. RESTRIÇÕES'!$I$5:$I$204,"&gt;"&amp;$A44))</f>
      </c>
      <c r="J44" s="30">
        <f>IF(OR($A44="",$A44&gt;DATA_GESTAO),"",COUNTIFS('05C. RESTRIÇÕES'!$B$5:$B$204,$B44,'05C. RESTRIÇÕES'!$H$5:$H$204,"ABERTA",'05C. RESTRIÇÕES'!$E$5:$E$204,"CLIENTE")+COUNTIFS('05C. RESTRIÇÕES'!$B$5:$B$204,$B44,'05C. RESTRIÇÕES'!$H$5:$H$204,"RESOLVIDA",'05C. RESTRIÇÕES'!$E$5:$E$204,"CLIENTE",'05C. RESTRIÇÕES'!$I$5:$I$204,"&gt;"&amp;$A44))</f>
      </c>
      <c r="K44" s="49" t="n"/>
    </row>
    <row r="45">
      <c r="A45" s="37" t="n"/>
      <c r="B45" s="49" t="n"/>
      <c r="C45" s="30">
        <f>IF($A45="","",COUNTIFS('05A. COMPROMISSO DA SEMANA'!$A$5:$A$204,$A45,'05A. COMPROMISSO DA SEMANA'!$B$5:$B$204,$B45,'05A. COMPROMISSO DA SEMANA'!$J$5:$J$204,"SIM"))</f>
      </c>
      <c r="D45" s="30">
        <f>IF($A45="","",COUNTIFS('05A. COMPROMISSO DA SEMANA'!$A$5:$A$204,$A45,'05A. COMPROMISSO DA SEMANA'!$B$5:$B$204,$B45,'05A. COMPROMISSO DA SEMANA'!$J$5:$J$204,"SIM",'05A. COMPROMISSO DA SEMANA'!$N$5:$N$204,"SIM"))</f>
      </c>
      <c r="E45" s="50">
        <f>IF(OR($B45="",$C45="",N($C45)=0,$A45&gt;DATA_GESTAO),"",$D45/$C45)</f>
      </c>
      <c r="F45" s="327">
        <f>IF(OR($A45="",N($G45)=0),"",SUMIFS('05B. APONTAMENTO DIÁRIO'!$H$5:$H$1004,'05B. APONTAMENTO DIÁRIO'!$B$5:$B$1004,$B45,'05B. APONTAMENTO DIÁRIO'!$A$5:$A$1004,"&gt;="&amp;($A45-4),'05B. APONTAMENTO DIÁRIO'!$A$5:$A$1004,"&lt;="&amp;$A45)/$G45)</f>
      </c>
      <c r="G45" s="30">
        <f>IF($A45="","",(COUNTIFS('05B. APONTAMENTO DIÁRIO'!$B$5:$B$1004,$B45,'05B. APONTAMENTO DIÁRIO'!$A$5:$A$1004,$A45-4)&gt;0)+(COUNTIFS('05B. APONTAMENTO DIÁRIO'!$B$5:$B$1004,$B45,'05B. APONTAMENTO DIÁRIO'!$A$5:$A$1004,$A45-3)&gt;0)+(COUNTIFS('05B. APONTAMENTO DIÁRIO'!$B$5:$B$1004,$B45,'05B. APONTAMENTO DIÁRIO'!$A$5:$A$1004,$A45-2)&gt;0)+(COUNTIFS('05B. APONTAMENTO DIÁRIO'!$B$5:$B$1004,$B45,'05B. APONTAMENTO DIÁRIO'!$A$5:$A$1004,$A45-1)&gt;0)+(COUNTIFS('05B. APONTAMENTO DIÁRIO'!$B$5:$B$1004,$B45,'05B. APONTAMENTO DIÁRIO'!$A$5:$A$1004,$A45-0)&gt;0))</f>
      </c>
      <c r="H45" s="30">
        <f>IF($A45="","",IF($B45="343",NETWORKDAYS($A45-4,$A45,FERIADOS_343),IF($B45="281",NETWORKDAYS($A45-4,$A45,FERIADOS_281),NETWORKDAYS($A45-4,$A45,FERIADOS_342))))</f>
      </c>
      <c r="I45" s="30">
        <f>IF(OR($A45="",$A45&gt;DATA_GESTAO),"",COUNTIFS('05C. RESTRIÇÕES'!$B$5:$B$204,$B45,'05C. RESTRIÇÕES'!$H$5:$H$204,"ABERTA",'05C. RESTRIÇÕES'!$E$5:$E$204,"&lt;&gt;CLIENTE")+COUNTIFS('05C. RESTRIÇÕES'!$B$5:$B$204,$B45,'05C. RESTRIÇÕES'!$H$5:$H$204,"RESOLVIDA",'05C. RESTRIÇÕES'!$E$5:$E$204,"&lt;&gt;CLIENTE",'05C. RESTRIÇÕES'!$I$5:$I$204,"&gt;"&amp;$A45))</f>
      </c>
      <c r="J45" s="30">
        <f>IF(OR($A45="",$A45&gt;DATA_GESTAO),"",COUNTIFS('05C. RESTRIÇÕES'!$B$5:$B$204,$B45,'05C. RESTRIÇÕES'!$H$5:$H$204,"ABERTA",'05C. RESTRIÇÕES'!$E$5:$E$204,"CLIENTE")+COUNTIFS('05C. RESTRIÇÕES'!$B$5:$B$204,$B45,'05C. RESTRIÇÕES'!$H$5:$H$204,"RESOLVIDA",'05C. RESTRIÇÕES'!$E$5:$E$204,"CLIENTE",'05C. RESTRIÇÕES'!$I$5:$I$204,"&gt;"&amp;$A45))</f>
      </c>
      <c r="K45" s="49" t="n"/>
    </row>
    <row r="46">
      <c r="A46" s="37" t="n"/>
      <c r="B46" s="49" t="n"/>
      <c r="C46" s="30">
        <f>IF($A46="","",COUNTIFS('05A. COMPROMISSO DA SEMANA'!$A$5:$A$204,$A46,'05A. COMPROMISSO DA SEMANA'!$B$5:$B$204,$B46,'05A. COMPROMISSO DA SEMANA'!$J$5:$J$204,"SIM"))</f>
      </c>
      <c r="D46" s="30">
        <f>IF($A46="","",COUNTIFS('05A. COMPROMISSO DA SEMANA'!$A$5:$A$204,$A46,'05A. COMPROMISSO DA SEMANA'!$B$5:$B$204,$B46,'05A. COMPROMISSO DA SEMANA'!$J$5:$J$204,"SIM",'05A. COMPROMISSO DA SEMANA'!$N$5:$N$204,"SIM"))</f>
      </c>
      <c r="E46" s="50">
        <f>IF(OR($B46="",$C46="",N($C46)=0,$A46&gt;DATA_GESTAO),"",$D46/$C46)</f>
      </c>
      <c r="F46" s="327">
        <f>IF(OR($A46="",N($G46)=0),"",SUMIFS('05B. APONTAMENTO DIÁRIO'!$H$5:$H$1004,'05B. APONTAMENTO DIÁRIO'!$B$5:$B$1004,$B46,'05B. APONTAMENTO DIÁRIO'!$A$5:$A$1004,"&gt;="&amp;($A46-4),'05B. APONTAMENTO DIÁRIO'!$A$5:$A$1004,"&lt;="&amp;$A46)/$G46)</f>
      </c>
      <c r="G46" s="30">
        <f>IF($A46="","",(COUNTIFS('05B. APONTAMENTO DIÁRIO'!$B$5:$B$1004,$B46,'05B. APONTAMENTO DIÁRIO'!$A$5:$A$1004,$A46-4)&gt;0)+(COUNTIFS('05B. APONTAMENTO DIÁRIO'!$B$5:$B$1004,$B46,'05B. APONTAMENTO DIÁRIO'!$A$5:$A$1004,$A46-3)&gt;0)+(COUNTIFS('05B. APONTAMENTO DIÁRIO'!$B$5:$B$1004,$B46,'05B. APONTAMENTO DIÁRIO'!$A$5:$A$1004,$A46-2)&gt;0)+(COUNTIFS('05B. APONTAMENTO DIÁRIO'!$B$5:$B$1004,$B46,'05B. APONTAMENTO DIÁRIO'!$A$5:$A$1004,$A46-1)&gt;0)+(COUNTIFS('05B. APONTAMENTO DIÁRIO'!$B$5:$B$1004,$B46,'05B. APONTAMENTO DIÁRIO'!$A$5:$A$1004,$A46-0)&gt;0))</f>
      </c>
      <c r="H46" s="30">
        <f>IF($A46="","",IF($B46="343",NETWORKDAYS($A46-4,$A46,FERIADOS_343),IF($B46="281",NETWORKDAYS($A46-4,$A46,FERIADOS_281),NETWORKDAYS($A46-4,$A46,FERIADOS_342))))</f>
      </c>
      <c r="I46" s="30">
        <f>IF(OR($A46="",$A46&gt;DATA_GESTAO),"",COUNTIFS('05C. RESTRIÇÕES'!$B$5:$B$204,$B46,'05C. RESTRIÇÕES'!$H$5:$H$204,"ABERTA",'05C. RESTRIÇÕES'!$E$5:$E$204,"&lt;&gt;CLIENTE")+COUNTIFS('05C. RESTRIÇÕES'!$B$5:$B$204,$B46,'05C. RESTRIÇÕES'!$H$5:$H$204,"RESOLVIDA",'05C. RESTRIÇÕES'!$E$5:$E$204,"&lt;&gt;CLIENTE",'05C. RESTRIÇÕES'!$I$5:$I$204,"&gt;"&amp;$A46))</f>
      </c>
      <c r="J46" s="30">
        <f>IF(OR($A46="",$A46&gt;DATA_GESTAO),"",COUNTIFS('05C. RESTRIÇÕES'!$B$5:$B$204,$B46,'05C. RESTRIÇÕES'!$H$5:$H$204,"ABERTA",'05C. RESTRIÇÕES'!$E$5:$E$204,"CLIENTE")+COUNTIFS('05C. RESTRIÇÕES'!$B$5:$B$204,$B46,'05C. RESTRIÇÕES'!$H$5:$H$204,"RESOLVIDA",'05C. RESTRIÇÕES'!$E$5:$E$204,"CLIENTE",'05C. RESTRIÇÕES'!$I$5:$I$204,"&gt;"&amp;$A46))</f>
      </c>
      <c r="K46" s="49" t="n"/>
    </row>
    <row r="47">
      <c r="A47" s="37" t="n"/>
      <c r="B47" s="49" t="n"/>
      <c r="C47" s="30">
        <f>IF($A47="","",COUNTIFS('05A. COMPROMISSO DA SEMANA'!$A$5:$A$204,$A47,'05A. COMPROMISSO DA SEMANA'!$B$5:$B$204,$B47,'05A. COMPROMISSO DA SEMANA'!$J$5:$J$204,"SIM"))</f>
      </c>
      <c r="D47" s="30">
        <f>IF($A47="","",COUNTIFS('05A. COMPROMISSO DA SEMANA'!$A$5:$A$204,$A47,'05A. COMPROMISSO DA SEMANA'!$B$5:$B$204,$B47,'05A. COMPROMISSO DA SEMANA'!$J$5:$J$204,"SIM",'05A. COMPROMISSO DA SEMANA'!$N$5:$N$204,"SIM"))</f>
      </c>
      <c r="E47" s="50">
        <f>IF(OR($B47="",$C47="",N($C47)=0,$A47&gt;DATA_GESTAO),"",$D47/$C47)</f>
      </c>
      <c r="F47" s="327">
        <f>IF(OR($A47="",N($G47)=0),"",SUMIFS('05B. APONTAMENTO DIÁRIO'!$H$5:$H$1004,'05B. APONTAMENTO DIÁRIO'!$B$5:$B$1004,$B47,'05B. APONTAMENTO DIÁRIO'!$A$5:$A$1004,"&gt;="&amp;($A47-4),'05B. APONTAMENTO DIÁRIO'!$A$5:$A$1004,"&lt;="&amp;$A47)/$G47)</f>
      </c>
      <c r="G47" s="30">
        <f>IF($A47="","",(COUNTIFS('05B. APONTAMENTO DIÁRIO'!$B$5:$B$1004,$B47,'05B. APONTAMENTO DIÁRIO'!$A$5:$A$1004,$A47-4)&gt;0)+(COUNTIFS('05B. APONTAMENTO DIÁRIO'!$B$5:$B$1004,$B47,'05B. APONTAMENTO DIÁRIO'!$A$5:$A$1004,$A47-3)&gt;0)+(COUNTIFS('05B. APONTAMENTO DIÁRIO'!$B$5:$B$1004,$B47,'05B. APONTAMENTO DIÁRIO'!$A$5:$A$1004,$A47-2)&gt;0)+(COUNTIFS('05B. APONTAMENTO DIÁRIO'!$B$5:$B$1004,$B47,'05B. APONTAMENTO DIÁRIO'!$A$5:$A$1004,$A47-1)&gt;0)+(COUNTIFS('05B. APONTAMENTO DIÁRIO'!$B$5:$B$1004,$B47,'05B. APONTAMENTO DIÁRIO'!$A$5:$A$1004,$A47-0)&gt;0))</f>
      </c>
      <c r="H47" s="30">
        <f>IF($A47="","",IF($B47="343",NETWORKDAYS($A47-4,$A47,FERIADOS_343),IF($B47="281",NETWORKDAYS($A47-4,$A47,FERIADOS_281),NETWORKDAYS($A47-4,$A47,FERIADOS_342))))</f>
      </c>
      <c r="I47" s="30">
        <f>IF(OR($A47="",$A47&gt;DATA_GESTAO),"",COUNTIFS('05C. RESTRIÇÕES'!$B$5:$B$204,$B47,'05C. RESTRIÇÕES'!$H$5:$H$204,"ABERTA",'05C. RESTRIÇÕES'!$E$5:$E$204,"&lt;&gt;CLIENTE")+COUNTIFS('05C. RESTRIÇÕES'!$B$5:$B$204,$B47,'05C. RESTRIÇÕES'!$H$5:$H$204,"RESOLVIDA",'05C. RESTRIÇÕES'!$E$5:$E$204,"&lt;&gt;CLIENTE",'05C. RESTRIÇÕES'!$I$5:$I$204,"&gt;"&amp;$A47))</f>
      </c>
      <c r="J47" s="30">
        <f>IF(OR($A47="",$A47&gt;DATA_GESTAO),"",COUNTIFS('05C. RESTRIÇÕES'!$B$5:$B$204,$B47,'05C. RESTRIÇÕES'!$H$5:$H$204,"ABERTA",'05C. RESTRIÇÕES'!$E$5:$E$204,"CLIENTE")+COUNTIFS('05C. RESTRIÇÕES'!$B$5:$B$204,$B47,'05C. RESTRIÇÕES'!$H$5:$H$204,"RESOLVIDA",'05C. RESTRIÇÕES'!$E$5:$E$204,"CLIENTE",'05C. RESTRIÇÕES'!$I$5:$I$204,"&gt;"&amp;$A47))</f>
      </c>
      <c r="K47" s="49" t="n"/>
    </row>
    <row r="48">
      <c r="A48" s="37" t="n"/>
      <c r="B48" s="49" t="n"/>
      <c r="C48" s="30">
        <f>IF($A48="","",COUNTIFS('05A. COMPROMISSO DA SEMANA'!$A$5:$A$204,$A48,'05A. COMPROMISSO DA SEMANA'!$B$5:$B$204,$B48,'05A. COMPROMISSO DA SEMANA'!$J$5:$J$204,"SIM"))</f>
      </c>
      <c r="D48" s="30">
        <f>IF($A48="","",COUNTIFS('05A. COMPROMISSO DA SEMANA'!$A$5:$A$204,$A48,'05A. COMPROMISSO DA SEMANA'!$B$5:$B$204,$B48,'05A. COMPROMISSO DA SEMANA'!$J$5:$J$204,"SIM",'05A. COMPROMISSO DA SEMANA'!$N$5:$N$204,"SIM"))</f>
      </c>
      <c r="E48" s="50">
        <f>IF(OR($B48="",$C48="",N($C48)=0,$A48&gt;DATA_GESTAO),"",$D48/$C48)</f>
      </c>
      <c r="F48" s="327">
        <f>IF(OR($A48="",N($G48)=0),"",SUMIFS('05B. APONTAMENTO DIÁRIO'!$H$5:$H$1004,'05B. APONTAMENTO DIÁRIO'!$B$5:$B$1004,$B48,'05B. APONTAMENTO DIÁRIO'!$A$5:$A$1004,"&gt;="&amp;($A48-4),'05B. APONTAMENTO DIÁRIO'!$A$5:$A$1004,"&lt;="&amp;$A48)/$G48)</f>
      </c>
      <c r="G48" s="30">
        <f>IF($A48="","",(COUNTIFS('05B. APONTAMENTO DIÁRIO'!$B$5:$B$1004,$B48,'05B. APONTAMENTO DIÁRIO'!$A$5:$A$1004,$A48-4)&gt;0)+(COUNTIFS('05B. APONTAMENTO DIÁRIO'!$B$5:$B$1004,$B48,'05B. APONTAMENTO DIÁRIO'!$A$5:$A$1004,$A48-3)&gt;0)+(COUNTIFS('05B. APONTAMENTO DIÁRIO'!$B$5:$B$1004,$B48,'05B. APONTAMENTO DIÁRIO'!$A$5:$A$1004,$A48-2)&gt;0)+(COUNTIFS('05B. APONTAMENTO DIÁRIO'!$B$5:$B$1004,$B48,'05B. APONTAMENTO DIÁRIO'!$A$5:$A$1004,$A48-1)&gt;0)+(COUNTIFS('05B. APONTAMENTO DIÁRIO'!$B$5:$B$1004,$B48,'05B. APONTAMENTO DIÁRIO'!$A$5:$A$1004,$A48-0)&gt;0))</f>
      </c>
      <c r="H48" s="30">
        <f>IF($A48="","",IF($B48="343",NETWORKDAYS($A48-4,$A48,FERIADOS_343),IF($B48="281",NETWORKDAYS($A48-4,$A48,FERIADOS_281),NETWORKDAYS($A48-4,$A48,FERIADOS_342))))</f>
      </c>
      <c r="I48" s="30">
        <f>IF(OR($A48="",$A48&gt;DATA_GESTAO),"",COUNTIFS('05C. RESTRIÇÕES'!$B$5:$B$204,$B48,'05C. RESTRIÇÕES'!$H$5:$H$204,"ABERTA",'05C. RESTRIÇÕES'!$E$5:$E$204,"&lt;&gt;CLIENTE")+COUNTIFS('05C. RESTRIÇÕES'!$B$5:$B$204,$B48,'05C. RESTRIÇÕES'!$H$5:$H$204,"RESOLVIDA",'05C. RESTRIÇÕES'!$E$5:$E$204,"&lt;&gt;CLIENTE",'05C. RESTRIÇÕES'!$I$5:$I$204,"&gt;"&amp;$A48))</f>
      </c>
      <c r="J48" s="30">
        <f>IF(OR($A48="",$A48&gt;DATA_GESTAO),"",COUNTIFS('05C. RESTRIÇÕES'!$B$5:$B$204,$B48,'05C. RESTRIÇÕES'!$H$5:$H$204,"ABERTA",'05C. RESTRIÇÕES'!$E$5:$E$204,"CLIENTE")+COUNTIFS('05C. RESTRIÇÕES'!$B$5:$B$204,$B48,'05C. RESTRIÇÕES'!$H$5:$H$204,"RESOLVIDA",'05C. RESTRIÇÕES'!$E$5:$E$204,"CLIENTE",'05C. RESTRIÇÕES'!$I$5:$I$204,"&gt;"&amp;$A48))</f>
      </c>
      <c r="K48" s="49" t="n"/>
    </row>
    <row r="49">
      <c r="A49" s="37" t="n"/>
      <c r="B49" s="49" t="n"/>
      <c r="C49" s="30">
        <f>IF($A49="","",COUNTIFS('05A. COMPROMISSO DA SEMANA'!$A$5:$A$204,$A49,'05A. COMPROMISSO DA SEMANA'!$B$5:$B$204,$B49,'05A. COMPROMISSO DA SEMANA'!$J$5:$J$204,"SIM"))</f>
      </c>
      <c r="D49" s="30">
        <f>IF($A49="","",COUNTIFS('05A. COMPROMISSO DA SEMANA'!$A$5:$A$204,$A49,'05A. COMPROMISSO DA SEMANA'!$B$5:$B$204,$B49,'05A. COMPROMISSO DA SEMANA'!$J$5:$J$204,"SIM",'05A. COMPROMISSO DA SEMANA'!$N$5:$N$204,"SIM"))</f>
      </c>
      <c r="E49" s="50">
        <f>IF(OR($B49="",$C49="",N($C49)=0,$A49&gt;DATA_GESTAO),"",$D49/$C49)</f>
      </c>
      <c r="F49" s="327">
        <f>IF(OR($A49="",N($G49)=0),"",SUMIFS('05B. APONTAMENTO DIÁRIO'!$H$5:$H$1004,'05B. APONTAMENTO DIÁRIO'!$B$5:$B$1004,$B49,'05B. APONTAMENTO DIÁRIO'!$A$5:$A$1004,"&gt;="&amp;($A49-4),'05B. APONTAMENTO DIÁRIO'!$A$5:$A$1004,"&lt;="&amp;$A49)/$G49)</f>
      </c>
      <c r="G49" s="30">
        <f>IF($A49="","",(COUNTIFS('05B. APONTAMENTO DIÁRIO'!$B$5:$B$1004,$B49,'05B. APONTAMENTO DIÁRIO'!$A$5:$A$1004,$A49-4)&gt;0)+(COUNTIFS('05B. APONTAMENTO DIÁRIO'!$B$5:$B$1004,$B49,'05B. APONTAMENTO DIÁRIO'!$A$5:$A$1004,$A49-3)&gt;0)+(COUNTIFS('05B. APONTAMENTO DIÁRIO'!$B$5:$B$1004,$B49,'05B. APONTAMENTO DIÁRIO'!$A$5:$A$1004,$A49-2)&gt;0)+(COUNTIFS('05B. APONTAMENTO DIÁRIO'!$B$5:$B$1004,$B49,'05B. APONTAMENTO DIÁRIO'!$A$5:$A$1004,$A49-1)&gt;0)+(COUNTIFS('05B. APONTAMENTO DIÁRIO'!$B$5:$B$1004,$B49,'05B. APONTAMENTO DIÁRIO'!$A$5:$A$1004,$A49-0)&gt;0))</f>
      </c>
      <c r="H49" s="30">
        <f>IF($A49="","",IF($B49="343",NETWORKDAYS($A49-4,$A49,FERIADOS_343),IF($B49="281",NETWORKDAYS($A49-4,$A49,FERIADOS_281),NETWORKDAYS($A49-4,$A49,FERIADOS_342))))</f>
      </c>
      <c r="I49" s="30">
        <f>IF(OR($A49="",$A49&gt;DATA_GESTAO),"",COUNTIFS('05C. RESTRIÇÕES'!$B$5:$B$204,$B49,'05C. RESTRIÇÕES'!$H$5:$H$204,"ABERTA",'05C. RESTRIÇÕES'!$E$5:$E$204,"&lt;&gt;CLIENTE")+COUNTIFS('05C. RESTRIÇÕES'!$B$5:$B$204,$B49,'05C. RESTRIÇÕES'!$H$5:$H$204,"RESOLVIDA",'05C. RESTRIÇÕES'!$E$5:$E$204,"&lt;&gt;CLIENTE",'05C. RESTRIÇÕES'!$I$5:$I$204,"&gt;"&amp;$A49))</f>
      </c>
      <c r="J49" s="30">
        <f>IF(OR($A49="",$A49&gt;DATA_GESTAO),"",COUNTIFS('05C. RESTRIÇÕES'!$B$5:$B$204,$B49,'05C. RESTRIÇÕES'!$H$5:$H$204,"ABERTA",'05C. RESTRIÇÕES'!$E$5:$E$204,"CLIENTE")+COUNTIFS('05C. RESTRIÇÕES'!$B$5:$B$204,$B49,'05C. RESTRIÇÕES'!$H$5:$H$204,"RESOLVIDA",'05C. RESTRIÇÕES'!$E$5:$E$204,"CLIENTE",'05C. RESTRIÇÕES'!$I$5:$I$204,"&gt;"&amp;$A49))</f>
      </c>
      <c r="K49" s="49" t="n"/>
    </row>
    <row r="50">
      <c r="A50" s="37" t="n"/>
      <c r="B50" s="49" t="n"/>
      <c r="C50" s="30">
        <f>IF($A50="","",COUNTIFS('05A. COMPROMISSO DA SEMANA'!$A$5:$A$204,$A50,'05A. COMPROMISSO DA SEMANA'!$B$5:$B$204,$B50,'05A. COMPROMISSO DA SEMANA'!$J$5:$J$204,"SIM"))</f>
      </c>
      <c r="D50" s="30">
        <f>IF($A50="","",COUNTIFS('05A. COMPROMISSO DA SEMANA'!$A$5:$A$204,$A50,'05A. COMPROMISSO DA SEMANA'!$B$5:$B$204,$B50,'05A. COMPROMISSO DA SEMANA'!$J$5:$J$204,"SIM",'05A. COMPROMISSO DA SEMANA'!$N$5:$N$204,"SIM"))</f>
      </c>
      <c r="E50" s="50">
        <f>IF(OR($B50="",$C50="",N($C50)=0,$A50&gt;DATA_GESTAO),"",$D50/$C50)</f>
      </c>
      <c r="F50" s="327">
        <f>IF(OR($A50="",N($G50)=0),"",SUMIFS('05B. APONTAMENTO DIÁRIO'!$H$5:$H$1004,'05B. APONTAMENTO DIÁRIO'!$B$5:$B$1004,$B50,'05B. APONTAMENTO DIÁRIO'!$A$5:$A$1004,"&gt;="&amp;($A50-4),'05B. APONTAMENTO DIÁRIO'!$A$5:$A$1004,"&lt;="&amp;$A50)/$G50)</f>
      </c>
      <c r="G50" s="30">
        <f>IF($A50="","",(COUNTIFS('05B. APONTAMENTO DIÁRIO'!$B$5:$B$1004,$B50,'05B. APONTAMENTO DIÁRIO'!$A$5:$A$1004,$A50-4)&gt;0)+(COUNTIFS('05B. APONTAMENTO DIÁRIO'!$B$5:$B$1004,$B50,'05B. APONTAMENTO DIÁRIO'!$A$5:$A$1004,$A50-3)&gt;0)+(COUNTIFS('05B. APONTAMENTO DIÁRIO'!$B$5:$B$1004,$B50,'05B. APONTAMENTO DIÁRIO'!$A$5:$A$1004,$A50-2)&gt;0)+(COUNTIFS('05B. APONTAMENTO DIÁRIO'!$B$5:$B$1004,$B50,'05B. APONTAMENTO DIÁRIO'!$A$5:$A$1004,$A50-1)&gt;0)+(COUNTIFS('05B. APONTAMENTO DIÁRIO'!$B$5:$B$1004,$B50,'05B. APONTAMENTO DIÁRIO'!$A$5:$A$1004,$A50-0)&gt;0))</f>
      </c>
      <c r="H50" s="30">
        <f>IF($A50="","",IF($B50="343",NETWORKDAYS($A50-4,$A50,FERIADOS_343),IF($B50="281",NETWORKDAYS($A50-4,$A50,FERIADOS_281),NETWORKDAYS($A50-4,$A50,FERIADOS_342))))</f>
      </c>
      <c r="I50" s="30">
        <f>IF(OR($A50="",$A50&gt;DATA_GESTAO),"",COUNTIFS('05C. RESTRIÇÕES'!$B$5:$B$204,$B50,'05C. RESTRIÇÕES'!$H$5:$H$204,"ABERTA",'05C. RESTRIÇÕES'!$E$5:$E$204,"&lt;&gt;CLIENTE")+COUNTIFS('05C. RESTRIÇÕES'!$B$5:$B$204,$B50,'05C. RESTRIÇÕES'!$H$5:$H$204,"RESOLVIDA",'05C. RESTRIÇÕES'!$E$5:$E$204,"&lt;&gt;CLIENTE",'05C. RESTRIÇÕES'!$I$5:$I$204,"&gt;"&amp;$A50))</f>
      </c>
      <c r="J50" s="30">
        <f>IF(OR($A50="",$A50&gt;DATA_GESTAO),"",COUNTIFS('05C. RESTRIÇÕES'!$B$5:$B$204,$B50,'05C. RESTRIÇÕES'!$H$5:$H$204,"ABERTA",'05C. RESTRIÇÕES'!$E$5:$E$204,"CLIENTE")+COUNTIFS('05C. RESTRIÇÕES'!$B$5:$B$204,$B50,'05C. RESTRIÇÕES'!$H$5:$H$204,"RESOLVIDA",'05C. RESTRIÇÕES'!$E$5:$E$204,"CLIENTE",'05C. RESTRIÇÕES'!$I$5:$I$204,"&gt;"&amp;$A50))</f>
      </c>
      <c r="K50" s="49" t="n"/>
    </row>
    <row r="51">
      <c r="A51" s="37" t="n"/>
      <c r="B51" s="49" t="n"/>
      <c r="C51" s="30">
        <f>IF($A51="","",COUNTIFS('05A. COMPROMISSO DA SEMANA'!$A$5:$A$204,$A51,'05A. COMPROMISSO DA SEMANA'!$B$5:$B$204,$B51,'05A. COMPROMISSO DA SEMANA'!$J$5:$J$204,"SIM"))</f>
      </c>
      <c r="D51" s="30">
        <f>IF($A51="","",COUNTIFS('05A. COMPROMISSO DA SEMANA'!$A$5:$A$204,$A51,'05A. COMPROMISSO DA SEMANA'!$B$5:$B$204,$B51,'05A. COMPROMISSO DA SEMANA'!$J$5:$J$204,"SIM",'05A. COMPROMISSO DA SEMANA'!$N$5:$N$204,"SIM"))</f>
      </c>
      <c r="E51" s="50">
        <f>IF(OR($B51="",$C51="",N($C51)=0,$A51&gt;DATA_GESTAO),"",$D51/$C51)</f>
      </c>
      <c r="F51" s="327">
        <f>IF(OR($A51="",N($G51)=0),"",SUMIFS('05B. APONTAMENTO DIÁRIO'!$H$5:$H$1004,'05B. APONTAMENTO DIÁRIO'!$B$5:$B$1004,$B51,'05B. APONTAMENTO DIÁRIO'!$A$5:$A$1004,"&gt;="&amp;($A51-4),'05B. APONTAMENTO DIÁRIO'!$A$5:$A$1004,"&lt;="&amp;$A51)/$G51)</f>
      </c>
      <c r="G51" s="30">
        <f>IF($A51="","",(COUNTIFS('05B. APONTAMENTO DIÁRIO'!$B$5:$B$1004,$B51,'05B. APONTAMENTO DIÁRIO'!$A$5:$A$1004,$A51-4)&gt;0)+(COUNTIFS('05B. APONTAMENTO DIÁRIO'!$B$5:$B$1004,$B51,'05B. APONTAMENTO DIÁRIO'!$A$5:$A$1004,$A51-3)&gt;0)+(COUNTIFS('05B. APONTAMENTO DIÁRIO'!$B$5:$B$1004,$B51,'05B. APONTAMENTO DIÁRIO'!$A$5:$A$1004,$A51-2)&gt;0)+(COUNTIFS('05B. APONTAMENTO DIÁRIO'!$B$5:$B$1004,$B51,'05B. APONTAMENTO DIÁRIO'!$A$5:$A$1004,$A51-1)&gt;0)+(COUNTIFS('05B. APONTAMENTO DIÁRIO'!$B$5:$B$1004,$B51,'05B. APONTAMENTO DIÁRIO'!$A$5:$A$1004,$A51-0)&gt;0))</f>
      </c>
      <c r="H51" s="30">
        <f>IF($A51="","",IF($B51="343",NETWORKDAYS($A51-4,$A51,FERIADOS_343),IF($B51="281",NETWORKDAYS($A51-4,$A51,FERIADOS_281),NETWORKDAYS($A51-4,$A51,FERIADOS_342))))</f>
      </c>
      <c r="I51" s="30">
        <f>IF(OR($A51="",$A51&gt;DATA_GESTAO),"",COUNTIFS('05C. RESTRIÇÕES'!$B$5:$B$204,$B51,'05C. RESTRIÇÕES'!$H$5:$H$204,"ABERTA",'05C. RESTRIÇÕES'!$E$5:$E$204,"&lt;&gt;CLIENTE")+COUNTIFS('05C. RESTRIÇÕES'!$B$5:$B$204,$B51,'05C. RESTRIÇÕES'!$H$5:$H$204,"RESOLVIDA",'05C. RESTRIÇÕES'!$E$5:$E$204,"&lt;&gt;CLIENTE",'05C. RESTRIÇÕES'!$I$5:$I$204,"&gt;"&amp;$A51))</f>
      </c>
      <c r="J51" s="30">
        <f>IF(OR($A51="",$A51&gt;DATA_GESTAO),"",COUNTIFS('05C. RESTRIÇÕES'!$B$5:$B$204,$B51,'05C. RESTRIÇÕES'!$H$5:$H$204,"ABERTA",'05C. RESTRIÇÕES'!$E$5:$E$204,"CLIENTE")+COUNTIFS('05C. RESTRIÇÕES'!$B$5:$B$204,$B51,'05C. RESTRIÇÕES'!$H$5:$H$204,"RESOLVIDA",'05C. RESTRIÇÕES'!$E$5:$E$204,"CLIENTE",'05C. RESTRIÇÕES'!$I$5:$I$204,"&gt;"&amp;$A51))</f>
      </c>
      <c r="K51" s="49" t="n"/>
    </row>
    <row r="52">
      <c r="A52" s="37" t="n"/>
      <c r="B52" s="49" t="n"/>
      <c r="C52" s="30">
        <f>IF($A52="","",COUNTIFS('05A. COMPROMISSO DA SEMANA'!$A$5:$A$204,$A52,'05A. COMPROMISSO DA SEMANA'!$B$5:$B$204,$B52,'05A. COMPROMISSO DA SEMANA'!$J$5:$J$204,"SIM"))</f>
      </c>
      <c r="D52" s="30">
        <f>IF($A52="","",COUNTIFS('05A. COMPROMISSO DA SEMANA'!$A$5:$A$204,$A52,'05A. COMPROMISSO DA SEMANA'!$B$5:$B$204,$B52,'05A. COMPROMISSO DA SEMANA'!$J$5:$J$204,"SIM",'05A. COMPROMISSO DA SEMANA'!$N$5:$N$204,"SIM"))</f>
      </c>
      <c r="E52" s="50">
        <f>IF(OR($B52="",$C52="",N($C52)=0,$A52&gt;DATA_GESTAO),"",$D52/$C52)</f>
      </c>
      <c r="F52" s="327">
        <f>IF(OR($A52="",N($G52)=0),"",SUMIFS('05B. APONTAMENTO DIÁRIO'!$H$5:$H$1004,'05B. APONTAMENTO DIÁRIO'!$B$5:$B$1004,$B52,'05B. APONTAMENTO DIÁRIO'!$A$5:$A$1004,"&gt;="&amp;($A52-4),'05B. APONTAMENTO DIÁRIO'!$A$5:$A$1004,"&lt;="&amp;$A52)/$G52)</f>
      </c>
      <c r="G52" s="30">
        <f>IF($A52="","",(COUNTIFS('05B. APONTAMENTO DIÁRIO'!$B$5:$B$1004,$B52,'05B. APONTAMENTO DIÁRIO'!$A$5:$A$1004,$A52-4)&gt;0)+(COUNTIFS('05B. APONTAMENTO DIÁRIO'!$B$5:$B$1004,$B52,'05B. APONTAMENTO DIÁRIO'!$A$5:$A$1004,$A52-3)&gt;0)+(COUNTIFS('05B. APONTAMENTO DIÁRIO'!$B$5:$B$1004,$B52,'05B. APONTAMENTO DIÁRIO'!$A$5:$A$1004,$A52-2)&gt;0)+(COUNTIFS('05B. APONTAMENTO DIÁRIO'!$B$5:$B$1004,$B52,'05B. APONTAMENTO DIÁRIO'!$A$5:$A$1004,$A52-1)&gt;0)+(COUNTIFS('05B. APONTAMENTO DIÁRIO'!$B$5:$B$1004,$B52,'05B. APONTAMENTO DIÁRIO'!$A$5:$A$1004,$A52-0)&gt;0))</f>
      </c>
      <c r="H52" s="30">
        <f>IF($A52="","",IF($B52="343",NETWORKDAYS($A52-4,$A52,FERIADOS_343),IF($B52="281",NETWORKDAYS($A52-4,$A52,FERIADOS_281),NETWORKDAYS($A52-4,$A52,FERIADOS_342))))</f>
      </c>
      <c r="I52" s="30">
        <f>IF(OR($A52="",$A52&gt;DATA_GESTAO),"",COUNTIFS('05C. RESTRIÇÕES'!$B$5:$B$204,$B52,'05C. RESTRIÇÕES'!$H$5:$H$204,"ABERTA",'05C. RESTRIÇÕES'!$E$5:$E$204,"&lt;&gt;CLIENTE")+COUNTIFS('05C. RESTRIÇÕES'!$B$5:$B$204,$B52,'05C. RESTRIÇÕES'!$H$5:$H$204,"RESOLVIDA",'05C. RESTRIÇÕES'!$E$5:$E$204,"&lt;&gt;CLIENTE",'05C. RESTRIÇÕES'!$I$5:$I$204,"&gt;"&amp;$A52))</f>
      </c>
      <c r="J52" s="30">
        <f>IF(OR($A52="",$A52&gt;DATA_GESTAO),"",COUNTIFS('05C. RESTRIÇÕES'!$B$5:$B$204,$B52,'05C. RESTRIÇÕES'!$H$5:$H$204,"ABERTA",'05C. RESTRIÇÕES'!$E$5:$E$204,"CLIENTE")+COUNTIFS('05C. RESTRIÇÕES'!$B$5:$B$204,$B52,'05C. RESTRIÇÕES'!$H$5:$H$204,"RESOLVIDA",'05C. RESTRIÇÕES'!$E$5:$E$204,"CLIENTE",'05C. RESTRIÇÕES'!$I$5:$I$204,"&gt;"&amp;$A52))</f>
      </c>
      <c r="K52" s="49" t="n"/>
    </row>
    <row r="53">
      <c r="A53" s="37" t="n"/>
      <c r="B53" s="49" t="n"/>
      <c r="C53" s="30">
        <f>IF($A53="","",COUNTIFS('05A. COMPROMISSO DA SEMANA'!$A$5:$A$204,$A53,'05A. COMPROMISSO DA SEMANA'!$B$5:$B$204,$B53,'05A. COMPROMISSO DA SEMANA'!$J$5:$J$204,"SIM"))</f>
      </c>
      <c r="D53" s="30">
        <f>IF($A53="","",COUNTIFS('05A. COMPROMISSO DA SEMANA'!$A$5:$A$204,$A53,'05A. COMPROMISSO DA SEMANA'!$B$5:$B$204,$B53,'05A. COMPROMISSO DA SEMANA'!$J$5:$J$204,"SIM",'05A. COMPROMISSO DA SEMANA'!$N$5:$N$204,"SIM"))</f>
      </c>
      <c r="E53" s="50">
        <f>IF(OR($B53="",$C53="",N($C53)=0,$A53&gt;DATA_GESTAO),"",$D53/$C53)</f>
      </c>
      <c r="F53" s="327">
        <f>IF(OR($A53="",N($G53)=0),"",SUMIFS('05B. APONTAMENTO DIÁRIO'!$H$5:$H$1004,'05B. APONTAMENTO DIÁRIO'!$B$5:$B$1004,$B53,'05B. APONTAMENTO DIÁRIO'!$A$5:$A$1004,"&gt;="&amp;($A53-4),'05B. APONTAMENTO DIÁRIO'!$A$5:$A$1004,"&lt;="&amp;$A53)/$G53)</f>
      </c>
      <c r="G53" s="30">
        <f>IF($A53="","",(COUNTIFS('05B. APONTAMENTO DIÁRIO'!$B$5:$B$1004,$B53,'05B. APONTAMENTO DIÁRIO'!$A$5:$A$1004,$A53-4)&gt;0)+(COUNTIFS('05B. APONTAMENTO DIÁRIO'!$B$5:$B$1004,$B53,'05B. APONTAMENTO DIÁRIO'!$A$5:$A$1004,$A53-3)&gt;0)+(COUNTIFS('05B. APONTAMENTO DIÁRIO'!$B$5:$B$1004,$B53,'05B. APONTAMENTO DIÁRIO'!$A$5:$A$1004,$A53-2)&gt;0)+(COUNTIFS('05B. APONTAMENTO DIÁRIO'!$B$5:$B$1004,$B53,'05B. APONTAMENTO DIÁRIO'!$A$5:$A$1004,$A53-1)&gt;0)+(COUNTIFS('05B. APONTAMENTO DIÁRIO'!$B$5:$B$1004,$B53,'05B. APONTAMENTO DIÁRIO'!$A$5:$A$1004,$A53-0)&gt;0))</f>
      </c>
      <c r="H53" s="30">
        <f>IF($A53="","",IF($B53="343",NETWORKDAYS($A53-4,$A53,FERIADOS_343),IF($B53="281",NETWORKDAYS($A53-4,$A53,FERIADOS_281),NETWORKDAYS($A53-4,$A53,FERIADOS_342))))</f>
      </c>
      <c r="I53" s="30">
        <f>IF(OR($A53="",$A53&gt;DATA_GESTAO),"",COUNTIFS('05C. RESTRIÇÕES'!$B$5:$B$204,$B53,'05C. RESTRIÇÕES'!$H$5:$H$204,"ABERTA",'05C. RESTRIÇÕES'!$E$5:$E$204,"&lt;&gt;CLIENTE")+COUNTIFS('05C. RESTRIÇÕES'!$B$5:$B$204,$B53,'05C. RESTRIÇÕES'!$H$5:$H$204,"RESOLVIDA",'05C. RESTRIÇÕES'!$E$5:$E$204,"&lt;&gt;CLIENTE",'05C. RESTRIÇÕES'!$I$5:$I$204,"&gt;"&amp;$A53))</f>
      </c>
      <c r="J53" s="30">
        <f>IF(OR($A53="",$A53&gt;DATA_GESTAO),"",COUNTIFS('05C. RESTRIÇÕES'!$B$5:$B$204,$B53,'05C. RESTRIÇÕES'!$H$5:$H$204,"ABERTA",'05C. RESTRIÇÕES'!$E$5:$E$204,"CLIENTE")+COUNTIFS('05C. RESTRIÇÕES'!$B$5:$B$204,$B53,'05C. RESTRIÇÕES'!$H$5:$H$204,"RESOLVIDA",'05C. RESTRIÇÕES'!$E$5:$E$204,"CLIENTE",'05C. RESTRIÇÕES'!$I$5:$I$204,"&gt;"&amp;$A53))</f>
      </c>
      <c r="K53" s="49" t="n"/>
    </row>
    <row r="54">
      <c r="A54" s="37" t="n"/>
      <c r="B54" s="49" t="n"/>
      <c r="C54" s="30">
        <f>IF($A54="","",COUNTIFS('05A. COMPROMISSO DA SEMANA'!$A$5:$A$204,$A54,'05A. COMPROMISSO DA SEMANA'!$B$5:$B$204,$B54,'05A. COMPROMISSO DA SEMANA'!$J$5:$J$204,"SIM"))</f>
      </c>
      <c r="D54" s="30">
        <f>IF($A54="","",COUNTIFS('05A. COMPROMISSO DA SEMANA'!$A$5:$A$204,$A54,'05A. COMPROMISSO DA SEMANA'!$B$5:$B$204,$B54,'05A. COMPROMISSO DA SEMANA'!$J$5:$J$204,"SIM",'05A. COMPROMISSO DA SEMANA'!$N$5:$N$204,"SIM"))</f>
      </c>
      <c r="E54" s="50">
        <f>IF(OR($B54="",$C54="",N($C54)=0,$A54&gt;DATA_GESTAO),"",$D54/$C54)</f>
      </c>
      <c r="F54" s="327">
        <f>IF(OR($A54="",N($G54)=0),"",SUMIFS('05B. APONTAMENTO DIÁRIO'!$H$5:$H$1004,'05B. APONTAMENTO DIÁRIO'!$B$5:$B$1004,$B54,'05B. APONTAMENTO DIÁRIO'!$A$5:$A$1004,"&gt;="&amp;($A54-4),'05B. APONTAMENTO DIÁRIO'!$A$5:$A$1004,"&lt;="&amp;$A54)/$G54)</f>
      </c>
      <c r="G54" s="30">
        <f>IF($A54="","",(COUNTIFS('05B. APONTAMENTO DIÁRIO'!$B$5:$B$1004,$B54,'05B. APONTAMENTO DIÁRIO'!$A$5:$A$1004,$A54-4)&gt;0)+(COUNTIFS('05B. APONTAMENTO DIÁRIO'!$B$5:$B$1004,$B54,'05B. APONTAMENTO DIÁRIO'!$A$5:$A$1004,$A54-3)&gt;0)+(COUNTIFS('05B. APONTAMENTO DIÁRIO'!$B$5:$B$1004,$B54,'05B. APONTAMENTO DIÁRIO'!$A$5:$A$1004,$A54-2)&gt;0)+(COUNTIFS('05B. APONTAMENTO DIÁRIO'!$B$5:$B$1004,$B54,'05B. APONTAMENTO DIÁRIO'!$A$5:$A$1004,$A54-1)&gt;0)+(COUNTIFS('05B. APONTAMENTO DIÁRIO'!$B$5:$B$1004,$B54,'05B. APONTAMENTO DIÁRIO'!$A$5:$A$1004,$A54-0)&gt;0))</f>
      </c>
      <c r="H54" s="30">
        <f>IF($A54="","",IF($B54="343",NETWORKDAYS($A54-4,$A54,FERIADOS_343),IF($B54="281",NETWORKDAYS($A54-4,$A54,FERIADOS_281),NETWORKDAYS($A54-4,$A54,FERIADOS_342))))</f>
      </c>
      <c r="I54" s="30">
        <f>IF(OR($A54="",$A54&gt;DATA_GESTAO),"",COUNTIFS('05C. RESTRIÇÕES'!$B$5:$B$204,$B54,'05C. RESTRIÇÕES'!$H$5:$H$204,"ABERTA",'05C. RESTRIÇÕES'!$E$5:$E$204,"&lt;&gt;CLIENTE")+COUNTIFS('05C. RESTRIÇÕES'!$B$5:$B$204,$B54,'05C. RESTRIÇÕES'!$H$5:$H$204,"RESOLVIDA",'05C. RESTRIÇÕES'!$E$5:$E$204,"&lt;&gt;CLIENTE",'05C. RESTRIÇÕES'!$I$5:$I$204,"&gt;"&amp;$A54))</f>
      </c>
      <c r="J54" s="30">
        <f>IF(OR($A54="",$A54&gt;DATA_GESTAO),"",COUNTIFS('05C. RESTRIÇÕES'!$B$5:$B$204,$B54,'05C. RESTRIÇÕES'!$H$5:$H$204,"ABERTA",'05C. RESTRIÇÕES'!$E$5:$E$204,"CLIENTE")+COUNTIFS('05C. RESTRIÇÕES'!$B$5:$B$204,$B54,'05C. RESTRIÇÕES'!$H$5:$H$204,"RESOLVIDA",'05C. RESTRIÇÕES'!$E$5:$E$204,"CLIENTE",'05C. RESTRIÇÕES'!$I$5:$I$204,"&gt;"&amp;$A54))</f>
      </c>
      <c r="K54" s="49" t="n"/>
    </row>
    <row r="55">
      <c r="A55" s="37" t="n"/>
      <c r="B55" s="49" t="n"/>
      <c r="C55" s="30">
        <f>IF($A55="","",COUNTIFS('05A. COMPROMISSO DA SEMANA'!$A$5:$A$204,$A55,'05A. COMPROMISSO DA SEMANA'!$B$5:$B$204,$B55,'05A. COMPROMISSO DA SEMANA'!$J$5:$J$204,"SIM"))</f>
      </c>
      <c r="D55" s="30">
        <f>IF($A55="","",COUNTIFS('05A. COMPROMISSO DA SEMANA'!$A$5:$A$204,$A55,'05A. COMPROMISSO DA SEMANA'!$B$5:$B$204,$B55,'05A. COMPROMISSO DA SEMANA'!$J$5:$J$204,"SIM",'05A. COMPROMISSO DA SEMANA'!$N$5:$N$204,"SIM"))</f>
      </c>
      <c r="E55" s="50">
        <f>IF(OR($B55="",$C55="",N($C55)=0,$A55&gt;DATA_GESTAO),"",$D55/$C55)</f>
      </c>
      <c r="F55" s="327">
        <f>IF(OR($A55="",N($G55)=0),"",SUMIFS('05B. APONTAMENTO DIÁRIO'!$H$5:$H$1004,'05B. APONTAMENTO DIÁRIO'!$B$5:$B$1004,$B55,'05B. APONTAMENTO DIÁRIO'!$A$5:$A$1004,"&gt;="&amp;($A55-4),'05B. APONTAMENTO DIÁRIO'!$A$5:$A$1004,"&lt;="&amp;$A55)/$G55)</f>
      </c>
      <c r="G55" s="30">
        <f>IF($A55="","",(COUNTIFS('05B. APONTAMENTO DIÁRIO'!$B$5:$B$1004,$B55,'05B. APONTAMENTO DIÁRIO'!$A$5:$A$1004,$A55-4)&gt;0)+(COUNTIFS('05B. APONTAMENTO DIÁRIO'!$B$5:$B$1004,$B55,'05B. APONTAMENTO DIÁRIO'!$A$5:$A$1004,$A55-3)&gt;0)+(COUNTIFS('05B. APONTAMENTO DIÁRIO'!$B$5:$B$1004,$B55,'05B. APONTAMENTO DIÁRIO'!$A$5:$A$1004,$A55-2)&gt;0)+(COUNTIFS('05B. APONTAMENTO DIÁRIO'!$B$5:$B$1004,$B55,'05B. APONTAMENTO DIÁRIO'!$A$5:$A$1004,$A55-1)&gt;0)+(COUNTIFS('05B. APONTAMENTO DIÁRIO'!$B$5:$B$1004,$B55,'05B. APONTAMENTO DIÁRIO'!$A$5:$A$1004,$A55-0)&gt;0))</f>
      </c>
      <c r="H55" s="30">
        <f>IF($A55="","",IF($B55="343",NETWORKDAYS($A55-4,$A55,FERIADOS_343),IF($B55="281",NETWORKDAYS($A55-4,$A55,FERIADOS_281),NETWORKDAYS($A55-4,$A55,FERIADOS_342))))</f>
      </c>
      <c r="I55" s="30">
        <f>IF(OR($A55="",$A55&gt;DATA_GESTAO),"",COUNTIFS('05C. RESTRIÇÕES'!$B$5:$B$204,$B55,'05C. RESTRIÇÕES'!$H$5:$H$204,"ABERTA",'05C. RESTRIÇÕES'!$E$5:$E$204,"&lt;&gt;CLIENTE")+COUNTIFS('05C. RESTRIÇÕES'!$B$5:$B$204,$B55,'05C. RESTRIÇÕES'!$H$5:$H$204,"RESOLVIDA",'05C. RESTRIÇÕES'!$E$5:$E$204,"&lt;&gt;CLIENTE",'05C. RESTRIÇÕES'!$I$5:$I$204,"&gt;"&amp;$A55))</f>
      </c>
      <c r="J55" s="30">
        <f>IF(OR($A55="",$A55&gt;DATA_GESTAO),"",COUNTIFS('05C. RESTRIÇÕES'!$B$5:$B$204,$B55,'05C. RESTRIÇÕES'!$H$5:$H$204,"ABERTA",'05C. RESTRIÇÕES'!$E$5:$E$204,"CLIENTE")+COUNTIFS('05C. RESTRIÇÕES'!$B$5:$B$204,$B55,'05C. RESTRIÇÕES'!$H$5:$H$204,"RESOLVIDA",'05C. RESTRIÇÕES'!$E$5:$E$204,"CLIENTE",'05C. RESTRIÇÕES'!$I$5:$I$204,"&gt;"&amp;$A55))</f>
      </c>
      <c r="K55" s="49" t="n"/>
    </row>
    <row r="56">
      <c r="A56" s="37" t="n"/>
      <c r="B56" s="49" t="n"/>
      <c r="C56" s="30">
        <f>IF($A56="","",COUNTIFS('05A. COMPROMISSO DA SEMANA'!$A$5:$A$204,$A56,'05A. COMPROMISSO DA SEMANA'!$B$5:$B$204,$B56,'05A. COMPROMISSO DA SEMANA'!$J$5:$J$204,"SIM"))</f>
      </c>
      <c r="D56" s="30">
        <f>IF($A56="","",COUNTIFS('05A. COMPROMISSO DA SEMANA'!$A$5:$A$204,$A56,'05A. COMPROMISSO DA SEMANA'!$B$5:$B$204,$B56,'05A. COMPROMISSO DA SEMANA'!$J$5:$J$204,"SIM",'05A. COMPROMISSO DA SEMANA'!$N$5:$N$204,"SIM"))</f>
      </c>
      <c r="E56" s="50">
        <f>IF(OR($B56="",$C56="",N($C56)=0,$A56&gt;DATA_GESTAO),"",$D56/$C56)</f>
      </c>
      <c r="F56" s="327">
        <f>IF(OR($A56="",N($G56)=0),"",SUMIFS('05B. APONTAMENTO DIÁRIO'!$H$5:$H$1004,'05B. APONTAMENTO DIÁRIO'!$B$5:$B$1004,$B56,'05B. APONTAMENTO DIÁRIO'!$A$5:$A$1004,"&gt;="&amp;($A56-4),'05B. APONTAMENTO DIÁRIO'!$A$5:$A$1004,"&lt;="&amp;$A56)/$G56)</f>
      </c>
      <c r="G56" s="30">
        <f>IF($A56="","",(COUNTIFS('05B. APONTAMENTO DIÁRIO'!$B$5:$B$1004,$B56,'05B. APONTAMENTO DIÁRIO'!$A$5:$A$1004,$A56-4)&gt;0)+(COUNTIFS('05B. APONTAMENTO DIÁRIO'!$B$5:$B$1004,$B56,'05B. APONTAMENTO DIÁRIO'!$A$5:$A$1004,$A56-3)&gt;0)+(COUNTIFS('05B. APONTAMENTO DIÁRIO'!$B$5:$B$1004,$B56,'05B. APONTAMENTO DIÁRIO'!$A$5:$A$1004,$A56-2)&gt;0)+(COUNTIFS('05B. APONTAMENTO DIÁRIO'!$B$5:$B$1004,$B56,'05B. APONTAMENTO DIÁRIO'!$A$5:$A$1004,$A56-1)&gt;0)+(COUNTIFS('05B. APONTAMENTO DIÁRIO'!$B$5:$B$1004,$B56,'05B. APONTAMENTO DIÁRIO'!$A$5:$A$1004,$A56-0)&gt;0))</f>
      </c>
      <c r="H56" s="30">
        <f>IF($A56="","",IF($B56="343",NETWORKDAYS($A56-4,$A56,FERIADOS_343),IF($B56="281",NETWORKDAYS($A56-4,$A56,FERIADOS_281),NETWORKDAYS($A56-4,$A56,FERIADOS_342))))</f>
      </c>
      <c r="I56" s="30">
        <f>IF(OR($A56="",$A56&gt;DATA_GESTAO),"",COUNTIFS('05C. RESTRIÇÕES'!$B$5:$B$204,$B56,'05C. RESTRIÇÕES'!$H$5:$H$204,"ABERTA",'05C. RESTRIÇÕES'!$E$5:$E$204,"&lt;&gt;CLIENTE")+COUNTIFS('05C. RESTRIÇÕES'!$B$5:$B$204,$B56,'05C. RESTRIÇÕES'!$H$5:$H$204,"RESOLVIDA",'05C. RESTRIÇÕES'!$E$5:$E$204,"&lt;&gt;CLIENTE",'05C. RESTRIÇÕES'!$I$5:$I$204,"&gt;"&amp;$A56))</f>
      </c>
      <c r="J56" s="30">
        <f>IF(OR($A56="",$A56&gt;DATA_GESTAO),"",COUNTIFS('05C. RESTRIÇÕES'!$B$5:$B$204,$B56,'05C. RESTRIÇÕES'!$H$5:$H$204,"ABERTA",'05C. RESTRIÇÕES'!$E$5:$E$204,"CLIENTE")+COUNTIFS('05C. RESTRIÇÕES'!$B$5:$B$204,$B56,'05C. RESTRIÇÕES'!$H$5:$H$204,"RESOLVIDA",'05C. RESTRIÇÕES'!$E$5:$E$204,"CLIENTE",'05C. RESTRIÇÕES'!$I$5:$I$204,"&gt;"&amp;$A56))</f>
      </c>
      <c r="K56" s="49" t="n"/>
    </row>
    <row r="57">
      <c r="A57" s="37" t="n"/>
      <c r="B57" s="49" t="n"/>
      <c r="C57" s="30">
        <f>IF($A57="","",COUNTIFS('05A. COMPROMISSO DA SEMANA'!$A$5:$A$204,$A57,'05A. COMPROMISSO DA SEMANA'!$B$5:$B$204,$B57,'05A. COMPROMISSO DA SEMANA'!$J$5:$J$204,"SIM"))</f>
      </c>
      <c r="D57" s="30">
        <f>IF($A57="","",COUNTIFS('05A. COMPROMISSO DA SEMANA'!$A$5:$A$204,$A57,'05A. COMPROMISSO DA SEMANA'!$B$5:$B$204,$B57,'05A. COMPROMISSO DA SEMANA'!$J$5:$J$204,"SIM",'05A. COMPROMISSO DA SEMANA'!$N$5:$N$204,"SIM"))</f>
      </c>
      <c r="E57" s="50">
        <f>IF(OR($B57="",$C57="",N($C57)=0,$A57&gt;DATA_GESTAO),"",$D57/$C57)</f>
      </c>
      <c r="F57" s="327">
        <f>IF(OR($A57="",N($G57)=0),"",SUMIFS('05B. APONTAMENTO DIÁRIO'!$H$5:$H$1004,'05B. APONTAMENTO DIÁRIO'!$B$5:$B$1004,$B57,'05B. APONTAMENTO DIÁRIO'!$A$5:$A$1004,"&gt;="&amp;($A57-4),'05B. APONTAMENTO DIÁRIO'!$A$5:$A$1004,"&lt;="&amp;$A57)/$G57)</f>
      </c>
      <c r="G57" s="30">
        <f>IF($A57="","",(COUNTIFS('05B. APONTAMENTO DIÁRIO'!$B$5:$B$1004,$B57,'05B. APONTAMENTO DIÁRIO'!$A$5:$A$1004,$A57-4)&gt;0)+(COUNTIFS('05B. APONTAMENTO DIÁRIO'!$B$5:$B$1004,$B57,'05B. APONTAMENTO DIÁRIO'!$A$5:$A$1004,$A57-3)&gt;0)+(COUNTIFS('05B. APONTAMENTO DIÁRIO'!$B$5:$B$1004,$B57,'05B. APONTAMENTO DIÁRIO'!$A$5:$A$1004,$A57-2)&gt;0)+(COUNTIFS('05B. APONTAMENTO DIÁRIO'!$B$5:$B$1004,$B57,'05B. APONTAMENTO DIÁRIO'!$A$5:$A$1004,$A57-1)&gt;0)+(COUNTIFS('05B. APONTAMENTO DIÁRIO'!$B$5:$B$1004,$B57,'05B. APONTAMENTO DIÁRIO'!$A$5:$A$1004,$A57-0)&gt;0))</f>
      </c>
      <c r="H57" s="30">
        <f>IF($A57="","",IF($B57="343",NETWORKDAYS($A57-4,$A57,FERIADOS_343),IF($B57="281",NETWORKDAYS($A57-4,$A57,FERIADOS_281),NETWORKDAYS($A57-4,$A57,FERIADOS_342))))</f>
      </c>
      <c r="I57" s="30">
        <f>IF(OR($A57="",$A57&gt;DATA_GESTAO),"",COUNTIFS('05C. RESTRIÇÕES'!$B$5:$B$204,$B57,'05C. RESTRIÇÕES'!$H$5:$H$204,"ABERTA",'05C. RESTRIÇÕES'!$E$5:$E$204,"&lt;&gt;CLIENTE")+COUNTIFS('05C. RESTRIÇÕES'!$B$5:$B$204,$B57,'05C. RESTRIÇÕES'!$H$5:$H$204,"RESOLVIDA",'05C. RESTRIÇÕES'!$E$5:$E$204,"&lt;&gt;CLIENTE",'05C. RESTRIÇÕES'!$I$5:$I$204,"&gt;"&amp;$A57))</f>
      </c>
      <c r="J57" s="30">
        <f>IF(OR($A57="",$A57&gt;DATA_GESTAO),"",COUNTIFS('05C. RESTRIÇÕES'!$B$5:$B$204,$B57,'05C. RESTRIÇÕES'!$H$5:$H$204,"ABERTA",'05C. RESTRIÇÕES'!$E$5:$E$204,"CLIENTE")+COUNTIFS('05C. RESTRIÇÕES'!$B$5:$B$204,$B57,'05C. RESTRIÇÕES'!$H$5:$H$204,"RESOLVIDA",'05C. RESTRIÇÕES'!$E$5:$E$204,"CLIENTE",'05C. RESTRIÇÕES'!$I$5:$I$204,"&gt;"&amp;$A57))</f>
      </c>
      <c r="K57" s="49" t="n"/>
    </row>
    <row r="58">
      <c r="A58" s="37" t="n"/>
      <c r="B58" s="49" t="n"/>
      <c r="C58" s="30">
        <f>IF($A58="","",COUNTIFS('05A. COMPROMISSO DA SEMANA'!$A$5:$A$204,$A58,'05A. COMPROMISSO DA SEMANA'!$B$5:$B$204,$B58,'05A. COMPROMISSO DA SEMANA'!$J$5:$J$204,"SIM"))</f>
      </c>
      <c r="D58" s="30">
        <f>IF($A58="","",COUNTIFS('05A. COMPROMISSO DA SEMANA'!$A$5:$A$204,$A58,'05A. COMPROMISSO DA SEMANA'!$B$5:$B$204,$B58,'05A. COMPROMISSO DA SEMANA'!$J$5:$J$204,"SIM",'05A. COMPROMISSO DA SEMANA'!$N$5:$N$204,"SIM"))</f>
      </c>
      <c r="E58" s="50">
        <f>IF(OR($B58="",$C58="",N($C58)=0,$A58&gt;DATA_GESTAO),"",$D58/$C58)</f>
      </c>
      <c r="F58" s="327">
        <f>IF(OR($A58="",N($G58)=0),"",SUMIFS('05B. APONTAMENTO DIÁRIO'!$H$5:$H$1004,'05B. APONTAMENTO DIÁRIO'!$B$5:$B$1004,$B58,'05B. APONTAMENTO DIÁRIO'!$A$5:$A$1004,"&gt;="&amp;($A58-4),'05B. APONTAMENTO DIÁRIO'!$A$5:$A$1004,"&lt;="&amp;$A58)/$G58)</f>
      </c>
      <c r="G58" s="30">
        <f>IF($A58="","",(COUNTIFS('05B. APONTAMENTO DIÁRIO'!$B$5:$B$1004,$B58,'05B. APONTAMENTO DIÁRIO'!$A$5:$A$1004,$A58-4)&gt;0)+(COUNTIFS('05B. APONTAMENTO DIÁRIO'!$B$5:$B$1004,$B58,'05B. APONTAMENTO DIÁRIO'!$A$5:$A$1004,$A58-3)&gt;0)+(COUNTIFS('05B. APONTAMENTO DIÁRIO'!$B$5:$B$1004,$B58,'05B. APONTAMENTO DIÁRIO'!$A$5:$A$1004,$A58-2)&gt;0)+(COUNTIFS('05B. APONTAMENTO DIÁRIO'!$B$5:$B$1004,$B58,'05B. APONTAMENTO DIÁRIO'!$A$5:$A$1004,$A58-1)&gt;0)+(COUNTIFS('05B. APONTAMENTO DIÁRIO'!$B$5:$B$1004,$B58,'05B. APONTAMENTO DIÁRIO'!$A$5:$A$1004,$A58-0)&gt;0))</f>
      </c>
      <c r="H58" s="30">
        <f>IF($A58="","",IF($B58="343",NETWORKDAYS($A58-4,$A58,FERIADOS_343),IF($B58="281",NETWORKDAYS($A58-4,$A58,FERIADOS_281),NETWORKDAYS($A58-4,$A58,FERIADOS_342))))</f>
      </c>
      <c r="I58" s="30">
        <f>IF(OR($A58="",$A58&gt;DATA_GESTAO),"",COUNTIFS('05C. RESTRIÇÕES'!$B$5:$B$204,$B58,'05C. RESTRIÇÕES'!$H$5:$H$204,"ABERTA",'05C. RESTRIÇÕES'!$E$5:$E$204,"&lt;&gt;CLIENTE")+COUNTIFS('05C. RESTRIÇÕES'!$B$5:$B$204,$B58,'05C. RESTRIÇÕES'!$H$5:$H$204,"RESOLVIDA",'05C. RESTRIÇÕES'!$E$5:$E$204,"&lt;&gt;CLIENTE",'05C. RESTRIÇÕES'!$I$5:$I$204,"&gt;"&amp;$A58))</f>
      </c>
      <c r="J58" s="30">
        <f>IF(OR($A58="",$A58&gt;DATA_GESTAO),"",COUNTIFS('05C. RESTRIÇÕES'!$B$5:$B$204,$B58,'05C. RESTRIÇÕES'!$H$5:$H$204,"ABERTA",'05C. RESTRIÇÕES'!$E$5:$E$204,"CLIENTE")+COUNTIFS('05C. RESTRIÇÕES'!$B$5:$B$204,$B58,'05C. RESTRIÇÕES'!$H$5:$H$204,"RESOLVIDA",'05C. RESTRIÇÕES'!$E$5:$E$204,"CLIENTE",'05C. RESTRIÇÕES'!$I$5:$I$204,"&gt;"&amp;$A58))</f>
      </c>
      <c r="K58" s="49" t="n"/>
    </row>
    <row r="59">
      <c r="A59" s="37" t="n"/>
      <c r="B59" s="49" t="n"/>
      <c r="C59" s="30">
        <f>IF($A59="","",COUNTIFS('05A. COMPROMISSO DA SEMANA'!$A$5:$A$204,$A59,'05A. COMPROMISSO DA SEMANA'!$B$5:$B$204,$B59,'05A. COMPROMISSO DA SEMANA'!$J$5:$J$204,"SIM"))</f>
      </c>
      <c r="D59" s="30">
        <f>IF($A59="","",COUNTIFS('05A. COMPROMISSO DA SEMANA'!$A$5:$A$204,$A59,'05A. COMPROMISSO DA SEMANA'!$B$5:$B$204,$B59,'05A. COMPROMISSO DA SEMANA'!$J$5:$J$204,"SIM",'05A. COMPROMISSO DA SEMANA'!$N$5:$N$204,"SIM"))</f>
      </c>
      <c r="E59" s="50">
        <f>IF(OR($B59="",$C59="",N($C59)=0,$A59&gt;DATA_GESTAO),"",$D59/$C59)</f>
      </c>
      <c r="F59" s="327">
        <f>IF(OR($A59="",N($G59)=0),"",SUMIFS('05B. APONTAMENTO DIÁRIO'!$H$5:$H$1004,'05B. APONTAMENTO DIÁRIO'!$B$5:$B$1004,$B59,'05B. APONTAMENTO DIÁRIO'!$A$5:$A$1004,"&gt;="&amp;($A59-4),'05B. APONTAMENTO DIÁRIO'!$A$5:$A$1004,"&lt;="&amp;$A59)/$G59)</f>
      </c>
      <c r="G59" s="30">
        <f>IF($A59="","",(COUNTIFS('05B. APONTAMENTO DIÁRIO'!$B$5:$B$1004,$B59,'05B. APONTAMENTO DIÁRIO'!$A$5:$A$1004,$A59-4)&gt;0)+(COUNTIFS('05B. APONTAMENTO DIÁRIO'!$B$5:$B$1004,$B59,'05B. APONTAMENTO DIÁRIO'!$A$5:$A$1004,$A59-3)&gt;0)+(COUNTIFS('05B. APONTAMENTO DIÁRIO'!$B$5:$B$1004,$B59,'05B. APONTAMENTO DIÁRIO'!$A$5:$A$1004,$A59-2)&gt;0)+(COUNTIFS('05B. APONTAMENTO DIÁRIO'!$B$5:$B$1004,$B59,'05B. APONTAMENTO DIÁRIO'!$A$5:$A$1004,$A59-1)&gt;0)+(COUNTIFS('05B. APONTAMENTO DIÁRIO'!$B$5:$B$1004,$B59,'05B. APONTAMENTO DIÁRIO'!$A$5:$A$1004,$A59-0)&gt;0))</f>
      </c>
      <c r="H59" s="30">
        <f>IF($A59="","",IF($B59="343",NETWORKDAYS($A59-4,$A59,FERIADOS_343),IF($B59="281",NETWORKDAYS($A59-4,$A59,FERIADOS_281),NETWORKDAYS($A59-4,$A59,FERIADOS_342))))</f>
      </c>
      <c r="I59" s="30">
        <f>IF(OR($A59="",$A59&gt;DATA_GESTAO),"",COUNTIFS('05C. RESTRIÇÕES'!$B$5:$B$204,$B59,'05C. RESTRIÇÕES'!$H$5:$H$204,"ABERTA",'05C. RESTRIÇÕES'!$E$5:$E$204,"&lt;&gt;CLIENTE")+COUNTIFS('05C. RESTRIÇÕES'!$B$5:$B$204,$B59,'05C. RESTRIÇÕES'!$H$5:$H$204,"RESOLVIDA",'05C. RESTRIÇÕES'!$E$5:$E$204,"&lt;&gt;CLIENTE",'05C. RESTRIÇÕES'!$I$5:$I$204,"&gt;"&amp;$A59))</f>
      </c>
      <c r="J59" s="30">
        <f>IF(OR($A59="",$A59&gt;DATA_GESTAO),"",COUNTIFS('05C. RESTRIÇÕES'!$B$5:$B$204,$B59,'05C. RESTRIÇÕES'!$H$5:$H$204,"ABERTA",'05C. RESTRIÇÕES'!$E$5:$E$204,"CLIENTE")+COUNTIFS('05C. RESTRIÇÕES'!$B$5:$B$204,$B59,'05C. RESTRIÇÕES'!$H$5:$H$204,"RESOLVIDA",'05C. RESTRIÇÕES'!$E$5:$E$204,"CLIENTE",'05C. RESTRIÇÕES'!$I$5:$I$204,"&gt;"&amp;$A59))</f>
      </c>
      <c r="K59" s="49" t="n"/>
    </row>
    <row r="60">
      <c r="A60" s="37" t="n"/>
      <c r="B60" s="49" t="n"/>
      <c r="C60" s="30">
        <f>IF($A60="","",COUNTIFS('05A. COMPROMISSO DA SEMANA'!$A$5:$A$204,$A60,'05A. COMPROMISSO DA SEMANA'!$B$5:$B$204,$B60,'05A. COMPROMISSO DA SEMANA'!$J$5:$J$204,"SIM"))</f>
      </c>
      <c r="D60" s="30">
        <f>IF($A60="","",COUNTIFS('05A. COMPROMISSO DA SEMANA'!$A$5:$A$204,$A60,'05A. COMPROMISSO DA SEMANA'!$B$5:$B$204,$B60,'05A. COMPROMISSO DA SEMANA'!$J$5:$J$204,"SIM",'05A. COMPROMISSO DA SEMANA'!$N$5:$N$204,"SIM"))</f>
      </c>
      <c r="E60" s="50">
        <f>IF(OR($B60="",$C60="",N($C60)=0,$A60&gt;DATA_GESTAO),"",$D60/$C60)</f>
      </c>
      <c r="F60" s="327">
        <f>IF(OR($A60="",N($G60)=0),"",SUMIFS('05B. APONTAMENTO DIÁRIO'!$H$5:$H$1004,'05B. APONTAMENTO DIÁRIO'!$B$5:$B$1004,$B60,'05B. APONTAMENTO DIÁRIO'!$A$5:$A$1004,"&gt;="&amp;($A60-4),'05B. APONTAMENTO DIÁRIO'!$A$5:$A$1004,"&lt;="&amp;$A60)/$G60)</f>
      </c>
      <c r="G60" s="30">
        <f>IF($A60="","",(COUNTIFS('05B. APONTAMENTO DIÁRIO'!$B$5:$B$1004,$B60,'05B. APONTAMENTO DIÁRIO'!$A$5:$A$1004,$A60-4)&gt;0)+(COUNTIFS('05B. APONTAMENTO DIÁRIO'!$B$5:$B$1004,$B60,'05B. APONTAMENTO DIÁRIO'!$A$5:$A$1004,$A60-3)&gt;0)+(COUNTIFS('05B. APONTAMENTO DIÁRIO'!$B$5:$B$1004,$B60,'05B. APONTAMENTO DIÁRIO'!$A$5:$A$1004,$A60-2)&gt;0)+(COUNTIFS('05B. APONTAMENTO DIÁRIO'!$B$5:$B$1004,$B60,'05B. APONTAMENTO DIÁRIO'!$A$5:$A$1004,$A60-1)&gt;0)+(COUNTIFS('05B. APONTAMENTO DIÁRIO'!$B$5:$B$1004,$B60,'05B. APONTAMENTO DIÁRIO'!$A$5:$A$1004,$A60-0)&gt;0))</f>
      </c>
      <c r="H60" s="30">
        <f>IF($A60="","",IF($B60="343",NETWORKDAYS($A60-4,$A60,FERIADOS_343),IF($B60="281",NETWORKDAYS($A60-4,$A60,FERIADOS_281),NETWORKDAYS($A60-4,$A60,FERIADOS_342))))</f>
      </c>
      <c r="I60" s="30">
        <f>IF(OR($A60="",$A60&gt;DATA_GESTAO),"",COUNTIFS('05C. RESTRIÇÕES'!$B$5:$B$204,$B60,'05C. RESTRIÇÕES'!$H$5:$H$204,"ABERTA",'05C. RESTRIÇÕES'!$E$5:$E$204,"&lt;&gt;CLIENTE")+COUNTIFS('05C. RESTRIÇÕES'!$B$5:$B$204,$B60,'05C. RESTRIÇÕES'!$H$5:$H$204,"RESOLVIDA",'05C. RESTRIÇÕES'!$E$5:$E$204,"&lt;&gt;CLIENTE",'05C. RESTRIÇÕES'!$I$5:$I$204,"&gt;"&amp;$A60))</f>
      </c>
      <c r="J60" s="30">
        <f>IF(OR($A60="",$A60&gt;DATA_GESTAO),"",COUNTIFS('05C. RESTRIÇÕES'!$B$5:$B$204,$B60,'05C. RESTRIÇÕES'!$H$5:$H$204,"ABERTA",'05C. RESTRIÇÕES'!$E$5:$E$204,"CLIENTE")+COUNTIFS('05C. RESTRIÇÕES'!$B$5:$B$204,$B60,'05C. RESTRIÇÕES'!$H$5:$H$204,"RESOLVIDA",'05C. RESTRIÇÕES'!$E$5:$E$204,"CLIENTE",'05C. RESTRIÇÕES'!$I$5:$I$204,"&gt;"&amp;$A60))</f>
      </c>
      <c r="K60" s="49" t="n"/>
    </row>
    <row r="61">
      <c r="A61" s="37" t="n"/>
      <c r="B61" s="49" t="n"/>
      <c r="C61" s="30">
        <f>IF($A61="","",COUNTIFS('05A. COMPROMISSO DA SEMANA'!$A$5:$A$204,$A61,'05A. COMPROMISSO DA SEMANA'!$B$5:$B$204,$B61,'05A. COMPROMISSO DA SEMANA'!$J$5:$J$204,"SIM"))</f>
      </c>
      <c r="D61" s="30">
        <f>IF($A61="","",COUNTIFS('05A. COMPROMISSO DA SEMANA'!$A$5:$A$204,$A61,'05A. COMPROMISSO DA SEMANA'!$B$5:$B$204,$B61,'05A. COMPROMISSO DA SEMANA'!$J$5:$J$204,"SIM",'05A. COMPROMISSO DA SEMANA'!$N$5:$N$204,"SIM"))</f>
      </c>
      <c r="E61" s="50">
        <f>IF(OR($B61="",$C61="",N($C61)=0,$A61&gt;DATA_GESTAO),"",$D61/$C61)</f>
      </c>
      <c r="F61" s="327">
        <f>IF(OR($A61="",N($G61)=0),"",SUMIFS('05B. APONTAMENTO DIÁRIO'!$H$5:$H$1004,'05B. APONTAMENTO DIÁRIO'!$B$5:$B$1004,$B61,'05B. APONTAMENTO DIÁRIO'!$A$5:$A$1004,"&gt;="&amp;($A61-4),'05B. APONTAMENTO DIÁRIO'!$A$5:$A$1004,"&lt;="&amp;$A61)/$G61)</f>
      </c>
      <c r="G61" s="30">
        <f>IF($A61="","",(COUNTIFS('05B. APONTAMENTO DIÁRIO'!$B$5:$B$1004,$B61,'05B. APONTAMENTO DIÁRIO'!$A$5:$A$1004,$A61-4)&gt;0)+(COUNTIFS('05B. APONTAMENTO DIÁRIO'!$B$5:$B$1004,$B61,'05B. APONTAMENTO DIÁRIO'!$A$5:$A$1004,$A61-3)&gt;0)+(COUNTIFS('05B. APONTAMENTO DIÁRIO'!$B$5:$B$1004,$B61,'05B. APONTAMENTO DIÁRIO'!$A$5:$A$1004,$A61-2)&gt;0)+(COUNTIFS('05B. APONTAMENTO DIÁRIO'!$B$5:$B$1004,$B61,'05B. APONTAMENTO DIÁRIO'!$A$5:$A$1004,$A61-1)&gt;0)+(COUNTIFS('05B. APONTAMENTO DIÁRIO'!$B$5:$B$1004,$B61,'05B. APONTAMENTO DIÁRIO'!$A$5:$A$1004,$A61-0)&gt;0))</f>
      </c>
      <c r="H61" s="30">
        <f>IF($A61="","",IF($B61="343",NETWORKDAYS($A61-4,$A61,FERIADOS_343),IF($B61="281",NETWORKDAYS($A61-4,$A61,FERIADOS_281),NETWORKDAYS($A61-4,$A61,FERIADOS_342))))</f>
      </c>
      <c r="I61" s="30">
        <f>IF(OR($A61="",$A61&gt;DATA_GESTAO),"",COUNTIFS('05C. RESTRIÇÕES'!$B$5:$B$204,$B61,'05C. RESTRIÇÕES'!$H$5:$H$204,"ABERTA",'05C. RESTRIÇÕES'!$E$5:$E$204,"&lt;&gt;CLIENTE")+COUNTIFS('05C. RESTRIÇÕES'!$B$5:$B$204,$B61,'05C. RESTRIÇÕES'!$H$5:$H$204,"RESOLVIDA",'05C. RESTRIÇÕES'!$E$5:$E$204,"&lt;&gt;CLIENTE",'05C. RESTRIÇÕES'!$I$5:$I$204,"&gt;"&amp;$A61))</f>
      </c>
      <c r="J61" s="30">
        <f>IF(OR($A61="",$A61&gt;DATA_GESTAO),"",COUNTIFS('05C. RESTRIÇÕES'!$B$5:$B$204,$B61,'05C. RESTRIÇÕES'!$H$5:$H$204,"ABERTA",'05C. RESTRIÇÕES'!$E$5:$E$204,"CLIENTE")+COUNTIFS('05C. RESTRIÇÕES'!$B$5:$B$204,$B61,'05C. RESTRIÇÕES'!$H$5:$H$204,"RESOLVIDA",'05C. RESTRIÇÕES'!$E$5:$E$204,"CLIENTE",'05C. RESTRIÇÕES'!$I$5:$I$204,"&gt;"&amp;$A61))</f>
      </c>
      <c r="K61" s="49" t="n"/>
    </row>
    <row r="62">
      <c r="A62" s="37" t="n"/>
      <c r="B62" s="49" t="n"/>
      <c r="C62" s="30">
        <f>IF($A62="","",COUNTIFS('05A. COMPROMISSO DA SEMANA'!$A$5:$A$204,$A62,'05A. COMPROMISSO DA SEMANA'!$B$5:$B$204,$B62,'05A. COMPROMISSO DA SEMANA'!$J$5:$J$204,"SIM"))</f>
      </c>
      <c r="D62" s="30">
        <f>IF($A62="","",COUNTIFS('05A. COMPROMISSO DA SEMANA'!$A$5:$A$204,$A62,'05A. COMPROMISSO DA SEMANA'!$B$5:$B$204,$B62,'05A. COMPROMISSO DA SEMANA'!$J$5:$J$204,"SIM",'05A. COMPROMISSO DA SEMANA'!$N$5:$N$204,"SIM"))</f>
      </c>
      <c r="E62" s="50">
        <f>IF(OR($B62="",$C62="",N($C62)=0,$A62&gt;DATA_GESTAO),"",$D62/$C62)</f>
      </c>
      <c r="F62" s="327">
        <f>IF(OR($A62="",N($G62)=0),"",SUMIFS('05B. APONTAMENTO DIÁRIO'!$H$5:$H$1004,'05B. APONTAMENTO DIÁRIO'!$B$5:$B$1004,$B62,'05B. APONTAMENTO DIÁRIO'!$A$5:$A$1004,"&gt;="&amp;($A62-4),'05B. APONTAMENTO DIÁRIO'!$A$5:$A$1004,"&lt;="&amp;$A62)/$G62)</f>
      </c>
      <c r="G62" s="30">
        <f>IF($A62="","",(COUNTIFS('05B. APONTAMENTO DIÁRIO'!$B$5:$B$1004,$B62,'05B. APONTAMENTO DIÁRIO'!$A$5:$A$1004,$A62-4)&gt;0)+(COUNTIFS('05B. APONTAMENTO DIÁRIO'!$B$5:$B$1004,$B62,'05B. APONTAMENTO DIÁRIO'!$A$5:$A$1004,$A62-3)&gt;0)+(COUNTIFS('05B. APONTAMENTO DIÁRIO'!$B$5:$B$1004,$B62,'05B. APONTAMENTO DIÁRIO'!$A$5:$A$1004,$A62-2)&gt;0)+(COUNTIFS('05B. APONTAMENTO DIÁRIO'!$B$5:$B$1004,$B62,'05B. APONTAMENTO DIÁRIO'!$A$5:$A$1004,$A62-1)&gt;0)+(COUNTIFS('05B. APONTAMENTO DIÁRIO'!$B$5:$B$1004,$B62,'05B. APONTAMENTO DIÁRIO'!$A$5:$A$1004,$A62-0)&gt;0))</f>
      </c>
      <c r="H62" s="30">
        <f>IF($A62="","",IF($B62="343",NETWORKDAYS($A62-4,$A62,FERIADOS_343),IF($B62="281",NETWORKDAYS($A62-4,$A62,FERIADOS_281),NETWORKDAYS($A62-4,$A62,FERIADOS_342))))</f>
      </c>
      <c r="I62" s="30">
        <f>IF(OR($A62="",$A62&gt;DATA_GESTAO),"",COUNTIFS('05C. RESTRIÇÕES'!$B$5:$B$204,$B62,'05C. RESTRIÇÕES'!$H$5:$H$204,"ABERTA",'05C. RESTRIÇÕES'!$E$5:$E$204,"&lt;&gt;CLIENTE")+COUNTIFS('05C. RESTRIÇÕES'!$B$5:$B$204,$B62,'05C. RESTRIÇÕES'!$H$5:$H$204,"RESOLVIDA",'05C. RESTRIÇÕES'!$E$5:$E$204,"&lt;&gt;CLIENTE",'05C. RESTRIÇÕES'!$I$5:$I$204,"&gt;"&amp;$A62))</f>
      </c>
      <c r="J62" s="30">
        <f>IF(OR($A62="",$A62&gt;DATA_GESTAO),"",COUNTIFS('05C. RESTRIÇÕES'!$B$5:$B$204,$B62,'05C. RESTRIÇÕES'!$H$5:$H$204,"ABERTA",'05C. RESTRIÇÕES'!$E$5:$E$204,"CLIENTE")+COUNTIFS('05C. RESTRIÇÕES'!$B$5:$B$204,$B62,'05C. RESTRIÇÕES'!$H$5:$H$204,"RESOLVIDA",'05C. RESTRIÇÕES'!$E$5:$E$204,"CLIENTE",'05C. RESTRIÇÕES'!$I$5:$I$204,"&gt;"&amp;$A62))</f>
      </c>
      <c r="K62" s="49" t="n"/>
    </row>
    <row r="63">
      <c r="A63" s="37" t="n"/>
      <c r="B63" s="49" t="n"/>
      <c r="C63" s="30">
        <f>IF($A63="","",COUNTIFS('05A. COMPROMISSO DA SEMANA'!$A$5:$A$204,$A63,'05A. COMPROMISSO DA SEMANA'!$B$5:$B$204,$B63,'05A. COMPROMISSO DA SEMANA'!$J$5:$J$204,"SIM"))</f>
      </c>
      <c r="D63" s="30">
        <f>IF($A63="","",COUNTIFS('05A. COMPROMISSO DA SEMANA'!$A$5:$A$204,$A63,'05A. COMPROMISSO DA SEMANA'!$B$5:$B$204,$B63,'05A. COMPROMISSO DA SEMANA'!$J$5:$J$204,"SIM",'05A. COMPROMISSO DA SEMANA'!$N$5:$N$204,"SIM"))</f>
      </c>
      <c r="E63" s="50">
        <f>IF(OR($B63="",$C63="",N($C63)=0,$A63&gt;DATA_GESTAO),"",$D63/$C63)</f>
      </c>
      <c r="F63" s="327">
        <f>IF(OR($A63="",N($G63)=0),"",SUMIFS('05B. APONTAMENTO DIÁRIO'!$H$5:$H$1004,'05B. APONTAMENTO DIÁRIO'!$B$5:$B$1004,$B63,'05B. APONTAMENTO DIÁRIO'!$A$5:$A$1004,"&gt;="&amp;($A63-4),'05B. APONTAMENTO DIÁRIO'!$A$5:$A$1004,"&lt;="&amp;$A63)/$G63)</f>
      </c>
      <c r="G63" s="30">
        <f>IF($A63="","",(COUNTIFS('05B. APONTAMENTO DIÁRIO'!$B$5:$B$1004,$B63,'05B. APONTAMENTO DIÁRIO'!$A$5:$A$1004,$A63-4)&gt;0)+(COUNTIFS('05B. APONTAMENTO DIÁRIO'!$B$5:$B$1004,$B63,'05B. APONTAMENTO DIÁRIO'!$A$5:$A$1004,$A63-3)&gt;0)+(COUNTIFS('05B. APONTAMENTO DIÁRIO'!$B$5:$B$1004,$B63,'05B. APONTAMENTO DIÁRIO'!$A$5:$A$1004,$A63-2)&gt;0)+(COUNTIFS('05B. APONTAMENTO DIÁRIO'!$B$5:$B$1004,$B63,'05B. APONTAMENTO DIÁRIO'!$A$5:$A$1004,$A63-1)&gt;0)+(COUNTIFS('05B. APONTAMENTO DIÁRIO'!$B$5:$B$1004,$B63,'05B. APONTAMENTO DIÁRIO'!$A$5:$A$1004,$A63-0)&gt;0))</f>
      </c>
      <c r="H63" s="30">
        <f>IF($A63="","",IF($B63="343",NETWORKDAYS($A63-4,$A63,FERIADOS_343),IF($B63="281",NETWORKDAYS($A63-4,$A63,FERIADOS_281),NETWORKDAYS($A63-4,$A63,FERIADOS_342))))</f>
      </c>
      <c r="I63" s="30">
        <f>IF(OR($A63="",$A63&gt;DATA_GESTAO),"",COUNTIFS('05C. RESTRIÇÕES'!$B$5:$B$204,$B63,'05C. RESTRIÇÕES'!$H$5:$H$204,"ABERTA",'05C. RESTRIÇÕES'!$E$5:$E$204,"&lt;&gt;CLIENTE")+COUNTIFS('05C. RESTRIÇÕES'!$B$5:$B$204,$B63,'05C. RESTRIÇÕES'!$H$5:$H$204,"RESOLVIDA",'05C. RESTRIÇÕES'!$E$5:$E$204,"&lt;&gt;CLIENTE",'05C. RESTRIÇÕES'!$I$5:$I$204,"&gt;"&amp;$A63))</f>
      </c>
      <c r="J63" s="30">
        <f>IF(OR($A63="",$A63&gt;DATA_GESTAO),"",COUNTIFS('05C. RESTRIÇÕES'!$B$5:$B$204,$B63,'05C. RESTRIÇÕES'!$H$5:$H$204,"ABERTA",'05C. RESTRIÇÕES'!$E$5:$E$204,"CLIENTE")+COUNTIFS('05C. RESTRIÇÕES'!$B$5:$B$204,$B63,'05C. RESTRIÇÕES'!$H$5:$H$204,"RESOLVIDA",'05C. RESTRIÇÕES'!$E$5:$E$204,"CLIENTE",'05C. RESTRIÇÕES'!$I$5:$I$204,"&gt;"&amp;$A63))</f>
      </c>
      <c r="K63" s="49" t="n"/>
    </row>
    <row r="64">
      <c r="A64" s="37" t="n"/>
      <c r="B64" s="49" t="n"/>
      <c r="C64" s="30">
        <f>IF($A64="","",COUNTIFS('05A. COMPROMISSO DA SEMANA'!$A$5:$A$204,$A64,'05A. COMPROMISSO DA SEMANA'!$B$5:$B$204,$B64,'05A. COMPROMISSO DA SEMANA'!$J$5:$J$204,"SIM"))</f>
      </c>
      <c r="D64" s="30">
        <f>IF($A64="","",COUNTIFS('05A. COMPROMISSO DA SEMANA'!$A$5:$A$204,$A64,'05A. COMPROMISSO DA SEMANA'!$B$5:$B$204,$B64,'05A. COMPROMISSO DA SEMANA'!$J$5:$J$204,"SIM",'05A. COMPROMISSO DA SEMANA'!$N$5:$N$204,"SIM"))</f>
      </c>
      <c r="E64" s="50">
        <f>IF(OR($B64="",$C64="",N($C64)=0,$A64&gt;DATA_GESTAO),"",$D64/$C64)</f>
      </c>
      <c r="F64" s="327">
        <f>IF(OR($A64="",N($G64)=0),"",SUMIFS('05B. APONTAMENTO DIÁRIO'!$H$5:$H$1004,'05B. APONTAMENTO DIÁRIO'!$B$5:$B$1004,$B64,'05B. APONTAMENTO DIÁRIO'!$A$5:$A$1004,"&gt;="&amp;($A64-4),'05B. APONTAMENTO DIÁRIO'!$A$5:$A$1004,"&lt;="&amp;$A64)/$G64)</f>
      </c>
      <c r="G64" s="30">
        <f>IF($A64="","",(COUNTIFS('05B. APONTAMENTO DIÁRIO'!$B$5:$B$1004,$B64,'05B. APONTAMENTO DIÁRIO'!$A$5:$A$1004,$A64-4)&gt;0)+(COUNTIFS('05B. APONTAMENTO DIÁRIO'!$B$5:$B$1004,$B64,'05B. APONTAMENTO DIÁRIO'!$A$5:$A$1004,$A64-3)&gt;0)+(COUNTIFS('05B. APONTAMENTO DIÁRIO'!$B$5:$B$1004,$B64,'05B. APONTAMENTO DIÁRIO'!$A$5:$A$1004,$A64-2)&gt;0)+(COUNTIFS('05B. APONTAMENTO DIÁRIO'!$B$5:$B$1004,$B64,'05B. APONTAMENTO DIÁRIO'!$A$5:$A$1004,$A64-1)&gt;0)+(COUNTIFS('05B. APONTAMENTO DIÁRIO'!$B$5:$B$1004,$B64,'05B. APONTAMENTO DIÁRIO'!$A$5:$A$1004,$A64-0)&gt;0))</f>
      </c>
      <c r="H64" s="30">
        <f>IF($A64="","",IF($B64="343",NETWORKDAYS($A64-4,$A64,FERIADOS_343),IF($B64="281",NETWORKDAYS($A64-4,$A64,FERIADOS_281),NETWORKDAYS($A64-4,$A64,FERIADOS_342))))</f>
      </c>
      <c r="I64" s="30">
        <f>IF(OR($A64="",$A64&gt;DATA_GESTAO),"",COUNTIFS('05C. RESTRIÇÕES'!$B$5:$B$204,$B64,'05C. RESTRIÇÕES'!$H$5:$H$204,"ABERTA",'05C. RESTRIÇÕES'!$E$5:$E$204,"&lt;&gt;CLIENTE")+COUNTIFS('05C. RESTRIÇÕES'!$B$5:$B$204,$B64,'05C. RESTRIÇÕES'!$H$5:$H$204,"RESOLVIDA",'05C. RESTRIÇÕES'!$E$5:$E$204,"&lt;&gt;CLIENTE",'05C. RESTRIÇÕES'!$I$5:$I$204,"&gt;"&amp;$A64))</f>
      </c>
      <c r="J64" s="30">
        <f>IF(OR($A64="",$A64&gt;DATA_GESTAO),"",COUNTIFS('05C. RESTRIÇÕES'!$B$5:$B$204,$B64,'05C. RESTRIÇÕES'!$H$5:$H$204,"ABERTA",'05C. RESTRIÇÕES'!$E$5:$E$204,"CLIENTE")+COUNTIFS('05C. RESTRIÇÕES'!$B$5:$B$204,$B64,'05C. RESTRIÇÕES'!$H$5:$H$204,"RESOLVIDA",'05C. RESTRIÇÕES'!$E$5:$E$204,"CLIENTE",'05C. RESTRIÇÕES'!$I$5:$I$204,"&gt;"&amp;$A64))</f>
      </c>
      <c r="K64" s="49" t="n"/>
    </row>
  </sheetData>
  <dataValidations count="1">
    <dataValidation sqref="B5:B64" showDropDown="0" showInputMessage="0" showErrorMessage="0" allowBlank="1" type="list">
      <formula1>"342,343,281"</formula1>
    </dataValidation>
  </dataValidations>
  <hyperlinks>
    <hyperlink ref="M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18.xml><?xml version="1.0" encoding="utf-8"?>
<worksheet xmlns="http://schemas.openxmlformats.org/spreadsheetml/2006/main">
  <sheetPr>
    <tabColor rgb="FF70AD47"/>
    <outlinePr summaryBelow="1" summaryRight="1"/>
    <pageSetUpPr/>
  </sheetPr>
  <dimension ref="A1:O204"/>
  <sheetViews>
    <sheetView showGridLines="0" workbookViewId="0">
      <pane ySplit="4" topLeftCell="A5" activePane="bottomLeft" state="frozen"/>
      <selection pane="bottomLeft" activeCell="A1" sqref="A1"/>
    </sheetView>
  </sheetViews>
  <sheetFormatPr baseColWidth="8" defaultRowHeight="15"/>
  <cols>
    <col width="10" customWidth="1" style="71" min="1" max="1"/>
    <col width="7" customWidth="1" style="71" min="2" max="2"/>
    <col width="5" customWidth="1" style="71" min="3" max="3"/>
    <col width="11" customWidth="1" style="71" min="4" max="4"/>
    <col width="54" customWidth="1" style="71" min="5" max="5"/>
    <col width="11" customWidth="1" style="71" min="6" max="6"/>
    <col width="6" customWidth="1" style="71" min="7" max="7"/>
    <col width="20" customWidth="1" style="71" min="8" max="8"/>
    <col width="12" customWidth="1" style="71" min="9" max="9"/>
    <col width="13" customWidth="1" style="71" min="10" max="10"/>
    <col width="12" customWidth="1" style="71" min="11" max="11"/>
    <col width="9" customWidth="1" style="71" min="12" max="12"/>
    <col width="11" customWidth="1" style="71" min="13" max="13"/>
    <col width="11" customWidth="1" style="71" min="14" max="14"/>
    <col width="18" customWidth="1" style="71" min="15" max="15"/>
  </cols>
  <sheetData>
    <row r="1" ht="30" customHeight="1" s="71">
      <c r="A1" s="1" t="inlineStr">
        <is>
          <t>05A. COMPROMISSO DA SEMANA — o que cada obra promete entregar até sexta</t>
        </is>
      </c>
      <c r="B1" s="2" t="n"/>
      <c r="C1" s="2" t="n"/>
      <c r="D1" s="2" t="n"/>
      <c r="E1" s="2" t="n"/>
      <c r="F1" s="2" t="n"/>
      <c r="G1" s="2" t="n"/>
      <c r="H1" s="2" t="n"/>
      <c r="I1" s="2" t="n"/>
      <c r="J1" s="2" t="n"/>
      <c r="K1" s="2" t="n"/>
      <c r="L1" s="2" t="n"/>
      <c r="M1" s="2" t="n"/>
      <c r="N1" s="2" t="n"/>
      <c r="O1" s="277" t="inlineStr">
        <is>
          <t>◀ MENU</t>
        </is>
      </c>
    </row>
    <row r="2"/>
    <row r="3"/>
    <row r="4" ht="42" customHeight="1" s="71">
      <c r="A4" s="215" t="inlineStr">
        <is>
          <t>Semana (sexta)</t>
        </is>
      </c>
      <c r="B4" s="215" t="inlineStr">
        <is>
          <t>Obra</t>
        </is>
      </c>
      <c r="C4" s="215" t="inlineStr">
        <is>
          <t>Nº</t>
        </is>
      </c>
      <c r="D4" s="215" t="inlineStr">
        <is>
          <t>Frente / evento (código)</t>
        </is>
      </c>
      <c r="E4" s="215" t="inlineStr">
        <is>
          <t>Tarefa: o que fica pronto até sexta</t>
        </is>
      </c>
      <c r="F4" s="215" t="inlineStr">
        <is>
          <t>Quantidade prometida</t>
        </is>
      </c>
      <c r="G4" s="215" t="inlineStr">
        <is>
          <t>Un</t>
        </is>
      </c>
      <c r="H4" s="215" t="inlineStr">
        <is>
          <t>Encarregado responsável</t>
        </is>
      </c>
      <c r="I4" s="215" t="inlineStr">
        <is>
          <t>Restrição aberta na frente? (05C)</t>
        </is>
      </c>
      <c r="J4" s="215" t="inlineStr">
        <is>
          <t>Confirmada pelo engenheiro (SIM só com a coluna I = NÃO)</t>
        </is>
      </c>
      <c r="K4" s="215" t="inlineStr">
        <is>
          <t>Quantidade apontada na semana (05B)</t>
        </is>
      </c>
      <c r="L4" s="215" t="inlineStr">
        <is>
          <t>% apontado</t>
        </is>
      </c>
      <c r="M4" s="215" t="inlineStr">
        <is>
          <t>Cumprida (digitar na sexta)</t>
        </is>
      </c>
      <c r="N4" s="215" t="inlineStr">
        <is>
          <t>Cumprida considerada</t>
        </is>
      </c>
      <c r="O4" s="215" t="inlineStr">
        <is>
          <t>Causa, se não cumpriu</t>
        </is>
      </c>
    </row>
    <row r="5">
      <c r="A5" s="220" t="n">
        <v>46318</v>
      </c>
      <c r="B5" s="218" t="inlineStr">
        <is>
          <t>342</t>
        </is>
      </c>
      <c r="C5" s="218" t="n">
        <v>1</v>
      </c>
      <c r="D5" s="218" t="inlineStr">
        <is>
          <t>1.1.1</t>
        </is>
      </c>
      <c r="E5" s="298" t="inlineStr">
        <is>
          <t>Mobilizar e implantar o canteiro: 5 dos 11 dias úteis do plano</t>
        </is>
      </c>
      <c r="F5" s="328" t="n">
        <v>5</v>
      </c>
      <c r="G5" s="218" t="inlineStr">
        <is>
          <t>dia</t>
        </is>
      </c>
      <c r="H5" s="218" t="inlineStr">
        <is>
          <t>Encarregado geral</t>
        </is>
      </c>
      <c r="I5" s="222" t="str">
        <f>IF($D5="","",IF(COUNTIFS('05C. RESTRIÇÕES'!$B$5:$B$204,$B5,'05C. RESTRIÇÕES'!$C$5:$C$204,$D5,'05C. RESTRIÇÕES'!$H$5:$H$204,"ABERTA")&gt;0,"SIM","NÃO"))</f>
        <v>SIM</v>
      </c>
      <c r="J5" s="288" t="n"/>
      <c r="K5" s="329">
        <f>IF(OR($D5="",$A5=""),"",SUMIFS('05B. APONTAMENTO DIÁRIO'!$F$5:$F$1004,'05B. APONTAMENTO DIÁRIO'!$B$5:$B$1004,$B5,'05B. APONTAMENTO DIÁRIO'!$C$5:$C$1004,$D5,'05B. APONTAMENTO DIÁRIO'!$G$5:$G$1004,$G5,'05B. APONTAMENTO DIÁRIO'!$A$5:$A$1004,"&gt;="&amp;($A5-4),'05B. APONTAMENTO DIÁRIO'!$A$5:$A$1004,"&lt;="&amp;$A5))</f>
        <v>0</v>
      </c>
      <c r="L5" s="226">
        <f>IF(OR($F5="",N($F5)=0,$K5=""),"",$K5/$F5)</f>
        <v>0</v>
      </c>
      <c r="M5" s="218" t="n"/>
      <c r="N5" s="222">
        <f>IF($J5&lt;&gt;"SIM","",IF($M5&lt;&gt;"",$M5,IF(AND(ISNUMBER($L5),N($L5)&gt;=1),"SIM",IF($A5&lt;=DATA_GESTAO,"NÃO",""))))</f>
      </c>
      <c r="O5" s="218" t="n"/>
    </row>
    <row r="6">
      <c r="A6" s="220" t="n">
        <v>46318</v>
      </c>
      <c r="B6" s="218" t="inlineStr">
        <is>
          <t>342</t>
        </is>
      </c>
      <c r="C6" s="218" t="n">
        <v>2</v>
      </c>
      <c r="D6" s="218" t="inlineStr">
        <is>
          <t>3.1.1</t>
        </is>
      </c>
      <c r="E6" s="298" t="inlineStr">
        <is>
          <t>Terraplenagem e desvio: 810 m³ (5 dias a 161,9 m³/dia: 1.619 m³ em 10 dias úteis no plano, já com o fator de chuva 0,844; estudo REV13 aba 37 linha 6 e aba 03 C79)</t>
        </is>
      </c>
      <c r="F6" s="328" t="n">
        <v>810</v>
      </c>
      <c r="G6" s="218" t="inlineStr">
        <is>
          <t>m³</t>
        </is>
      </c>
      <c r="H6" s="218" t="inlineStr">
        <is>
          <t>Encarregado geral</t>
        </is>
      </c>
      <c r="I6" s="222" t="str">
        <f>IF($D6="","",IF(COUNTIFS('05C. RESTRIÇÕES'!$B$5:$B$204,$B6,'05C. RESTRIÇÕES'!$C$5:$C$204,$D6,'05C. RESTRIÇÕES'!$H$5:$H$204,"ABERTA")&gt;0,"SIM","NÃO"))</f>
        <v>SIM</v>
      </c>
      <c r="J6" s="288" t="n"/>
      <c r="K6" s="329">
        <f>IF(OR($D6="",$A6=""),"",SUMIFS('05B. APONTAMENTO DIÁRIO'!$F$5:$F$1004,'05B. APONTAMENTO DIÁRIO'!$B$5:$B$1004,$B6,'05B. APONTAMENTO DIÁRIO'!$C$5:$C$1004,$D6,'05B. APONTAMENTO DIÁRIO'!$G$5:$G$1004,$G6,'05B. APONTAMENTO DIÁRIO'!$A$5:$A$1004,"&gt;="&amp;($A6-4),'05B. APONTAMENTO DIÁRIO'!$A$5:$A$1004,"&lt;="&amp;$A6))</f>
        <v>0</v>
      </c>
      <c r="L6" s="226">
        <f>IF(OR($F6="",N($F6)=0,$K6=""),"",$K6/$F6)</f>
        <v>0</v>
      </c>
      <c r="M6" s="218" t="n"/>
      <c r="N6" s="222">
        <f>IF($J6&lt;&gt;"SIM","",IF($M6&lt;&gt;"",$M6,IF(AND(ISNUMBER($L6),N($L6)&gt;=1),"SIM",IF($A6&lt;=DATA_GESTAO,"NÃO",""))))</f>
      </c>
      <c r="O6" s="218" t="n"/>
    </row>
    <row r="7">
      <c r="A7" s="220" t="n">
        <v>46318</v>
      </c>
      <c r="B7" s="218" t="inlineStr">
        <is>
          <t>342</t>
        </is>
      </c>
      <c r="C7" s="218" t="n">
        <v>3</v>
      </c>
      <c r="D7" s="218" t="inlineStr">
        <is>
          <t>3.5.1</t>
        </is>
      </c>
      <c r="E7" s="298" t="inlineStr">
        <is>
          <t>Locação topográfica do tanque de lodo e da elevatória, para começar 3.5.1 em 03/11</t>
        </is>
      </c>
      <c r="F7" s="328" t="n">
        <v>1</v>
      </c>
      <c r="G7" s="218" t="inlineStr">
        <is>
          <t>un</t>
        </is>
      </c>
      <c r="H7" s="218" t="inlineStr">
        <is>
          <t>Topografia</t>
        </is>
      </c>
      <c r="I7" s="222" t="str">
        <f>IF($D7="","",IF(COUNTIFS('05C. RESTRIÇÕES'!$B$5:$B$204,$B7,'05C. RESTRIÇÕES'!$C$5:$C$204,$D7,'05C. RESTRIÇÕES'!$H$5:$H$204,"ABERTA")&gt;0,"SIM","NÃO"))</f>
        <v>SIM</v>
      </c>
      <c r="J7" s="288" t="n"/>
      <c r="K7" s="329">
        <f>IF(OR($D7="",$A7=""),"",SUMIFS('05B. APONTAMENTO DIÁRIO'!$F$5:$F$1004,'05B. APONTAMENTO DIÁRIO'!$B$5:$B$1004,$B7,'05B. APONTAMENTO DIÁRIO'!$C$5:$C$1004,$D7,'05B. APONTAMENTO DIÁRIO'!$G$5:$G$1004,$G7,'05B. APONTAMENTO DIÁRIO'!$A$5:$A$1004,"&gt;="&amp;($A7-4),'05B. APONTAMENTO DIÁRIO'!$A$5:$A$1004,"&lt;="&amp;$A7))</f>
        <v>0</v>
      </c>
      <c r="L7" s="226">
        <f>IF(OR($F7="",N($F7)=0,$K7=""),"",$K7/$F7)</f>
        <v>0</v>
      </c>
      <c r="M7" s="218" t="n"/>
      <c r="N7" s="222">
        <f>IF($J7&lt;&gt;"SIM","",IF($M7&lt;&gt;"",$M7,IF(AND(ISNUMBER($L7),N($L7)&gt;=1),"SIM",IF($A7&lt;=DATA_GESTAO,"NÃO",""))))</f>
      </c>
      <c r="O7" s="218" t="n"/>
    </row>
    <row r="8">
      <c r="A8" s="220" t="n">
        <v>46318</v>
      </c>
      <c r="B8" s="218" t="inlineStr">
        <is>
          <t>342</t>
        </is>
      </c>
      <c r="C8" s="218" t="n">
        <v>4</v>
      </c>
      <c r="D8" s="218" t="inlineStr">
        <is>
          <t>ADM</t>
        </is>
      </c>
      <c r="E8" s="298" t="inlineStr">
        <is>
          <t>Integração de segurança e ASO de toda a equipe antes de entrar na área</t>
        </is>
      </c>
      <c r="F8" s="328" t="n">
        <v>1</v>
      </c>
      <c r="G8" s="218" t="inlineStr">
        <is>
          <t>un</t>
        </is>
      </c>
      <c r="H8" s="218" t="inlineStr">
        <is>
          <t>Marko Aurélio</t>
        </is>
      </c>
      <c r="I8" s="222" t="str">
        <f>IF($D8="","",IF(COUNTIFS('05C. RESTRIÇÕES'!$B$5:$B$204,$B8,'05C. RESTRIÇÕES'!$C$5:$C$204,$D8,'05C. RESTRIÇÕES'!$H$5:$H$204,"ABERTA")&gt;0,"SIM","NÃO"))</f>
        <v>SIM</v>
      </c>
      <c r="J8" s="288" t="n"/>
      <c r="K8" s="329">
        <f>IF(OR($D8="",$A8=""),"",SUMIFS('05B. APONTAMENTO DIÁRIO'!$F$5:$F$1004,'05B. APONTAMENTO DIÁRIO'!$B$5:$B$1004,$B8,'05B. APONTAMENTO DIÁRIO'!$C$5:$C$1004,$D8,'05B. APONTAMENTO DIÁRIO'!$G$5:$G$1004,$G8,'05B. APONTAMENTO DIÁRIO'!$A$5:$A$1004,"&gt;="&amp;($A8-4),'05B. APONTAMENTO DIÁRIO'!$A$5:$A$1004,"&lt;="&amp;$A8))</f>
        <v>0</v>
      </c>
      <c r="L8" s="226">
        <f>IF(OR($F8="",N($F8)=0,$K8=""),"",$K8/$F8)</f>
        <v>0</v>
      </c>
      <c r="M8" s="218" t="n"/>
      <c r="N8" s="222">
        <f>IF($J8&lt;&gt;"SIM","",IF($M8&lt;&gt;"",$M8,IF(AND(ISNUMBER($L8),N($L8)&gt;=1),"SIM",IF($A8&lt;=DATA_GESTAO,"NÃO",""))))</f>
      </c>
      <c r="O8" s="218" t="n"/>
    </row>
    <row r="9">
      <c r="A9" s="220" t="n">
        <v>46318</v>
      </c>
      <c r="B9" s="218" t="inlineStr">
        <is>
          <t>343</t>
        </is>
      </c>
      <c r="C9" s="218" t="n">
        <v>1</v>
      </c>
      <c r="D9" s="218" t="inlineStr">
        <is>
          <t>PEAD</t>
        </is>
      </c>
      <c r="E9" s="298" t="inlineStr">
        <is>
          <t>Assentar 400 m de PEAD (5 dias a 80 m/dia, ritmo-alvo da viabilidade)</t>
        </is>
      </c>
      <c r="F9" s="328" t="n">
        <v>400</v>
      </c>
      <c r="G9" s="218" t="inlineStr">
        <is>
          <t>m</t>
        </is>
      </c>
      <c r="H9" s="218" t="inlineStr">
        <is>
          <t>Encarregado de rede da 343</t>
        </is>
      </c>
      <c r="I9" s="222" t="str">
        <f>IF($D9="","",IF(COUNTIFS('05C. RESTRIÇÕES'!$B$5:$B$204,$B9,'05C. RESTRIÇÕES'!$C$5:$C$204,$D9,'05C. RESTRIÇÕES'!$H$5:$H$204,"ABERTA")&gt;0,"SIM","NÃO"))</f>
        <v>SIM</v>
      </c>
      <c r="J9" s="288" t="n"/>
      <c r="K9" s="329">
        <f>IF(OR($D9="",$A9=""),"",SUMIFS('05B. APONTAMENTO DIÁRIO'!$F$5:$F$1004,'05B. APONTAMENTO DIÁRIO'!$B$5:$B$1004,$B9,'05B. APONTAMENTO DIÁRIO'!$C$5:$C$1004,$D9,'05B. APONTAMENTO DIÁRIO'!$G$5:$G$1004,$G9,'05B. APONTAMENTO DIÁRIO'!$A$5:$A$1004,"&gt;="&amp;($A9-4),'05B. APONTAMENTO DIÁRIO'!$A$5:$A$1004,"&lt;="&amp;$A9))</f>
        <v>0</v>
      </c>
      <c r="L9" s="226">
        <f>IF(OR($F9="",N($F9)=0,$K9=""),"",$K9/$F9)</f>
        <v>0</v>
      </c>
      <c r="M9" s="218" t="n"/>
      <c r="N9" s="222">
        <f>IF($J9&lt;&gt;"SIM","",IF($M9&lt;&gt;"",$M9,IF(AND(ISNUMBER($L9),N($L9)&gt;=1),"SIM",IF($A9&lt;=DATA_GESTAO,"NÃO",""))))</f>
      </c>
      <c r="O9" s="218" t="n"/>
    </row>
    <row r="10">
      <c r="A10" s="220" t="n">
        <v>46318</v>
      </c>
      <c r="B10" s="218" t="inlineStr">
        <is>
          <t>343</t>
        </is>
      </c>
      <c r="C10" s="218" t="n">
        <v>2</v>
      </c>
      <c r="D10" s="218" t="inlineStr">
        <is>
          <t>BM</t>
        </is>
      </c>
      <c r="E10" s="298" t="inlineStr">
        <is>
          <t>Memória de cálculo do executado em outubro pronta para o BM (NF no 1º dia útil de novembro)</t>
        </is>
      </c>
      <c r="F10" s="328" t="n">
        <v>1</v>
      </c>
      <c r="G10" s="218" t="inlineStr">
        <is>
          <t>un</t>
        </is>
      </c>
      <c r="H10" s="218" t="inlineStr">
        <is>
          <t>Gerente da 343</t>
        </is>
      </c>
      <c r="I10" s="222" t="str">
        <f>IF($D10="","",IF(COUNTIFS('05C. RESTRIÇÕES'!$B$5:$B$204,$B10,'05C. RESTRIÇÕES'!$C$5:$C$204,$D10,'05C. RESTRIÇÕES'!$H$5:$H$204,"ABERTA")&gt;0,"SIM","NÃO"))</f>
        <v>SIM</v>
      </c>
      <c r="J10" s="288" t="n"/>
      <c r="K10" s="329">
        <f>IF(OR($D10="",$A10=""),"",SUMIFS('05B. APONTAMENTO DIÁRIO'!$F$5:$F$1004,'05B. APONTAMENTO DIÁRIO'!$B$5:$B$1004,$B10,'05B. APONTAMENTO DIÁRIO'!$C$5:$C$1004,$D10,'05B. APONTAMENTO DIÁRIO'!$G$5:$G$1004,$G10,'05B. APONTAMENTO DIÁRIO'!$A$5:$A$1004,"&gt;="&amp;($A10-4),'05B. APONTAMENTO DIÁRIO'!$A$5:$A$1004,"&lt;="&amp;$A10))</f>
        <v>0</v>
      </c>
      <c r="L10" s="226">
        <f>IF(OR($F10="",N($F10)=0,$K10=""),"",$K10/$F10)</f>
        <v>0</v>
      </c>
      <c r="M10" s="218" t="n"/>
      <c r="N10" s="222">
        <f>IF($J10&lt;&gt;"SIM","",IF($M10&lt;&gt;"",$M10,IF(AND(ISNUMBER($L10),N($L10)&gt;=1),"SIM",IF($A10&lt;=DATA_GESTAO,"NÃO",""))))</f>
      </c>
      <c r="O10" s="218" t="n"/>
    </row>
    <row r="11">
      <c r="A11" s="220" t="n">
        <v>46318</v>
      </c>
      <c r="B11" s="218" t="inlineStr">
        <is>
          <t>281</t>
        </is>
      </c>
      <c r="C11" s="218" t="n">
        <v>1</v>
      </c>
      <c r="D11" s="218" t="inlineStr">
        <is>
          <t>281-7.7</t>
        </is>
      </c>
      <c r="E11" s="298" t="inlineStr">
        <is>
          <t>Içar e fixar o reservatório taça 100 m³ e grautear os chumbadores no nicho (medir o 7.7.5 no BM08)</t>
        </is>
      </c>
      <c r="F11" s="328" t="n">
        <v>1</v>
      </c>
      <c r="G11" s="218" t="inlineStr">
        <is>
          <t>un</t>
        </is>
      </c>
      <c r="H11" s="218" t="inlineStr">
        <is>
          <t>Ricarlos</t>
        </is>
      </c>
      <c r="I11" s="222" t="str">
        <f>IF($D11="","",IF(COUNTIFS('05C. RESTRIÇÕES'!$B$5:$B$204,$B11,'05C. RESTRIÇÕES'!$C$5:$C$204,$D11,'05C. RESTRIÇÕES'!$H$5:$H$204,"ABERTA")&gt;0,"SIM","NÃO"))</f>
        <v>SIM</v>
      </c>
      <c r="J11" s="288" t="n"/>
      <c r="K11" s="329">
        <f>IF(OR($D11="",$A11=""),"",SUMIFS('05B. APONTAMENTO DIÁRIO'!$F$5:$F$1004,'05B. APONTAMENTO DIÁRIO'!$B$5:$B$1004,$B11,'05B. APONTAMENTO DIÁRIO'!$C$5:$C$1004,$D11,'05B. APONTAMENTO DIÁRIO'!$G$5:$G$1004,$G11,'05B. APONTAMENTO DIÁRIO'!$A$5:$A$1004,"&gt;="&amp;($A11-4),'05B. APONTAMENTO DIÁRIO'!$A$5:$A$1004,"&lt;="&amp;$A11))</f>
        <v>0</v>
      </c>
      <c r="L11" s="226">
        <f>IF(OR($F11="",N($F11)=0,$K11=""),"",$K11/$F11)</f>
        <v>0</v>
      </c>
      <c r="M11" s="218" t="n"/>
      <c r="N11" s="222">
        <f>IF($J11&lt;&gt;"SIM","",IF($M11&lt;&gt;"",$M11,IF(AND(ISNUMBER($L11),N($L11)&gt;=1),"SIM",IF($A11&lt;=DATA_GESTAO,"NÃO",""))))</f>
      </c>
      <c r="O11" s="218" t="n"/>
    </row>
    <row r="12">
      <c r="A12" s="220" t="n">
        <v>46318</v>
      </c>
      <c r="B12" s="218" t="inlineStr">
        <is>
          <t>281</t>
        </is>
      </c>
      <c r="C12" s="218" t="n">
        <v>2</v>
      </c>
      <c r="D12" s="218" t="inlineStr">
        <is>
          <t>281-7.4</t>
        </is>
      </c>
      <c r="E12" s="298" t="inlineStr">
        <is>
          <t>Concluir a montagem do gerador de cloro (hidrogerox) com a equipe da oficina da TECNOBOMBAS (7.4.13)</t>
        </is>
      </c>
      <c r="F12" s="328" t="n">
        <v>1</v>
      </c>
      <c r="G12" s="218" t="inlineStr">
        <is>
          <t>un</t>
        </is>
      </c>
      <c r="H12" s="218" t="inlineStr">
        <is>
          <t>Rafael Santa Cruz</t>
        </is>
      </c>
      <c r="I12" s="222" t="str">
        <f>IF($D12="","",IF(COUNTIFS('05C. RESTRIÇÕES'!$B$5:$B$204,$B12,'05C. RESTRIÇÕES'!$C$5:$C$204,$D12,'05C. RESTRIÇÕES'!$H$5:$H$204,"ABERTA")&gt;0,"SIM","NÃO"))</f>
        <v>SIM</v>
      </c>
      <c r="J12" s="288" t="n"/>
      <c r="K12" s="329">
        <f>IF(OR($D12="",$A12=""),"",SUMIFS('05B. APONTAMENTO DIÁRIO'!$F$5:$F$1004,'05B. APONTAMENTO DIÁRIO'!$B$5:$B$1004,$B12,'05B. APONTAMENTO DIÁRIO'!$C$5:$C$1004,$D12,'05B. APONTAMENTO DIÁRIO'!$G$5:$G$1004,$G12,'05B. APONTAMENTO DIÁRIO'!$A$5:$A$1004,"&gt;="&amp;($A12-4),'05B. APONTAMENTO DIÁRIO'!$A$5:$A$1004,"&lt;="&amp;$A12))</f>
        <v>0</v>
      </c>
      <c r="L12" s="226">
        <f>IF(OR($F12="",N($F12)=0,$K12=""),"",$K12/$F12)</f>
        <v>0</v>
      </c>
      <c r="M12" s="218" t="n"/>
      <c r="N12" s="222">
        <f>IF($J12&lt;&gt;"SIM","",IF($M12&lt;&gt;"",$M12,IF(AND(ISNUMBER($L12),N($L12)&gt;=1),"SIM",IF($A12&lt;=DATA_GESTAO,"NÃO",""))))</f>
      </c>
      <c r="O12" s="218" t="n"/>
    </row>
    <row r="13">
      <c r="A13" s="220" t="n">
        <v>46318</v>
      </c>
      <c r="B13" s="218" t="inlineStr">
        <is>
          <t>281</t>
        </is>
      </c>
      <c r="C13" s="218" t="n">
        <v>3</v>
      </c>
      <c r="D13" s="218" t="inlineStr">
        <is>
          <t>281-3.3</t>
        </is>
      </c>
      <c r="E13" s="298" t="inlineStr">
        <is>
          <t>Montar a monovia da EEAB1 (3.3.7), já liberada pelo campo</t>
        </is>
      </c>
      <c r="F13" s="328" t="n">
        <v>1</v>
      </c>
      <c r="G13" s="218" t="inlineStr">
        <is>
          <t>un</t>
        </is>
      </c>
      <c r="H13" s="218" t="inlineStr">
        <is>
          <t>Rafael Santa Cruz</t>
        </is>
      </c>
      <c r="I13" s="222" t="str">
        <f>IF($D13="","",IF(COUNTIFS('05C. RESTRIÇÕES'!$B$5:$B$204,$B13,'05C. RESTRIÇÕES'!$C$5:$C$204,$D13,'05C. RESTRIÇÕES'!$H$5:$H$204,"ABERTA")&gt;0,"SIM","NÃO"))</f>
        <v>SIM</v>
      </c>
      <c r="J13" s="288" t="n"/>
      <c r="K13" s="329">
        <f>IF(OR($D13="",$A13=""),"",SUMIFS('05B. APONTAMENTO DIÁRIO'!$F$5:$F$1004,'05B. APONTAMENTO DIÁRIO'!$B$5:$B$1004,$B13,'05B. APONTAMENTO DIÁRIO'!$C$5:$C$1004,$D13,'05B. APONTAMENTO DIÁRIO'!$G$5:$G$1004,$G13,'05B. APONTAMENTO DIÁRIO'!$A$5:$A$1004,"&gt;="&amp;($A13-4),'05B. APONTAMENTO DIÁRIO'!$A$5:$A$1004,"&lt;="&amp;$A13))</f>
        <v>0</v>
      </c>
      <c r="L13" s="226">
        <f>IF(OR($F13="",N($F13)=0,$K13=""),"",$K13/$F13)</f>
        <v>0</v>
      </c>
      <c r="M13" s="218" t="n"/>
      <c r="N13" s="222">
        <f>IF($J13&lt;&gt;"SIM","",IF($M13&lt;&gt;"",$M13,IF(AND(ISNUMBER($L13),N($L13)&gt;=1),"SIM",IF($A13&lt;=DATA_GESTAO,"NÃO",""))))</f>
      </c>
      <c r="O13" s="218" t="n"/>
    </row>
    <row r="14">
      <c r="A14" s="220" t="n">
        <v>46318</v>
      </c>
      <c r="B14" s="218" t="inlineStr">
        <is>
          <t>281</t>
        </is>
      </c>
      <c r="C14" s="218" t="n">
        <v>4</v>
      </c>
      <c r="D14" s="218" t="inlineStr">
        <is>
          <t>BM</t>
        </is>
      </c>
      <c r="E14" s="298" t="inlineStr">
        <is>
          <t>Fechar o BM08 em 20/10 com a fiscal: reservatório, cloro, subestação da ETA, entrada de energia e 7.1.4 se o projeto estiver aprovado</t>
        </is>
      </c>
      <c r="F14" s="328" t="n">
        <v>1</v>
      </c>
      <c r="G14" s="218" t="inlineStr">
        <is>
          <t>un</t>
        </is>
      </c>
      <c r="H14" s="218" t="inlineStr">
        <is>
          <t>Ricarlos</t>
        </is>
      </c>
      <c r="I14" s="222" t="str">
        <f>IF($D14="","",IF(COUNTIFS('05C. RESTRIÇÕES'!$B$5:$B$204,$B14,'05C. RESTRIÇÕES'!$C$5:$C$204,$D14,'05C. RESTRIÇÕES'!$H$5:$H$204,"ABERTA")&gt;0,"SIM","NÃO"))</f>
        <v>SIM</v>
      </c>
      <c r="J14" s="288" t="n"/>
      <c r="K14" s="329">
        <f>IF(OR($D14="",$A14=""),"",SUMIFS('05B. APONTAMENTO DIÁRIO'!$F$5:$F$1004,'05B. APONTAMENTO DIÁRIO'!$B$5:$B$1004,$B14,'05B. APONTAMENTO DIÁRIO'!$C$5:$C$1004,$D14,'05B. APONTAMENTO DIÁRIO'!$G$5:$G$1004,$G14,'05B. APONTAMENTO DIÁRIO'!$A$5:$A$1004,"&gt;="&amp;($A14-4),'05B. APONTAMENTO DIÁRIO'!$A$5:$A$1004,"&lt;="&amp;$A14))</f>
        <v>0</v>
      </c>
      <c r="L14" s="226">
        <f>IF(OR($F14="",N($F14)=0,$K14=""),"",$K14/$F14)</f>
        <v>0</v>
      </c>
      <c r="M14" s="218" t="n"/>
      <c r="N14" s="222">
        <f>IF($J14&lt;&gt;"SIM","",IF($M14&lt;&gt;"",$M14,IF(AND(ISNUMBER($L14),N($L14)&gt;=1),"SIM",IF($A14&lt;=DATA_GESTAO,"NÃO",""))))</f>
      </c>
      <c r="O14" s="218" t="n"/>
    </row>
    <row r="15">
      <c r="A15" s="220" t="n"/>
      <c r="B15" s="218" t="n"/>
      <c r="C15" s="218" t="n"/>
      <c r="D15" s="218" t="n"/>
      <c r="E15" s="298" t="n"/>
      <c r="F15" s="328" t="n"/>
      <c r="G15" s="218" t="n"/>
      <c r="H15" s="218" t="n"/>
      <c r="I15" s="222">
        <f>IF($D15="","",IF(COUNTIFS('05C. RESTRIÇÕES'!$B$5:$B$204,$B15,'05C. RESTRIÇÕES'!$C$5:$C$204,$D15,'05C. RESTRIÇÕES'!$H$5:$H$204,"ABERTA")&gt;0,"SIM","NÃO"))</f>
      </c>
      <c r="J15" s="218" t="n"/>
      <c r="K15" s="329">
        <f>IF(OR($D15="",$A15=""),"",SUMIFS('05B. APONTAMENTO DIÁRIO'!$F$5:$F$1004,'05B. APONTAMENTO DIÁRIO'!$B$5:$B$1004,$B15,'05B. APONTAMENTO DIÁRIO'!$C$5:$C$1004,$D15,'05B. APONTAMENTO DIÁRIO'!$G$5:$G$1004,$G15,'05B. APONTAMENTO DIÁRIO'!$A$5:$A$1004,"&gt;="&amp;($A15-4),'05B. APONTAMENTO DIÁRIO'!$A$5:$A$1004,"&lt;="&amp;$A15))</f>
      </c>
      <c r="L15" s="226">
        <f>IF(OR($F15="",N($F15)=0,$K15=""),"",$K15/$F15)</f>
      </c>
      <c r="M15" s="218" t="n"/>
      <c r="N15" s="222">
        <f>IF($J15&lt;&gt;"SIM","",IF($M15&lt;&gt;"",$M15,IF(AND(ISNUMBER($L15),N($L15)&gt;=1),"SIM",IF($A15&lt;=DATA_GESTAO,"NÃO",""))))</f>
      </c>
      <c r="O15" s="218" t="n"/>
    </row>
    <row r="16">
      <c r="A16" s="220" t="n"/>
      <c r="B16" s="218" t="n"/>
      <c r="C16" s="218" t="n"/>
      <c r="D16" s="218" t="n"/>
      <c r="E16" s="298" t="n"/>
      <c r="F16" s="328" t="n"/>
      <c r="G16" s="218" t="n"/>
      <c r="H16" s="218" t="n"/>
      <c r="I16" s="222">
        <f>IF($D16="","",IF(COUNTIFS('05C. RESTRIÇÕES'!$B$5:$B$204,$B16,'05C. RESTRIÇÕES'!$C$5:$C$204,$D16,'05C. RESTRIÇÕES'!$H$5:$H$204,"ABERTA")&gt;0,"SIM","NÃO"))</f>
      </c>
      <c r="J16" s="218" t="n"/>
      <c r="K16" s="329">
        <f>IF(OR($D16="",$A16=""),"",SUMIFS('05B. APONTAMENTO DIÁRIO'!$F$5:$F$1004,'05B. APONTAMENTO DIÁRIO'!$B$5:$B$1004,$B16,'05B. APONTAMENTO DIÁRIO'!$C$5:$C$1004,$D16,'05B. APONTAMENTO DIÁRIO'!$G$5:$G$1004,$G16,'05B. APONTAMENTO DIÁRIO'!$A$5:$A$1004,"&gt;="&amp;($A16-4),'05B. APONTAMENTO DIÁRIO'!$A$5:$A$1004,"&lt;="&amp;$A16))</f>
      </c>
      <c r="L16" s="226">
        <f>IF(OR($F16="",N($F16)=0,$K16=""),"",$K16/$F16)</f>
      </c>
      <c r="M16" s="218" t="n"/>
      <c r="N16" s="222">
        <f>IF($J16&lt;&gt;"SIM","",IF($M16&lt;&gt;"",$M16,IF(AND(ISNUMBER($L16),N($L16)&gt;=1),"SIM",IF($A16&lt;=DATA_GESTAO,"NÃO",""))))</f>
      </c>
      <c r="O16" s="218" t="n"/>
    </row>
    <row r="17">
      <c r="A17" s="220" t="n"/>
      <c r="B17" s="218" t="n"/>
      <c r="C17" s="218" t="n"/>
      <c r="D17" s="218" t="n"/>
      <c r="E17" s="298" t="n"/>
      <c r="F17" s="328" t="n"/>
      <c r="G17" s="218" t="n"/>
      <c r="H17" s="218" t="n"/>
      <c r="I17" s="222">
        <f>IF($D17="","",IF(COUNTIFS('05C. RESTRIÇÕES'!$B$5:$B$204,$B17,'05C. RESTRIÇÕES'!$C$5:$C$204,$D17,'05C. RESTRIÇÕES'!$H$5:$H$204,"ABERTA")&gt;0,"SIM","NÃO"))</f>
      </c>
      <c r="J17" s="218" t="n"/>
      <c r="K17" s="329">
        <f>IF(OR($D17="",$A17=""),"",SUMIFS('05B. APONTAMENTO DIÁRIO'!$F$5:$F$1004,'05B. APONTAMENTO DIÁRIO'!$B$5:$B$1004,$B17,'05B. APONTAMENTO DIÁRIO'!$C$5:$C$1004,$D17,'05B. APONTAMENTO DIÁRIO'!$G$5:$G$1004,$G17,'05B. APONTAMENTO DIÁRIO'!$A$5:$A$1004,"&gt;="&amp;($A17-4),'05B. APONTAMENTO DIÁRIO'!$A$5:$A$1004,"&lt;="&amp;$A17))</f>
      </c>
      <c r="L17" s="226">
        <f>IF(OR($F17="",N($F17)=0,$K17=""),"",$K17/$F17)</f>
      </c>
      <c r="M17" s="218" t="n"/>
      <c r="N17" s="222">
        <f>IF($J17&lt;&gt;"SIM","",IF($M17&lt;&gt;"",$M17,IF(AND(ISNUMBER($L17),N($L17)&gt;=1),"SIM",IF($A17&lt;=DATA_GESTAO,"NÃO",""))))</f>
      </c>
      <c r="O17" s="218" t="n"/>
    </row>
    <row r="18">
      <c r="A18" s="220" t="n"/>
      <c r="B18" s="218" t="n"/>
      <c r="C18" s="218" t="n"/>
      <c r="D18" s="218" t="n"/>
      <c r="E18" s="298" t="n"/>
      <c r="F18" s="328" t="n"/>
      <c r="G18" s="218" t="n"/>
      <c r="H18" s="218" t="n"/>
      <c r="I18" s="222">
        <f>IF($D18="","",IF(COUNTIFS('05C. RESTRIÇÕES'!$B$5:$B$204,$B18,'05C. RESTRIÇÕES'!$C$5:$C$204,$D18,'05C. RESTRIÇÕES'!$H$5:$H$204,"ABERTA")&gt;0,"SIM","NÃO"))</f>
      </c>
      <c r="J18" s="218" t="n"/>
      <c r="K18" s="329">
        <f>IF(OR($D18="",$A18=""),"",SUMIFS('05B. APONTAMENTO DIÁRIO'!$F$5:$F$1004,'05B. APONTAMENTO DIÁRIO'!$B$5:$B$1004,$B18,'05B. APONTAMENTO DIÁRIO'!$C$5:$C$1004,$D18,'05B. APONTAMENTO DIÁRIO'!$G$5:$G$1004,$G18,'05B. APONTAMENTO DIÁRIO'!$A$5:$A$1004,"&gt;="&amp;($A18-4),'05B. APONTAMENTO DIÁRIO'!$A$5:$A$1004,"&lt;="&amp;$A18))</f>
      </c>
      <c r="L18" s="226">
        <f>IF(OR($F18="",N($F18)=0,$K18=""),"",$K18/$F18)</f>
      </c>
      <c r="M18" s="218" t="n"/>
      <c r="N18" s="222">
        <f>IF($J18&lt;&gt;"SIM","",IF($M18&lt;&gt;"",$M18,IF(AND(ISNUMBER($L18),N($L18)&gt;=1),"SIM",IF($A18&lt;=DATA_GESTAO,"NÃO",""))))</f>
      </c>
      <c r="O18" s="218" t="n"/>
    </row>
    <row r="19">
      <c r="A19" s="220" t="n"/>
      <c r="B19" s="218" t="n"/>
      <c r="C19" s="218" t="n"/>
      <c r="D19" s="218" t="n"/>
      <c r="E19" s="298" t="n"/>
      <c r="F19" s="328" t="n"/>
      <c r="G19" s="218" t="n"/>
      <c r="H19" s="218" t="n"/>
      <c r="I19" s="222">
        <f>IF($D19="","",IF(COUNTIFS('05C. RESTRIÇÕES'!$B$5:$B$204,$B19,'05C. RESTRIÇÕES'!$C$5:$C$204,$D19,'05C. RESTRIÇÕES'!$H$5:$H$204,"ABERTA")&gt;0,"SIM","NÃO"))</f>
      </c>
      <c r="J19" s="218" t="n"/>
      <c r="K19" s="329">
        <f>IF(OR($D19="",$A19=""),"",SUMIFS('05B. APONTAMENTO DIÁRIO'!$F$5:$F$1004,'05B. APONTAMENTO DIÁRIO'!$B$5:$B$1004,$B19,'05B. APONTAMENTO DIÁRIO'!$C$5:$C$1004,$D19,'05B. APONTAMENTO DIÁRIO'!$G$5:$G$1004,$G19,'05B. APONTAMENTO DIÁRIO'!$A$5:$A$1004,"&gt;="&amp;($A19-4),'05B. APONTAMENTO DIÁRIO'!$A$5:$A$1004,"&lt;="&amp;$A19))</f>
      </c>
      <c r="L19" s="226">
        <f>IF(OR($F19="",N($F19)=0,$K19=""),"",$K19/$F19)</f>
      </c>
      <c r="M19" s="218" t="n"/>
      <c r="N19" s="222">
        <f>IF($J19&lt;&gt;"SIM","",IF($M19&lt;&gt;"",$M19,IF(AND(ISNUMBER($L19),N($L19)&gt;=1),"SIM",IF($A19&lt;=DATA_GESTAO,"NÃO",""))))</f>
      </c>
      <c r="O19" s="218" t="n"/>
    </row>
    <row r="20">
      <c r="A20" s="220" t="n"/>
      <c r="B20" s="218" t="n"/>
      <c r="C20" s="218" t="n"/>
      <c r="D20" s="218" t="n"/>
      <c r="E20" s="298" t="n"/>
      <c r="F20" s="328" t="n"/>
      <c r="G20" s="218" t="n"/>
      <c r="H20" s="218" t="n"/>
      <c r="I20" s="222">
        <f>IF($D20="","",IF(COUNTIFS('05C. RESTRIÇÕES'!$B$5:$B$204,$B20,'05C. RESTRIÇÕES'!$C$5:$C$204,$D20,'05C. RESTRIÇÕES'!$H$5:$H$204,"ABERTA")&gt;0,"SIM","NÃO"))</f>
      </c>
      <c r="J20" s="218" t="n"/>
      <c r="K20" s="329">
        <f>IF(OR($D20="",$A20=""),"",SUMIFS('05B. APONTAMENTO DIÁRIO'!$F$5:$F$1004,'05B. APONTAMENTO DIÁRIO'!$B$5:$B$1004,$B20,'05B. APONTAMENTO DIÁRIO'!$C$5:$C$1004,$D20,'05B. APONTAMENTO DIÁRIO'!$G$5:$G$1004,$G20,'05B. APONTAMENTO DIÁRIO'!$A$5:$A$1004,"&gt;="&amp;($A20-4),'05B. APONTAMENTO DIÁRIO'!$A$5:$A$1004,"&lt;="&amp;$A20))</f>
      </c>
      <c r="L20" s="226">
        <f>IF(OR($F20="",N($F20)=0,$K20=""),"",$K20/$F20)</f>
      </c>
      <c r="M20" s="218" t="n"/>
      <c r="N20" s="222">
        <f>IF($J20&lt;&gt;"SIM","",IF($M20&lt;&gt;"",$M20,IF(AND(ISNUMBER($L20),N($L20)&gt;=1),"SIM",IF($A20&lt;=DATA_GESTAO,"NÃO",""))))</f>
      </c>
      <c r="O20" s="218" t="n"/>
    </row>
    <row r="21">
      <c r="A21" s="220" t="n"/>
      <c r="B21" s="218" t="n"/>
      <c r="C21" s="218" t="n"/>
      <c r="D21" s="218" t="n"/>
      <c r="E21" s="298" t="n"/>
      <c r="F21" s="328" t="n"/>
      <c r="G21" s="218" t="n"/>
      <c r="H21" s="218" t="n"/>
      <c r="I21" s="222">
        <f>IF($D21="","",IF(COUNTIFS('05C. RESTRIÇÕES'!$B$5:$B$204,$B21,'05C. RESTRIÇÕES'!$C$5:$C$204,$D21,'05C. RESTRIÇÕES'!$H$5:$H$204,"ABERTA")&gt;0,"SIM","NÃO"))</f>
      </c>
      <c r="J21" s="218" t="n"/>
      <c r="K21" s="329">
        <f>IF(OR($D21="",$A21=""),"",SUMIFS('05B. APONTAMENTO DIÁRIO'!$F$5:$F$1004,'05B. APONTAMENTO DIÁRIO'!$B$5:$B$1004,$B21,'05B. APONTAMENTO DIÁRIO'!$C$5:$C$1004,$D21,'05B. APONTAMENTO DIÁRIO'!$G$5:$G$1004,$G21,'05B. APONTAMENTO DIÁRIO'!$A$5:$A$1004,"&gt;="&amp;($A21-4),'05B. APONTAMENTO DIÁRIO'!$A$5:$A$1004,"&lt;="&amp;$A21))</f>
      </c>
      <c r="L21" s="226">
        <f>IF(OR($F21="",N($F21)=0,$K21=""),"",$K21/$F21)</f>
      </c>
      <c r="M21" s="218" t="n"/>
      <c r="N21" s="222">
        <f>IF($J21&lt;&gt;"SIM","",IF($M21&lt;&gt;"",$M21,IF(AND(ISNUMBER($L21),N($L21)&gt;=1),"SIM",IF($A21&lt;=DATA_GESTAO,"NÃO",""))))</f>
      </c>
      <c r="O21" s="218" t="n"/>
    </row>
    <row r="22">
      <c r="A22" s="220" t="n"/>
      <c r="B22" s="218" t="n"/>
      <c r="C22" s="218" t="n"/>
      <c r="D22" s="218" t="n"/>
      <c r="E22" s="298" t="n"/>
      <c r="F22" s="328" t="n"/>
      <c r="G22" s="218" t="n"/>
      <c r="H22" s="218" t="n"/>
      <c r="I22" s="222">
        <f>IF($D22="","",IF(COUNTIFS('05C. RESTRIÇÕES'!$B$5:$B$204,$B22,'05C. RESTRIÇÕES'!$C$5:$C$204,$D22,'05C. RESTRIÇÕES'!$H$5:$H$204,"ABERTA")&gt;0,"SIM","NÃO"))</f>
      </c>
      <c r="J22" s="218" t="n"/>
      <c r="K22" s="329">
        <f>IF(OR($D22="",$A22=""),"",SUMIFS('05B. APONTAMENTO DIÁRIO'!$F$5:$F$1004,'05B. APONTAMENTO DIÁRIO'!$B$5:$B$1004,$B22,'05B. APONTAMENTO DIÁRIO'!$C$5:$C$1004,$D22,'05B. APONTAMENTO DIÁRIO'!$G$5:$G$1004,$G22,'05B. APONTAMENTO DIÁRIO'!$A$5:$A$1004,"&gt;="&amp;($A22-4),'05B. APONTAMENTO DIÁRIO'!$A$5:$A$1004,"&lt;="&amp;$A22))</f>
      </c>
      <c r="L22" s="226">
        <f>IF(OR($F22="",N($F22)=0,$K22=""),"",$K22/$F22)</f>
      </c>
      <c r="M22" s="218" t="n"/>
      <c r="N22" s="222">
        <f>IF($J22&lt;&gt;"SIM","",IF($M22&lt;&gt;"",$M22,IF(AND(ISNUMBER($L22),N($L22)&gt;=1),"SIM",IF($A22&lt;=DATA_GESTAO,"NÃO",""))))</f>
      </c>
      <c r="O22" s="218" t="n"/>
    </row>
    <row r="23">
      <c r="A23" s="220" t="n"/>
      <c r="B23" s="218" t="n"/>
      <c r="C23" s="218" t="n"/>
      <c r="D23" s="218" t="n"/>
      <c r="E23" s="298" t="n"/>
      <c r="F23" s="328" t="n"/>
      <c r="G23" s="218" t="n"/>
      <c r="H23" s="218" t="n"/>
      <c r="I23" s="222">
        <f>IF($D23="","",IF(COUNTIFS('05C. RESTRIÇÕES'!$B$5:$B$204,$B23,'05C. RESTRIÇÕES'!$C$5:$C$204,$D23,'05C. RESTRIÇÕES'!$H$5:$H$204,"ABERTA")&gt;0,"SIM","NÃO"))</f>
      </c>
      <c r="J23" s="218" t="n"/>
      <c r="K23" s="329">
        <f>IF(OR($D23="",$A23=""),"",SUMIFS('05B. APONTAMENTO DIÁRIO'!$F$5:$F$1004,'05B. APONTAMENTO DIÁRIO'!$B$5:$B$1004,$B23,'05B. APONTAMENTO DIÁRIO'!$C$5:$C$1004,$D23,'05B. APONTAMENTO DIÁRIO'!$G$5:$G$1004,$G23,'05B. APONTAMENTO DIÁRIO'!$A$5:$A$1004,"&gt;="&amp;($A23-4),'05B. APONTAMENTO DIÁRIO'!$A$5:$A$1004,"&lt;="&amp;$A23))</f>
      </c>
      <c r="L23" s="226">
        <f>IF(OR($F23="",N($F23)=0,$K23=""),"",$K23/$F23)</f>
      </c>
      <c r="M23" s="218" t="n"/>
      <c r="N23" s="222">
        <f>IF($J23&lt;&gt;"SIM","",IF($M23&lt;&gt;"",$M23,IF(AND(ISNUMBER($L23),N($L23)&gt;=1),"SIM",IF($A23&lt;=DATA_GESTAO,"NÃO",""))))</f>
      </c>
      <c r="O23" s="218" t="n"/>
    </row>
    <row r="24">
      <c r="A24" s="220" t="n"/>
      <c r="B24" s="218" t="n"/>
      <c r="C24" s="218" t="n"/>
      <c r="D24" s="218" t="n"/>
      <c r="E24" s="298" t="n"/>
      <c r="F24" s="328" t="n"/>
      <c r="G24" s="218" t="n"/>
      <c r="H24" s="218" t="n"/>
      <c r="I24" s="222">
        <f>IF($D24="","",IF(COUNTIFS('05C. RESTRIÇÕES'!$B$5:$B$204,$B24,'05C. RESTRIÇÕES'!$C$5:$C$204,$D24,'05C. RESTRIÇÕES'!$H$5:$H$204,"ABERTA")&gt;0,"SIM","NÃO"))</f>
      </c>
      <c r="J24" s="218" t="n"/>
      <c r="K24" s="329">
        <f>IF(OR($D24="",$A24=""),"",SUMIFS('05B. APONTAMENTO DIÁRIO'!$F$5:$F$1004,'05B. APONTAMENTO DIÁRIO'!$B$5:$B$1004,$B24,'05B. APONTAMENTO DIÁRIO'!$C$5:$C$1004,$D24,'05B. APONTAMENTO DIÁRIO'!$G$5:$G$1004,$G24,'05B. APONTAMENTO DIÁRIO'!$A$5:$A$1004,"&gt;="&amp;($A24-4),'05B. APONTAMENTO DIÁRIO'!$A$5:$A$1004,"&lt;="&amp;$A24))</f>
      </c>
      <c r="L24" s="226">
        <f>IF(OR($F24="",N($F24)=0,$K24=""),"",$K24/$F24)</f>
      </c>
      <c r="M24" s="218" t="n"/>
      <c r="N24" s="222">
        <f>IF($J24&lt;&gt;"SIM","",IF($M24&lt;&gt;"",$M24,IF(AND(ISNUMBER($L24),N($L24)&gt;=1),"SIM",IF($A24&lt;=DATA_GESTAO,"NÃO",""))))</f>
      </c>
      <c r="O24" s="218" t="n"/>
    </row>
    <row r="25">
      <c r="A25" s="220" t="n"/>
      <c r="B25" s="218" t="n"/>
      <c r="C25" s="218" t="n"/>
      <c r="D25" s="218" t="n"/>
      <c r="E25" s="298" t="n"/>
      <c r="F25" s="328" t="n"/>
      <c r="G25" s="218" t="n"/>
      <c r="H25" s="218" t="n"/>
      <c r="I25" s="222">
        <f>IF($D25="","",IF(COUNTIFS('05C. RESTRIÇÕES'!$B$5:$B$204,$B25,'05C. RESTRIÇÕES'!$C$5:$C$204,$D25,'05C. RESTRIÇÕES'!$H$5:$H$204,"ABERTA")&gt;0,"SIM","NÃO"))</f>
      </c>
      <c r="J25" s="218" t="n"/>
      <c r="K25" s="329">
        <f>IF(OR($D25="",$A25=""),"",SUMIFS('05B. APONTAMENTO DIÁRIO'!$F$5:$F$1004,'05B. APONTAMENTO DIÁRIO'!$B$5:$B$1004,$B25,'05B. APONTAMENTO DIÁRIO'!$C$5:$C$1004,$D25,'05B. APONTAMENTO DIÁRIO'!$G$5:$G$1004,$G25,'05B. APONTAMENTO DIÁRIO'!$A$5:$A$1004,"&gt;="&amp;($A25-4),'05B. APONTAMENTO DIÁRIO'!$A$5:$A$1004,"&lt;="&amp;$A25))</f>
      </c>
      <c r="L25" s="226">
        <f>IF(OR($F25="",N($F25)=0,$K25=""),"",$K25/$F25)</f>
      </c>
      <c r="M25" s="218" t="n"/>
      <c r="N25" s="222">
        <f>IF($J25&lt;&gt;"SIM","",IF($M25&lt;&gt;"",$M25,IF(AND(ISNUMBER($L25),N($L25)&gt;=1),"SIM",IF($A25&lt;=DATA_GESTAO,"NÃO",""))))</f>
      </c>
      <c r="O25" s="218" t="n"/>
    </row>
    <row r="26">
      <c r="A26" s="220" t="n"/>
      <c r="B26" s="218" t="n"/>
      <c r="C26" s="218" t="n"/>
      <c r="D26" s="218" t="n"/>
      <c r="E26" s="298" t="n"/>
      <c r="F26" s="328" t="n"/>
      <c r="G26" s="218" t="n"/>
      <c r="H26" s="218" t="n"/>
      <c r="I26" s="222">
        <f>IF($D26="","",IF(COUNTIFS('05C. RESTRIÇÕES'!$B$5:$B$204,$B26,'05C. RESTRIÇÕES'!$C$5:$C$204,$D26,'05C. RESTRIÇÕES'!$H$5:$H$204,"ABERTA")&gt;0,"SIM","NÃO"))</f>
      </c>
      <c r="J26" s="218" t="n"/>
      <c r="K26" s="329">
        <f>IF(OR($D26="",$A26=""),"",SUMIFS('05B. APONTAMENTO DIÁRIO'!$F$5:$F$1004,'05B. APONTAMENTO DIÁRIO'!$B$5:$B$1004,$B26,'05B. APONTAMENTO DIÁRIO'!$C$5:$C$1004,$D26,'05B. APONTAMENTO DIÁRIO'!$G$5:$G$1004,$G26,'05B. APONTAMENTO DIÁRIO'!$A$5:$A$1004,"&gt;="&amp;($A26-4),'05B. APONTAMENTO DIÁRIO'!$A$5:$A$1004,"&lt;="&amp;$A26))</f>
      </c>
      <c r="L26" s="226">
        <f>IF(OR($F26="",N($F26)=0,$K26=""),"",$K26/$F26)</f>
      </c>
      <c r="M26" s="218" t="n"/>
      <c r="N26" s="222">
        <f>IF($J26&lt;&gt;"SIM","",IF($M26&lt;&gt;"",$M26,IF(AND(ISNUMBER($L26),N($L26)&gt;=1),"SIM",IF($A26&lt;=DATA_GESTAO,"NÃO",""))))</f>
      </c>
      <c r="O26" s="218" t="n"/>
    </row>
    <row r="27">
      <c r="A27" s="220" t="n"/>
      <c r="B27" s="218" t="n"/>
      <c r="C27" s="218" t="n"/>
      <c r="D27" s="218" t="n"/>
      <c r="E27" s="298" t="n"/>
      <c r="F27" s="328" t="n"/>
      <c r="G27" s="218" t="n"/>
      <c r="H27" s="218" t="n"/>
      <c r="I27" s="222">
        <f>IF($D27="","",IF(COUNTIFS('05C. RESTRIÇÕES'!$B$5:$B$204,$B27,'05C. RESTRIÇÕES'!$C$5:$C$204,$D27,'05C. RESTRIÇÕES'!$H$5:$H$204,"ABERTA")&gt;0,"SIM","NÃO"))</f>
      </c>
      <c r="J27" s="218" t="n"/>
      <c r="K27" s="329">
        <f>IF(OR($D27="",$A27=""),"",SUMIFS('05B. APONTAMENTO DIÁRIO'!$F$5:$F$1004,'05B. APONTAMENTO DIÁRIO'!$B$5:$B$1004,$B27,'05B. APONTAMENTO DIÁRIO'!$C$5:$C$1004,$D27,'05B. APONTAMENTO DIÁRIO'!$G$5:$G$1004,$G27,'05B. APONTAMENTO DIÁRIO'!$A$5:$A$1004,"&gt;="&amp;($A27-4),'05B. APONTAMENTO DIÁRIO'!$A$5:$A$1004,"&lt;="&amp;$A27))</f>
      </c>
      <c r="L27" s="226">
        <f>IF(OR($F27="",N($F27)=0,$K27=""),"",$K27/$F27)</f>
      </c>
      <c r="M27" s="218" t="n"/>
      <c r="N27" s="222">
        <f>IF($J27&lt;&gt;"SIM","",IF($M27&lt;&gt;"",$M27,IF(AND(ISNUMBER($L27),N($L27)&gt;=1),"SIM",IF($A27&lt;=DATA_GESTAO,"NÃO",""))))</f>
      </c>
      <c r="O27" s="218" t="n"/>
    </row>
    <row r="28">
      <c r="A28" s="220" t="n"/>
      <c r="B28" s="218" t="n"/>
      <c r="C28" s="218" t="n"/>
      <c r="D28" s="218" t="n"/>
      <c r="E28" s="298" t="n"/>
      <c r="F28" s="328" t="n"/>
      <c r="G28" s="218" t="n"/>
      <c r="H28" s="218" t="n"/>
      <c r="I28" s="222">
        <f>IF($D28="","",IF(COUNTIFS('05C. RESTRIÇÕES'!$B$5:$B$204,$B28,'05C. RESTRIÇÕES'!$C$5:$C$204,$D28,'05C. RESTRIÇÕES'!$H$5:$H$204,"ABERTA")&gt;0,"SIM","NÃO"))</f>
      </c>
      <c r="J28" s="218" t="n"/>
      <c r="K28" s="329">
        <f>IF(OR($D28="",$A28=""),"",SUMIFS('05B. APONTAMENTO DIÁRIO'!$F$5:$F$1004,'05B. APONTAMENTO DIÁRIO'!$B$5:$B$1004,$B28,'05B. APONTAMENTO DIÁRIO'!$C$5:$C$1004,$D28,'05B. APONTAMENTO DIÁRIO'!$G$5:$G$1004,$G28,'05B. APONTAMENTO DIÁRIO'!$A$5:$A$1004,"&gt;="&amp;($A28-4),'05B. APONTAMENTO DIÁRIO'!$A$5:$A$1004,"&lt;="&amp;$A28))</f>
      </c>
      <c r="L28" s="226">
        <f>IF(OR($F28="",N($F28)=0,$K28=""),"",$K28/$F28)</f>
      </c>
      <c r="M28" s="218" t="n"/>
      <c r="N28" s="222">
        <f>IF($J28&lt;&gt;"SIM","",IF($M28&lt;&gt;"",$M28,IF(AND(ISNUMBER($L28),N($L28)&gt;=1),"SIM",IF($A28&lt;=DATA_GESTAO,"NÃO",""))))</f>
      </c>
      <c r="O28" s="218" t="n"/>
    </row>
    <row r="29">
      <c r="A29" s="220" t="n"/>
      <c r="B29" s="218" t="n"/>
      <c r="C29" s="218" t="n"/>
      <c r="D29" s="218" t="n"/>
      <c r="E29" s="298" t="n"/>
      <c r="F29" s="328" t="n"/>
      <c r="G29" s="218" t="n"/>
      <c r="H29" s="218" t="n"/>
      <c r="I29" s="222">
        <f>IF($D29="","",IF(COUNTIFS('05C. RESTRIÇÕES'!$B$5:$B$204,$B29,'05C. RESTRIÇÕES'!$C$5:$C$204,$D29,'05C. RESTRIÇÕES'!$H$5:$H$204,"ABERTA")&gt;0,"SIM","NÃO"))</f>
      </c>
      <c r="J29" s="218" t="n"/>
      <c r="K29" s="329">
        <f>IF(OR($D29="",$A29=""),"",SUMIFS('05B. APONTAMENTO DIÁRIO'!$F$5:$F$1004,'05B. APONTAMENTO DIÁRIO'!$B$5:$B$1004,$B29,'05B. APONTAMENTO DIÁRIO'!$C$5:$C$1004,$D29,'05B. APONTAMENTO DIÁRIO'!$G$5:$G$1004,$G29,'05B. APONTAMENTO DIÁRIO'!$A$5:$A$1004,"&gt;="&amp;($A29-4),'05B. APONTAMENTO DIÁRIO'!$A$5:$A$1004,"&lt;="&amp;$A29))</f>
      </c>
      <c r="L29" s="226">
        <f>IF(OR($F29="",N($F29)=0,$K29=""),"",$K29/$F29)</f>
      </c>
      <c r="M29" s="218" t="n"/>
      <c r="N29" s="222">
        <f>IF($J29&lt;&gt;"SIM","",IF($M29&lt;&gt;"",$M29,IF(AND(ISNUMBER($L29),N($L29)&gt;=1),"SIM",IF($A29&lt;=DATA_GESTAO,"NÃO",""))))</f>
      </c>
      <c r="O29" s="218" t="n"/>
    </row>
    <row r="30">
      <c r="A30" s="220" t="n"/>
      <c r="B30" s="218" t="n"/>
      <c r="C30" s="218" t="n"/>
      <c r="D30" s="218" t="n"/>
      <c r="E30" s="298" t="n"/>
      <c r="F30" s="328" t="n"/>
      <c r="G30" s="218" t="n"/>
      <c r="H30" s="218" t="n"/>
      <c r="I30" s="222">
        <f>IF($D30="","",IF(COUNTIFS('05C. RESTRIÇÕES'!$B$5:$B$204,$B30,'05C. RESTRIÇÕES'!$C$5:$C$204,$D30,'05C. RESTRIÇÕES'!$H$5:$H$204,"ABERTA")&gt;0,"SIM","NÃO"))</f>
      </c>
      <c r="J30" s="218" t="n"/>
      <c r="K30" s="329">
        <f>IF(OR($D30="",$A30=""),"",SUMIFS('05B. APONTAMENTO DIÁRIO'!$F$5:$F$1004,'05B. APONTAMENTO DIÁRIO'!$B$5:$B$1004,$B30,'05B. APONTAMENTO DIÁRIO'!$C$5:$C$1004,$D30,'05B. APONTAMENTO DIÁRIO'!$G$5:$G$1004,$G30,'05B. APONTAMENTO DIÁRIO'!$A$5:$A$1004,"&gt;="&amp;($A30-4),'05B. APONTAMENTO DIÁRIO'!$A$5:$A$1004,"&lt;="&amp;$A30))</f>
      </c>
      <c r="L30" s="226">
        <f>IF(OR($F30="",N($F30)=0,$K30=""),"",$K30/$F30)</f>
      </c>
      <c r="M30" s="218" t="n"/>
      <c r="N30" s="222">
        <f>IF($J30&lt;&gt;"SIM","",IF($M30&lt;&gt;"",$M30,IF(AND(ISNUMBER($L30),N($L30)&gt;=1),"SIM",IF($A30&lt;=DATA_GESTAO,"NÃO",""))))</f>
      </c>
      <c r="O30" s="218" t="n"/>
    </row>
    <row r="31">
      <c r="A31" s="220" t="n"/>
      <c r="B31" s="218" t="n"/>
      <c r="C31" s="218" t="n"/>
      <c r="D31" s="218" t="n"/>
      <c r="E31" s="298" t="n"/>
      <c r="F31" s="328" t="n"/>
      <c r="G31" s="218" t="n"/>
      <c r="H31" s="218" t="n"/>
      <c r="I31" s="222">
        <f>IF($D31="","",IF(COUNTIFS('05C. RESTRIÇÕES'!$B$5:$B$204,$B31,'05C. RESTRIÇÕES'!$C$5:$C$204,$D31,'05C. RESTRIÇÕES'!$H$5:$H$204,"ABERTA")&gt;0,"SIM","NÃO"))</f>
      </c>
      <c r="J31" s="218" t="n"/>
      <c r="K31" s="329">
        <f>IF(OR($D31="",$A31=""),"",SUMIFS('05B. APONTAMENTO DIÁRIO'!$F$5:$F$1004,'05B. APONTAMENTO DIÁRIO'!$B$5:$B$1004,$B31,'05B. APONTAMENTO DIÁRIO'!$C$5:$C$1004,$D31,'05B. APONTAMENTO DIÁRIO'!$G$5:$G$1004,$G31,'05B. APONTAMENTO DIÁRIO'!$A$5:$A$1004,"&gt;="&amp;($A31-4),'05B. APONTAMENTO DIÁRIO'!$A$5:$A$1004,"&lt;="&amp;$A31))</f>
      </c>
      <c r="L31" s="226">
        <f>IF(OR($F31="",N($F31)=0,$K31=""),"",$K31/$F31)</f>
      </c>
      <c r="M31" s="218" t="n"/>
      <c r="N31" s="222">
        <f>IF($J31&lt;&gt;"SIM","",IF($M31&lt;&gt;"",$M31,IF(AND(ISNUMBER($L31),N($L31)&gt;=1),"SIM",IF($A31&lt;=DATA_GESTAO,"NÃO",""))))</f>
      </c>
      <c r="O31" s="218" t="n"/>
    </row>
    <row r="32">
      <c r="A32" s="220" t="n"/>
      <c r="B32" s="218" t="n"/>
      <c r="C32" s="218" t="n"/>
      <c r="D32" s="218" t="n"/>
      <c r="E32" s="298" t="n"/>
      <c r="F32" s="328" t="n"/>
      <c r="G32" s="218" t="n"/>
      <c r="H32" s="218" t="n"/>
      <c r="I32" s="222">
        <f>IF($D32="","",IF(COUNTIFS('05C. RESTRIÇÕES'!$B$5:$B$204,$B32,'05C. RESTRIÇÕES'!$C$5:$C$204,$D32,'05C. RESTRIÇÕES'!$H$5:$H$204,"ABERTA")&gt;0,"SIM","NÃO"))</f>
      </c>
      <c r="J32" s="218" t="n"/>
      <c r="K32" s="329">
        <f>IF(OR($D32="",$A32=""),"",SUMIFS('05B. APONTAMENTO DIÁRIO'!$F$5:$F$1004,'05B. APONTAMENTO DIÁRIO'!$B$5:$B$1004,$B32,'05B. APONTAMENTO DIÁRIO'!$C$5:$C$1004,$D32,'05B. APONTAMENTO DIÁRIO'!$G$5:$G$1004,$G32,'05B. APONTAMENTO DIÁRIO'!$A$5:$A$1004,"&gt;="&amp;($A32-4),'05B. APONTAMENTO DIÁRIO'!$A$5:$A$1004,"&lt;="&amp;$A32))</f>
      </c>
      <c r="L32" s="226">
        <f>IF(OR($F32="",N($F32)=0,$K32=""),"",$K32/$F32)</f>
      </c>
      <c r="M32" s="218" t="n"/>
      <c r="N32" s="222">
        <f>IF($J32&lt;&gt;"SIM","",IF($M32&lt;&gt;"",$M32,IF(AND(ISNUMBER($L32),N($L32)&gt;=1),"SIM",IF($A32&lt;=DATA_GESTAO,"NÃO",""))))</f>
      </c>
      <c r="O32" s="218" t="n"/>
    </row>
    <row r="33">
      <c r="A33" s="220" t="n"/>
      <c r="B33" s="218" t="n"/>
      <c r="C33" s="218" t="n"/>
      <c r="D33" s="218" t="n"/>
      <c r="E33" s="298" t="n"/>
      <c r="F33" s="328" t="n"/>
      <c r="G33" s="218" t="n"/>
      <c r="H33" s="218" t="n"/>
      <c r="I33" s="222">
        <f>IF($D33="","",IF(COUNTIFS('05C. RESTRIÇÕES'!$B$5:$B$204,$B33,'05C. RESTRIÇÕES'!$C$5:$C$204,$D33,'05C. RESTRIÇÕES'!$H$5:$H$204,"ABERTA")&gt;0,"SIM","NÃO"))</f>
      </c>
      <c r="J33" s="218" t="n"/>
      <c r="K33" s="329">
        <f>IF(OR($D33="",$A33=""),"",SUMIFS('05B. APONTAMENTO DIÁRIO'!$F$5:$F$1004,'05B. APONTAMENTO DIÁRIO'!$B$5:$B$1004,$B33,'05B. APONTAMENTO DIÁRIO'!$C$5:$C$1004,$D33,'05B. APONTAMENTO DIÁRIO'!$G$5:$G$1004,$G33,'05B. APONTAMENTO DIÁRIO'!$A$5:$A$1004,"&gt;="&amp;($A33-4),'05B. APONTAMENTO DIÁRIO'!$A$5:$A$1004,"&lt;="&amp;$A33))</f>
      </c>
      <c r="L33" s="226">
        <f>IF(OR($F33="",N($F33)=0,$K33=""),"",$K33/$F33)</f>
      </c>
      <c r="M33" s="218" t="n"/>
      <c r="N33" s="222">
        <f>IF($J33&lt;&gt;"SIM","",IF($M33&lt;&gt;"",$M33,IF(AND(ISNUMBER($L33),N($L33)&gt;=1),"SIM",IF($A33&lt;=DATA_GESTAO,"NÃO",""))))</f>
      </c>
      <c r="O33" s="218" t="n"/>
    </row>
    <row r="34">
      <c r="A34" s="220" t="n"/>
      <c r="B34" s="218" t="n"/>
      <c r="C34" s="218" t="n"/>
      <c r="D34" s="218" t="n"/>
      <c r="E34" s="298" t="n"/>
      <c r="F34" s="328" t="n"/>
      <c r="G34" s="218" t="n"/>
      <c r="H34" s="218" t="n"/>
      <c r="I34" s="222">
        <f>IF($D34="","",IF(COUNTIFS('05C. RESTRIÇÕES'!$B$5:$B$204,$B34,'05C. RESTRIÇÕES'!$C$5:$C$204,$D34,'05C. RESTRIÇÕES'!$H$5:$H$204,"ABERTA")&gt;0,"SIM","NÃO"))</f>
      </c>
      <c r="J34" s="218" t="n"/>
      <c r="K34" s="329">
        <f>IF(OR($D34="",$A34=""),"",SUMIFS('05B. APONTAMENTO DIÁRIO'!$F$5:$F$1004,'05B. APONTAMENTO DIÁRIO'!$B$5:$B$1004,$B34,'05B. APONTAMENTO DIÁRIO'!$C$5:$C$1004,$D34,'05B. APONTAMENTO DIÁRIO'!$G$5:$G$1004,$G34,'05B. APONTAMENTO DIÁRIO'!$A$5:$A$1004,"&gt;="&amp;($A34-4),'05B. APONTAMENTO DIÁRIO'!$A$5:$A$1004,"&lt;="&amp;$A34))</f>
      </c>
      <c r="L34" s="226">
        <f>IF(OR($F34="",N($F34)=0,$K34=""),"",$K34/$F34)</f>
      </c>
      <c r="M34" s="218" t="n"/>
      <c r="N34" s="222">
        <f>IF($J34&lt;&gt;"SIM","",IF($M34&lt;&gt;"",$M34,IF(AND(ISNUMBER($L34),N($L34)&gt;=1),"SIM",IF($A34&lt;=DATA_GESTAO,"NÃO",""))))</f>
      </c>
      <c r="O34" s="218" t="n"/>
    </row>
    <row r="35">
      <c r="A35" s="220" t="n"/>
      <c r="B35" s="218" t="n"/>
      <c r="C35" s="218" t="n"/>
      <c r="D35" s="218" t="n"/>
      <c r="E35" s="298" t="n"/>
      <c r="F35" s="328" t="n"/>
      <c r="G35" s="218" t="n"/>
      <c r="H35" s="218" t="n"/>
      <c r="I35" s="222">
        <f>IF($D35="","",IF(COUNTIFS('05C. RESTRIÇÕES'!$B$5:$B$204,$B35,'05C. RESTRIÇÕES'!$C$5:$C$204,$D35,'05C. RESTRIÇÕES'!$H$5:$H$204,"ABERTA")&gt;0,"SIM","NÃO"))</f>
      </c>
      <c r="J35" s="218" t="n"/>
      <c r="K35" s="329">
        <f>IF(OR($D35="",$A35=""),"",SUMIFS('05B. APONTAMENTO DIÁRIO'!$F$5:$F$1004,'05B. APONTAMENTO DIÁRIO'!$B$5:$B$1004,$B35,'05B. APONTAMENTO DIÁRIO'!$C$5:$C$1004,$D35,'05B. APONTAMENTO DIÁRIO'!$G$5:$G$1004,$G35,'05B. APONTAMENTO DIÁRIO'!$A$5:$A$1004,"&gt;="&amp;($A35-4),'05B. APONTAMENTO DIÁRIO'!$A$5:$A$1004,"&lt;="&amp;$A35))</f>
      </c>
      <c r="L35" s="226">
        <f>IF(OR($F35="",N($F35)=0,$K35=""),"",$K35/$F35)</f>
      </c>
      <c r="M35" s="218" t="n"/>
      <c r="N35" s="222">
        <f>IF($J35&lt;&gt;"SIM","",IF($M35&lt;&gt;"",$M35,IF(AND(ISNUMBER($L35),N($L35)&gt;=1),"SIM",IF($A35&lt;=DATA_GESTAO,"NÃO",""))))</f>
      </c>
      <c r="O35" s="218" t="n"/>
    </row>
    <row r="36">
      <c r="A36" s="220" t="n"/>
      <c r="B36" s="218" t="n"/>
      <c r="C36" s="218" t="n"/>
      <c r="D36" s="218" t="n"/>
      <c r="E36" s="298" t="n"/>
      <c r="F36" s="328" t="n"/>
      <c r="G36" s="218" t="n"/>
      <c r="H36" s="218" t="n"/>
      <c r="I36" s="222">
        <f>IF($D36="","",IF(COUNTIFS('05C. RESTRIÇÕES'!$B$5:$B$204,$B36,'05C. RESTRIÇÕES'!$C$5:$C$204,$D36,'05C. RESTRIÇÕES'!$H$5:$H$204,"ABERTA")&gt;0,"SIM","NÃO"))</f>
      </c>
      <c r="J36" s="218" t="n"/>
      <c r="K36" s="329">
        <f>IF(OR($D36="",$A36=""),"",SUMIFS('05B. APONTAMENTO DIÁRIO'!$F$5:$F$1004,'05B. APONTAMENTO DIÁRIO'!$B$5:$B$1004,$B36,'05B. APONTAMENTO DIÁRIO'!$C$5:$C$1004,$D36,'05B. APONTAMENTO DIÁRIO'!$G$5:$G$1004,$G36,'05B. APONTAMENTO DIÁRIO'!$A$5:$A$1004,"&gt;="&amp;($A36-4),'05B. APONTAMENTO DIÁRIO'!$A$5:$A$1004,"&lt;="&amp;$A36))</f>
      </c>
      <c r="L36" s="226">
        <f>IF(OR($F36="",N($F36)=0,$K36=""),"",$K36/$F36)</f>
      </c>
      <c r="M36" s="218" t="n"/>
      <c r="N36" s="222">
        <f>IF($J36&lt;&gt;"SIM","",IF($M36&lt;&gt;"",$M36,IF(AND(ISNUMBER($L36),N($L36)&gt;=1),"SIM",IF($A36&lt;=DATA_GESTAO,"NÃO",""))))</f>
      </c>
      <c r="O36" s="218" t="n"/>
    </row>
    <row r="37">
      <c r="A37" s="220" t="n"/>
      <c r="B37" s="218" t="n"/>
      <c r="C37" s="218" t="n"/>
      <c r="D37" s="218" t="n"/>
      <c r="E37" s="298" t="n"/>
      <c r="F37" s="328" t="n"/>
      <c r="G37" s="218" t="n"/>
      <c r="H37" s="218" t="n"/>
      <c r="I37" s="222">
        <f>IF($D37="","",IF(COUNTIFS('05C. RESTRIÇÕES'!$B$5:$B$204,$B37,'05C. RESTRIÇÕES'!$C$5:$C$204,$D37,'05C. RESTRIÇÕES'!$H$5:$H$204,"ABERTA")&gt;0,"SIM","NÃO"))</f>
      </c>
      <c r="J37" s="218" t="n"/>
      <c r="K37" s="329">
        <f>IF(OR($D37="",$A37=""),"",SUMIFS('05B. APONTAMENTO DIÁRIO'!$F$5:$F$1004,'05B. APONTAMENTO DIÁRIO'!$B$5:$B$1004,$B37,'05B. APONTAMENTO DIÁRIO'!$C$5:$C$1004,$D37,'05B. APONTAMENTO DIÁRIO'!$G$5:$G$1004,$G37,'05B. APONTAMENTO DIÁRIO'!$A$5:$A$1004,"&gt;="&amp;($A37-4),'05B. APONTAMENTO DIÁRIO'!$A$5:$A$1004,"&lt;="&amp;$A37))</f>
      </c>
      <c r="L37" s="226">
        <f>IF(OR($F37="",N($F37)=0,$K37=""),"",$K37/$F37)</f>
      </c>
      <c r="M37" s="218" t="n"/>
      <c r="N37" s="222">
        <f>IF($J37&lt;&gt;"SIM","",IF($M37&lt;&gt;"",$M37,IF(AND(ISNUMBER($L37),N($L37)&gt;=1),"SIM",IF($A37&lt;=DATA_GESTAO,"NÃO",""))))</f>
      </c>
      <c r="O37" s="218" t="n"/>
    </row>
    <row r="38">
      <c r="A38" s="220" t="n"/>
      <c r="B38" s="218" t="n"/>
      <c r="C38" s="218" t="n"/>
      <c r="D38" s="218" t="n"/>
      <c r="E38" s="298" t="n"/>
      <c r="F38" s="328" t="n"/>
      <c r="G38" s="218" t="n"/>
      <c r="H38" s="218" t="n"/>
      <c r="I38" s="222">
        <f>IF($D38="","",IF(COUNTIFS('05C. RESTRIÇÕES'!$B$5:$B$204,$B38,'05C. RESTRIÇÕES'!$C$5:$C$204,$D38,'05C. RESTRIÇÕES'!$H$5:$H$204,"ABERTA")&gt;0,"SIM","NÃO"))</f>
      </c>
      <c r="J38" s="218" t="n"/>
      <c r="K38" s="329">
        <f>IF(OR($D38="",$A38=""),"",SUMIFS('05B. APONTAMENTO DIÁRIO'!$F$5:$F$1004,'05B. APONTAMENTO DIÁRIO'!$B$5:$B$1004,$B38,'05B. APONTAMENTO DIÁRIO'!$C$5:$C$1004,$D38,'05B. APONTAMENTO DIÁRIO'!$G$5:$G$1004,$G38,'05B. APONTAMENTO DIÁRIO'!$A$5:$A$1004,"&gt;="&amp;($A38-4),'05B. APONTAMENTO DIÁRIO'!$A$5:$A$1004,"&lt;="&amp;$A38))</f>
      </c>
      <c r="L38" s="226">
        <f>IF(OR($F38="",N($F38)=0,$K38=""),"",$K38/$F38)</f>
      </c>
      <c r="M38" s="218" t="n"/>
      <c r="N38" s="222">
        <f>IF($J38&lt;&gt;"SIM","",IF($M38&lt;&gt;"",$M38,IF(AND(ISNUMBER($L38),N($L38)&gt;=1),"SIM",IF($A38&lt;=DATA_GESTAO,"NÃO",""))))</f>
      </c>
      <c r="O38" s="218" t="n"/>
    </row>
    <row r="39">
      <c r="A39" s="220" t="n"/>
      <c r="B39" s="218" t="n"/>
      <c r="C39" s="218" t="n"/>
      <c r="D39" s="218" t="n"/>
      <c r="E39" s="298" t="n"/>
      <c r="F39" s="328" t="n"/>
      <c r="G39" s="218" t="n"/>
      <c r="H39" s="218" t="n"/>
      <c r="I39" s="222">
        <f>IF($D39="","",IF(COUNTIFS('05C. RESTRIÇÕES'!$B$5:$B$204,$B39,'05C. RESTRIÇÕES'!$C$5:$C$204,$D39,'05C. RESTRIÇÕES'!$H$5:$H$204,"ABERTA")&gt;0,"SIM","NÃO"))</f>
      </c>
      <c r="J39" s="218" t="n"/>
      <c r="K39" s="329">
        <f>IF(OR($D39="",$A39=""),"",SUMIFS('05B. APONTAMENTO DIÁRIO'!$F$5:$F$1004,'05B. APONTAMENTO DIÁRIO'!$B$5:$B$1004,$B39,'05B. APONTAMENTO DIÁRIO'!$C$5:$C$1004,$D39,'05B. APONTAMENTO DIÁRIO'!$G$5:$G$1004,$G39,'05B. APONTAMENTO DIÁRIO'!$A$5:$A$1004,"&gt;="&amp;($A39-4),'05B. APONTAMENTO DIÁRIO'!$A$5:$A$1004,"&lt;="&amp;$A39))</f>
      </c>
      <c r="L39" s="226">
        <f>IF(OR($F39="",N($F39)=0,$K39=""),"",$K39/$F39)</f>
      </c>
      <c r="M39" s="218" t="n"/>
      <c r="N39" s="222">
        <f>IF($J39&lt;&gt;"SIM","",IF($M39&lt;&gt;"",$M39,IF(AND(ISNUMBER($L39),N($L39)&gt;=1),"SIM",IF($A39&lt;=DATA_GESTAO,"NÃO",""))))</f>
      </c>
      <c r="O39" s="218" t="n"/>
    </row>
    <row r="40">
      <c r="A40" s="220" t="n"/>
      <c r="B40" s="218" t="n"/>
      <c r="C40" s="218" t="n"/>
      <c r="D40" s="218" t="n"/>
      <c r="E40" s="298" t="n"/>
      <c r="F40" s="328" t="n"/>
      <c r="G40" s="218" t="n"/>
      <c r="H40" s="218" t="n"/>
      <c r="I40" s="222">
        <f>IF($D40="","",IF(COUNTIFS('05C. RESTRIÇÕES'!$B$5:$B$204,$B40,'05C. RESTRIÇÕES'!$C$5:$C$204,$D40,'05C. RESTRIÇÕES'!$H$5:$H$204,"ABERTA")&gt;0,"SIM","NÃO"))</f>
      </c>
      <c r="J40" s="218" t="n"/>
      <c r="K40" s="329">
        <f>IF(OR($D40="",$A40=""),"",SUMIFS('05B. APONTAMENTO DIÁRIO'!$F$5:$F$1004,'05B. APONTAMENTO DIÁRIO'!$B$5:$B$1004,$B40,'05B. APONTAMENTO DIÁRIO'!$C$5:$C$1004,$D40,'05B. APONTAMENTO DIÁRIO'!$G$5:$G$1004,$G40,'05B. APONTAMENTO DIÁRIO'!$A$5:$A$1004,"&gt;="&amp;($A40-4),'05B. APONTAMENTO DIÁRIO'!$A$5:$A$1004,"&lt;="&amp;$A40))</f>
      </c>
      <c r="L40" s="226">
        <f>IF(OR($F40="",N($F40)=0,$K40=""),"",$K40/$F40)</f>
      </c>
      <c r="M40" s="218" t="n"/>
      <c r="N40" s="222">
        <f>IF($J40&lt;&gt;"SIM","",IF($M40&lt;&gt;"",$M40,IF(AND(ISNUMBER($L40),N($L40)&gt;=1),"SIM",IF($A40&lt;=DATA_GESTAO,"NÃO",""))))</f>
      </c>
      <c r="O40" s="218" t="n"/>
    </row>
    <row r="41">
      <c r="A41" s="220" t="n"/>
      <c r="B41" s="218" t="n"/>
      <c r="C41" s="218" t="n"/>
      <c r="D41" s="218" t="n"/>
      <c r="E41" s="298" t="n"/>
      <c r="F41" s="328" t="n"/>
      <c r="G41" s="218" t="n"/>
      <c r="H41" s="218" t="n"/>
      <c r="I41" s="222">
        <f>IF($D41="","",IF(COUNTIFS('05C. RESTRIÇÕES'!$B$5:$B$204,$B41,'05C. RESTRIÇÕES'!$C$5:$C$204,$D41,'05C. RESTRIÇÕES'!$H$5:$H$204,"ABERTA")&gt;0,"SIM","NÃO"))</f>
      </c>
      <c r="J41" s="218" t="n"/>
      <c r="K41" s="329">
        <f>IF(OR($D41="",$A41=""),"",SUMIFS('05B. APONTAMENTO DIÁRIO'!$F$5:$F$1004,'05B. APONTAMENTO DIÁRIO'!$B$5:$B$1004,$B41,'05B. APONTAMENTO DIÁRIO'!$C$5:$C$1004,$D41,'05B. APONTAMENTO DIÁRIO'!$G$5:$G$1004,$G41,'05B. APONTAMENTO DIÁRIO'!$A$5:$A$1004,"&gt;="&amp;($A41-4),'05B. APONTAMENTO DIÁRIO'!$A$5:$A$1004,"&lt;="&amp;$A41))</f>
      </c>
      <c r="L41" s="226">
        <f>IF(OR($F41="",N($F41)=0,$K41=""),"",$K41/$F41)</f>
      </c>
      <c r="M41" s="218" t="n"/>
      <c r="N41" s="222">
        <f>IF($J41&lt;&gt;"SIM","",IF($M41&lt;&gt;"",$M41,IF(AND(ISNUMBER($L41),N($L41)&gt;=1),"SIM",IF($A41&lt;=DATA_GESTAO,"NÃO",""))))</f>
      </c>
      <c r="O41" s="218" t="n"/>
    </row>
    <row r="42">
      <c r="A42" s="220" t="n"/>
      <c r="B42" s="218" t="n"/>
      <c r="C42" s="218" t="n"/>
      <c r="D42" s="218" t="n"/>
      <c r="E42" s="298" t="n"/>
      <c r="F42" s="328" t="n"/>
      <c r="G42" s="218" t="n"/>
      <c r="H42" s="218" t="n"/>
      <c r="I42" s="222">
        <f>IF($D42="","",IF(COUNTIFS('05C. RESTRIÇÕES'!$B$5:$B$204,$B42,'05C. RESTRIÇÕES'!$C$5:$C$204,$D42,'05C. RESTRIÇÕES'!$H$5:$H$204,"ABERTA")&gt;0,"SIM","NÃO"))</f>
      </c>
      <c r="J42" s="218" t="n"/>
      <c r="K42" s="329">
        <f>IF(OR($D42="",$A42=""),"",SUMIFS('05B. APONTAMENTO DIÁRIO'!$F$5:$F$1004,'05B. APONTAMENTO DIÁRIO'!$B$5:$B$1004,$B42,'05B. APONTAMENTO DIÁRIO'!$C$5:$C$1004,$D42,'05B. APONTAMENTO DIÁRIO'!$G$5:$G$1004,$G42,'05B. APONTAMENTO DIÁRIO'!$A$5:$A$1004,"&gt;="&amp;($A42-4),'05B. APONTAMENTO DIÁRIO'!$A$5:$A$1004,"&lt;="&amp;$A42))</f>
      </c>
      <c r="L42" s="226">
        <f>IF(OR($F42="",N($F42)=0,$K42=""),"",$K42/$F42)</f>
      </c>
      <c r="M42" s="218" t="n"/>
      <c r="N42" s="222">
        <f>IF($J42&lt;&gt;"SIM","",IF($M42&lt;&gt;"",$M42,IF(AND(ISNUMBER($L42),N($L42)&gt;=1),"SIM",IF($A42&lt;=DATA_GESTAO,"NÃO",""))))</f>
      </c>
      <c r="O42" s="218" t="n"/>
    </row>
    <row r="43">
      <c r="A43" s="220" t="n"/>
      <c r="B43" s="218" t="n"/>
      <c r="C43" s="218" t="n"/>
      <c r="D43" s="218" t="n"/>
      <c r="E43" s="298" t="n"/>
      <c r="F43" s="328" t="n"/>
      <c r="G43" s="218" t="n"/>
      <c r="H43" s="218" t="n"/>
      <c r="I43" s="222">
        <f>IF($D43="","",IF(COUNTIFS('05C. RESTRIÇÕES'!$B$5:$B$204,$B43,'05C. RESTRIÇÕES'!$C$5:$C$204,$D43,'05C. RESTRIÇÕES'!$H$5:$H$204,"ABERTA")&gt;0,"SIM","NÃO"))</f>
      </c>
      <c r="J43" s="218" t="n"/>
      <c r="K43" s="329">
        <f>IF(OR($D43="",$A43=""),"",SUMIFS('05B. APONTAMENTO DIÁRIO'!$F$5:$F$1004,'05B. APONTAMENTO DIÁRIO'!$B$5:$B$1004,$B43,'05B. APONTAMENTO DIÁRIO'!$C$5:$C$1004,$D43,'05B. APONTAMENTO DIÁRIO'!$G$5:$G$1004,$G43,'05B. APONTAMENTO DIÁRIO'!$A$5:$A$1004,"&gt;="&amp;($A43-4),'05B. APONTAMENTO DIÁRIO'!$A$5:$A$1004,"&lt;="&amp;$A43))</f>
      </c>
      <c r="L43" s="226">
        <f>IF(OR($F43="",N($F43)=0,$K43=""),"",$K43/$F43)</f>
      </c>
      <c r="M43" s="218" t="n"/>
      <c r="N43" s="222">
        <f>IF($J43&lt;&gt;"SIM","",IF($M43&lt;&gt;"",$M43,IF(AND(ISNUMBER($L43),N($L43)&gt;=1),"SIM",IF($A43&lt;=DATA_GESTAO,"NÃO",""))))</f>
      </c>
      <c r="O43" s="218" t="n"/>
    </row>
    <row r="44">
      <c r="A44" s="220" t="n"/>
      <c r="B44" s="218" t="n"/>
      <c r="C44" s="218" t="n"/>
      <c r="D44" s="218" t="n"/>
      <c r="E44" s="298" t="n"/>
      <c r="F44" s="328" t="n"/>
      <c r="G44" s="218" t="n"/>
      <c r="H44" s="218" t="n"/>
      <c r="I44" s="222">
        <f>IF($D44="","",IF(COUNTIFS('05C. RESTRIÇÕES'!$B$5:$B$204,$B44,'05C. RESTRIÇÕES'!$C$5:$C$204,$D44,'05C. RESTRIÇÕES'!$H$5:$H$204,"ABERTA")&gt;0,"SIM","NÃO"))</f>
      </c>
      <c r="J44" s="218" t="n"/>
      <c r="K44" s="329">
        <f>IF(OR($D44="",$A44=""),"",SUMIFS('05B. APONTAMENTO DIÁRIO'!$F$5:$F$1004,'05B. APONTAMENTO DIÁRIO'!$B$5:$B$1004,$B44,'05B. APONTAMENTO DIÁRIO'!$C$5:$C$1004,$D44,'05B. APONTAMENTO DIÁRIO'!$G$5:$G$1004,$G44,'05B. APONTAMENTO DIÁRIO'!$A$5:$A$1004,"&gt;="&amp;($A44-4),'05B. APONTAMENTO DIÁRIO'!$A$5:$A$1004,"&lt;="&amp;$A44))</f>
      </c>
      <c r="L44" s="226">
        <f>IF(OR($F44="",N($F44)=0,$K44=""),"",$K44/$F44)</f>
      </c>
      <c r="M44" s="218" t="n"/>
      <c r="N44" s="222">
        <f>IF($J44&lt;&gt;"SIM","",IF($M44&lt;&gt;"",$M44,IF(AND(ISNUMBER($L44),N($L44)&gt;=1),"SIM",IF($A44&lt;=DATA_GESTAO,"NÃO",""))))</f>
      </c>
      <c r="O44" s="218" t="n"/>
    </row>
    <row r="45">
      <c r="A45" s="220" t="n"/>
      <c r="B45" s="218" t="n"/>
      <c r="C45" s="218" t="n"/>
      <c r="D45" s="218" t="n"/>
      <c r="E45" s="298" t="n"/>
      <c r="F45" s="328" t="n"/>
      <c r="G45" s="218" t="n"/>
      <c r="H45" s="218" t="n"/>
      <c r="I45" s="222">
        <f>IF($D45="","",IF(COUNTIFS('05C. RESTRIÇÕES'!$B$5:$B$204,$B45,'05C. RESTRIÇÕES'!$C$5:$C$204,$D45,'05C. RESTRIÇÕES'!$H$5:$H$204,"ABERTA")&gt;0,"SIM","NÃO"))</f>
      </c>
      <c r="J45" s="218" t="n"/>
      <c r="K45" s="329">
        <f>IF(OR($D45="",$A45=""),"",SUMIFS('05B. APONTAMENTO DIÁRIO'!$F$5:$F$1004,'05B. APONTAMENTO DIÁRIO'!$B$5:$B$1004,$B45,'05B. APONTAMENTO DIÁRIO'!$C$5:$C$1004,$D45,'05B. APONTAMENTO DIÁRIO'!$G$5:$G$1004,$G45,'05B. APONTAMENTO DIÁRIO'!$A$5:$A$1004,"&gt;="&amp;($A45-4),'05B. APONTAMENTO DIÁRIO'!$A$5:$A$1004,"&lt;="&amp;$A45))</f>
      </c>
      <c r="L45" s="226">
        <f>IF(OR($F45="",N($F45)=0,$K45=""),"",$K45/$F45)</f>
      </c>
      <c r="M45" s="218" t="n"/>
      <c r="N45" s="222">
        <f>IF($J45&lt;&gt;"SIM","",IF($M45&lt;&gt;"",$M45,IF(AND(ISNUMBER($L45),N($L45)&gt;=1),"SIM",IF($A45&lt;=DATA_GESTAO,"NÃO",""))))</f>
      </c>
      <c r="O45" s="218" t="n"/>
    </row>
    <row r="46">
      <c r="A46" s="220" t="n"/>
      <c r="B46" s="218" t="n"/>
      <c r="C46" s="218" t="n"/>
      <c r="D46" s="218" t="n"/>
      <c r="E46" s="298" t="n"/>
      <c r="F46" s="328" t="n"/>
      <c r="G46" s="218" t="n"/>
      <c r="H46" s="218" t="n"/>
      <c r="I46" s="222">
        <f>IF($D46="","",IF(COUNTIFS('05C. RESTRIÇÕES'!$B$5:$B$204,$B46,'05C. RESTRIÇÕES'!$C$5:$C$204,$D46,'05C. RESTRIÇÕES'!$H$5:$H$204,"ABERTA")&gt;0,"SIM","NÃO"))</f>
      </c>
      <c r="J46" s="218" t="n"/>
      <c r="K46" s="329">
        <f>IF(OR($D46="",$A46=""),"",SUMIFS('05B. APONTAMENTO DIÁRIO'!$F$5:$F$1004,'05B. APONTAMENTO DIÁRIO'!$B$5:$B$1004,$B46,'05B. APONTAMENTO DIÁRIO'!$C$5:$C$1004,$D46,'05B. APONTAMENTO DIÁRIO'!$G$5:$G$1004,$G46,'05B. APONTAMENTO DIÁRIO'!$A$5:$A$1004,"&gt;="&amp;($A46-4),'05B. APONTAMENTO DIÁRIO'!$A$5:$A$1004,"&lt;="&amp;$A46))</f>
      </c>
      <c r="L46" s="226">
        <f>IF(OR($F46="",N($F46)=0,$K46=""),"",$K46/$F46)</f>
      </c>
      <c r="M46" s="218" t="n"/>
      <c r="N46" s="222">
        <f>IF($J46&lt;&gt;"SIM","",IF($M46&lt;&gt;"",$M46,IF(AND(ISNUMBER($L46),N($L46)&gt;=1),"SIM",IF($A46&lt;=DATA_GESTAO,"NÃO",""))))</f>
      </c>
      <c r="O46" s="218" t="n"/>
    </row>
    <row r="47">
      <c r="A47" s="220" t="n"/>
      <c r="B47" s="218" t="n"/>
      <c r="C47" s="218" t="n"/>
      <c r="D47" s="218" t="n"/>
      <c r="E47" s="298" t="n"/>
      <c r="F47" s="328" t="n"/>
      <c r="G47" s="218" t="n"/>
      <c r="H47" s="218" t="n"/>
      <c r="I47" s="222">
        <f>IF($D47="","",IF(COUNTIFS('05C. RESTRIÇÕES'!$B$5:$B$204,$B47,'05C. RESTRIÇÕES'!$C$5:$C$204,$D47,'05C. RESTRIÇÕES'!$H$5:$H$204,"ABERTA")&gt;0,"SIM","NÃO"))</f>
      </c>
      <c r="J47" s="218" t="n"/>
      <c r="K47" s="329">
        <f>IF(OR($D47="",$A47=""),"",SUMIFS('05B. APONTAMENTO DIÁRIO'!$F$5:$F$1004,'05B. APONTAMENTO DIÁRIO'!$B$5:$B$1004,$B47,'05B. APONTAMENTO DIÁRIO'!$C$5:$C$1004,$D47,'05B. APONTAMENTO DIÁRIO'!$G$5:$G$1004,$G47,'05B. APONTAMENTO DIÁRIO'!$A$5:$A$1004,"&gt;="&amp;($A47-4),'05B. APONTAMENTO DIÁRIO'!$A$5:$A$1004,"&lt;="&amp;$A47))</f>
      </c>
      <c r="L47" s="226">
        <f>IF(OR($F47="",N($F47)=0,$K47=""),"",$K47/$F47)</f>
      </c>
      <c r="M47" s="218" t="n"/>
      <c r="N47" s="222">
        <f>IF($J47&lt;&gt;"SIM","",IF($M47&lt;&gt;"",$M47,IF(AND(ISNUMBER($L47),N($L47)&gt;=1),"SIM",IF($A47&lt;=DATA_GESTAO,"NÃO",""))))</f>
      </c>
      <c r="O47" s="218" t="n"/>
    </row>
    <row r="48">
      <c r="A48" s="220" t="n"/>
      <c r="B48" s="218" t="n"/>
      <c r="C48" s="218" t="n"/>
      <c r="D48" s="218" t="n"/>
      <c r="E48" s="298" t="n"/>
      <c r="F48" s="328" t="n"/>
      <c r="G48" s="218" t="n"/>
      <c r="H48" s="218" t="n"/>
      <c r="I48" s="222">
        <f>IF($D48="","",IF(COUNTIFS('05C. RESTRIÇÕES'!$B$5:$B$204,$B48,'05C. RESTRIÇÕES'!$C$5:$C$204,$D48,'05C. RESTRIÇÕES'!$H$5:$H$204,"ABERTA")&gt;0,"SIM","NÃO"))</f>
      </c>
      <c r="J48" s="218" t="n"/>
      <c r="K48" s="329">
        <f>IF(OR($D48="",$A48=""),"",SUMIFS('05B. APONTAMENTO DIÁRIO'!$F$5:$F$1004,'05B. APONTAMENTO DIÁRIO'!$B$5:$B$1004,$B48,'05B. APONTAMENTO DIÁRIO'!$C$5:$C$1004,$D48,'05B. APONTAMENTO DIÁRIO'!$G$5:$G$1004,$G48,'05B. APONTAMENTO DIÁRIO'!$A$5:$A$1004,"&gt;="&amp;($A48-4),'05B. APONTAMENTO DIÁRIO'!$A$5:$A$1004,"&lt;="&amp;$A48))</f>
      </c>
      <c r="L48" s="226">
        <f>IF(OR($F48="",N($F48)=0,$K48=""),"",$K48/$F48)</f>
      </c>
      <c r="M48" s="218" t="n"/>
      <c r="N48" s="222">
        <f>IF($J48&lt;&gt;"SIM","",IF($M48&lt;&gt;"",$M48,IF(AND(ISNUMBER($L48),N($L48)&gt;=1),"SIM",IF($A48&lt;=DATA_GESTAO,"NÃO",""))))</f>
      </c>
      <c r="O48" s="218" t="n"/>
    </row>
    <row r="49">
      <c r="A49" s="220" t="n"/>
      <c r="B49" s="218" t="n"/>
      <c r="C49" s="218" t="n"/>
      <c r="D49" s="218" t="n"/>
      <c r="E49" s="298" t="n"/>
      <c r="F49" s="328" t="n"/>
      <c r="G49" s="218" t="n"/>
      <c r="H49" s="218" t="n"/>
      <c r="I49" s="222">
        <f>IF($D49="","",IF(COUNTIFS('05C. RESTRIÇÕES'!$B$5:$B$204,$B49,'05C. RESTRIÇÕES'!$C$5:$C$204,$D49,'05C. RESTRIÇÕES'!$H$5:$H$204,"ABERTA")&gt;0,"SIM","NÃO"))</f>
      </c>
      <c r="J49" s="218" t="n"/>
      <c r="K49" s="329">
        <f>IF(OR($D49="",$A49=""),"",SUMIFS('05B. APONTAMENTO DIÁRIO'!$F$5:$F$1004,'05B. APONTAMENTO DIÁRIO'!$B$5:$B$1004,$B49,'05B. APONTAMENTO DIÁRIO'!$C$5:$C$1004,$D49,'05B. APONTAMENTO DIÁRIO'!$G$5:$G$1004,$G49,'05B. APONTAMENTO DIÁRIO'!$A$5:$A$1004,"&gt;="&amp;($A49-4),'05B. APONTAMENTO DIÁRIO'!$A$5:$A$1004,"&lt;="&amp;$A49))</f>
      </c>
      <c r="L49" s="226">
        <f>IF(OR($F49="",N($F49)=0,$K49=""),"",$K49/$F49)</f>
      </c>
      <c r="M49" s="218" t="n"/>
      <c r="N49" s="222">
        <f>IF($J49&lt;&gt;"SIM","",IF($M49&lt;&gt;"",$M49,IF(AND(ISNUMBER($L49),N($L49)&gt;=1),"SIM",IF($A49&lt;=DATA_GESTAO,"NÃO",""))))</f>
      </c>
      <c r="O49" s="218" t="n"/>
    </row>
    <row r="50">
      <c r="A50" s="220" t="n"/>
      <c r="B50" s="218" t="n"/>
      <c r="C50" s="218" t="n"/>
      <c r="D50" s="218" t="n"/>
      <c r="E50" s="298" t="n"/>
      <c r="F50" s="328" t="n"/>
      <c r="G50" s="218" t="n"/>
      <c r="H50" s="218" t="n"/>
      <c r="I50" s="222">
        <f>IF($D50="","",IF(COUNTIFS('05C. RESTRIÇÕES'!$B$5:$B$204,$B50,'05C. RESTRIÇÕES'!$C$5:$C$204,$D50,'05C. RESTRIÇÕES'!$H$5:$H$204,"ABERTA")&gt;0,"SIM","NÃO"))</f>
      </c>
      <c r="J50" s="218" t="n"/>
      <c r="K50" s="329">
        <f>IF(OR($D50="",$A50=""),"",SUMIFS('05B. APONTAMENTO DIÁRIO'!$F$5:$F$1004,'05B. APONTAMENTO DIÁRIO'!$B$5:$B$1004,$B50,'05B. APONTAMENTO DIÁRIO'!$C$5:$C$1004,$D50,'05B. APONTAMENTO DIÁRIO'!$G$5:$G$1004,$G50,'05B. APONTAMENTO DIÁRIO'!$A$5:$A$1004,"&gt;="&amp;($A50-4),'05B. APONTAMENTO DIÁRIO'!$A$5:$A$1004,"&lt;="&amp;$A50))</f>
      </c>
      <c r="L50" s="226">
        <f>IF(OR($F50="",N($F50)=0,$K50=""),"",$K50/$F50)</f>
      </c>
      <c r="M50" s="218" t="n"/>
      <c r="N50" s="222">
        <f>IF($J50&lt;&gt;"SIM","",IF($M50&lt;&gt;"",$M50,IF(AND(ISNUMBER($L50),N($L50)&gt;=1),"SIM",IF($A50&lt;=DATA_GESTAO,"NÃO",""))))</f>
      </c>
      <c r="O50" s="218" t="n"/>
    </row>
    <row r="51">
      <c r="A51" s="220" t="n"/>
      <c r="B51" s="218" t="n"/>
      <c r="C51" s="218" t="n"/>
      <c r="D51" s="218" t="n"/>
      <c r="E51" s="298" t="n"/>
      <c r="F51" s="328" t="n"/>
      <c r="G51" s="218" t="n"/>
      <c r="H51" s="218" t="n"/>
      <c r="I51" s="222">
        <f>IF($D51="","",IF(COUNTIFS('05C. RESTRIÇÕES'!$B$5:$B$204,$B51,'05C. RESTRIÇÕES'!$C$5:$C$204,$D51,'05C. RESTRIÇÕES'!$H$5:$H$204,"ABERTA")&gt;0,"SIM","NÃO"))</f>
      </c>
      <c r="J51" s="218" t="n"/>
      <c r="K51" s="329">
        <f>IF(OR($D51="",$A51=""),"",SUMIFS('05B. APONTAMENTO DIÁRIO'!$F$5:$F$1004,'05B. APONTAMENTO DIÁRIO'!$B$5:$B$1004,$B51,'05B. APONTAMENTO DIÁRIO'!$C$5:$C$1004,$D51,'05B. APONTAMENTO DIÁRIO'!$G$5:$G$1004,$G51,'05B. APONTAMENTO DIÁRIO'!$A$5:$A$1004,"&gt;="&amp;($A51-4),'05B. APONTAMENTO DIÁRIO'!$A$5:$A$1004,"&lt;="&amp;$A51))</f>
      </c>
      <c r="L51" s="226">
        <f>IF(OR($F51="",N($F51)=0,$K51=""),"",$K51/$F51)</f>
      </c>
      <c r="M51" s="218" t="n"/>
      <c r="N51" s="222">
        <f>IF($J51&lt;&gt;"SIM","",IF($M51&lt;&gt;"",$M51,IF(AND(ISNUMBER($L51),N($L51)&gt;=1),"SIM",IF($A51&lt;=DATA_GESTAO,"NÃO",""))))</f>
      </c>
      <c r="O51" s="218" t="n"/>
    </row>
    <row r="52">
      <c r="A52" s="220" t="n"/>
      <c r="B52" s="218" t="n"/>
      <c r="C52" s="218" t="n"/>
      <c r="D52" s="218" t="n"/>
      <c r="E52" s="298" t="n"/>
      <c r="F52" s="328" t="n"/>
      <c r="G52" s="218" t="n"/>
      <c r="H52" s="218" t="n"/>
      <c r="I52" s="222">
        <f>IF($D52="","",IF(COUNTIFS('05C. RESTRIÇÕES'!$B$5:$B$204,$B52,'05C. RESTRIÇÕES'!$C$5:$C$204,$D52,'05C. RESTRIÇÕES'!$H$5:$H$204,"ABERTA")&gt;0,"SIM","NÃO"))</f>
      </c>
      <c r="J52" s="218" t="n"/>
      <c r="K52" s="329">
        <f>IF(OR($D52="",$A52=""),"",SUMIFS('05B. APONTAMENTO DIÁRIO'!$F$5:$F$1004,'05B. APONTAMENTO DIÁRIO'!$B$5:$B$1004,$B52,'05B. APONTAMENTO DIÁRIO'!$C$5:$C$1004,$D52,'05B. APONTAMENTO DIÁRIO'!$G$5:$G$1004,$G52,'05B. APONTAMENTO DIÁRIO'!$A$5:$A$1004,"&gt;="&amp;($A52-4),'05B. APONTAMENTO DIÁRIO'!$A$5:$A$1004,"&lt;="&amp;$A52))</f>
      </c>
      <c r="L52" s="226">
        <f>IF(OR($F52="",N($F52)=0,$K52=""),"",$K52/$F52)</f>
      </c>
      <c r="M52" s="218" t="n"/>
      <c r="N52" s="222">
        <f>IF($J52&lt;&gt;"SIM","",IF($M52&lt;&gt;"",$M52,IF(AND(ISNUMBER($L52),N($L52)&gt;=1),"SIM",IF($A52&lt;=DATA_GESTAO,"NÃO",""))))</f>
      </c>
      <c r="O52" s="218" t="n"/>
    </row>
    <row r="53">
      <c r="A53" s="220" t="n"/>
      <c r="B53" s="218" t="n"/>
      <c r="C53" s="218" t="n"/>
      <c r="D53" s="218" t="n"/>
      <c r="E53" s="298" t="n"/>
      <c r="F53" s="328" t="n"/>
      <c r="G53" s="218" t="n"/>
      <c r="H53" s="218" t="n"/>
      <c r="I53" s="222">
        <f>IF($D53="","",IF(COUNTIFS('05C. RESTRIÇÕES'!$B$5:$B$204,$B53,'05C. RESTRIÇÕES'!$C$5:$C$204,$D53,'05C. RESTRIÇÕES'!$H$5:$H$204,"ABERTA")&gt;0,"SIM","NÃO"))</f>
      </c>
      <c r="J53" s="218" t="n"/>
      <c r="K53" s="329">
        <f>IF(OR($D53="",$A53=""),"",SUMIFS('05B. APONTAMENTO DIÁRIO'!$F$5:$F$1004,'05B. APONTAMENTO DIÁRIO'!$B$5:$B$1004,$B53,'05B. APONTAMENTO DIÁRIO'!$C$5:$C$1004,$D53,'05B. APONTAMENTO DIÁRIO'!$G$5:$G$1004,$G53,'05B. APONTAMENTO DIÁRIO'!$A$5:$A$1004,"&gt;="&amp;($A53-4),'05B. APONTAMENTO DIÁRIO'!$A$5:$A$1004,"&lt;="&amp;$A53))</f>
      </c>
      <c r="L53" s="226">
        <f>IF(OR($F53="",N($F53)=0,$K53=""),"",$K53/$F53)</f>
      </c>
      <c r="M53" s="218" t="n"/>
      <c r="N53" s="222">
        <f>IF($J53&lt;&gt;"SIM","",IF($M53&lt;&gt;"",$M53,IF(AND(ISNUMBER($L53),N($L53)&gt;=1),"SIM",IF($A53&lt;=DATA_GESTAO,"NÃO",""))))</f>
      </c>
      <c r="O53" s="218" t="n"/>
    </row>
    <row r="54">
      <c r="A54" s="220" t="n"/>
      <c r="B54" s="218" t="n"/>
      <c r="C54" s="218" t="n"/>
      <c r="D54" s="218" t="n"/>
      <c r="E54" s="298" t="n"/>
      <c r="F54" s="328" t="n"/>
      <c r="G54" s="218" t="n"/>
      <c r="H54" s="218" t="n"/>
      <c r="I54" s="222">
        <f>IF($D54="","",IF(COUNTIFS('05C. RESTRIÇÕES'!$B$5:$B$204,$B54,'05C. RESTRIÇÕES'!$C$5:$C$204,$D54,'05C. RESTRIÇÕES'!$H$5:$H$204,"ABERTA")&gt;0,"SIM","NÃO"))</f>
      </c>
      <c r="J54" s="218" t="n"/>
      <c r="K54" s="329">
        <f>IF(OR($D54="",$A54=""),"",SUMIFS('05B. APONTAMENTO DIÁRIO'!$F$5:$F$1004,'05B. APONTAMENTO DIÁRIO'!$B$5:$B$1004,$B54,'05B. APONTAMENTO DIÁRIO'!$C$5:$C$1004,$D54,'05B. APONTAMENTO DIÁRIO'!$G$5:$G$1004,$G54,'05B. APONTAMENTO DIÁRIO'!$A$5:$A$1004,"&gt;="&amp;($A54-4),'05B. APONTAMENTO DIÁRIO'!$A$5:$A$1004,"&lt;="&amp;$A54))</f>
      </c>
      <c r="L54" s="226">
        <f>IF(OR($F54="",N($F54)=0,$K54=""),"",$K54/$F54)</f>
      </c>
      <c r="M54" s="218" t="n"/>
      <c r="N54" s="222">
        <f>IF($J54&lt;&gt;"SIM","",IF($M54&lt;&gt;"",$M54,IF(AND(ISNUMBER($L54),N($L54)&gt;=1),"SIM",IF($A54&lt;=DATA_GESTAO,"NÃO",""))))</f>
      </c>
      <c r="O54" s="218" t="n"/>
    </row>
    <row r="55">
      <c r="A55" s="220" t="n"/>
      <c r="B55" s="218" t="n"/>
      <c r="C55" s="218" t="n"/>
      <c r="D55" s="218" t="n"/>
      <c r="E55" s="298" t="n"/>
      <c r="F55" s="328" t="n"/>
      <c r="G55" s="218" t="n"/>
      <c r="H55" s="218" t="n"/>
      <c r="I55" s="222">
        <f>IF($D55="","",IF(COUNTIFS('05C. RESTRIÇÕES'!$B$5:$B$204,$B55,'05C. RESTRIÇÕES'!$C$5:$C$204,$D55,'05C. RESTRIÇÕES'!$H$5:$H$204,"ABERTA")&gt;0,"SIM","NÃO"))</f>
      </c>
      <c r="J55" s="218" t="n"/>
      <c r="K55" s="329">
        <f>IF(OR($D55="",$A55=""),"",SUMIFS('05B. APONTAMENTO DIÁRIO'!$F$5:$F$1004,'05B. APONTAMENTO DIÁRIO'!$B$5:$B$1004,$B55,'05B. APONTAMENTO DIÁRIO'!$C$5:$C$1004,$D55,'05B. APONTAMENTO DIÁRIO'!$G$5:$G$1004,$G55,'05B. APONTAMENTO DIÁRIO'!$A$5:$A$1004,"&gt;="&amp;($A55-4),'05B. APONTAMENTO DIÁRIO'!$A$5:$A$1004,"&lt;="&amp;$A55))</f>
      </c>
      <c r="L55" s="226">
        <f>IF(OR($F55="",N($F55)=0,$K55=""),"",$K55/$F55)</f>
      </c>
      <c r="M55" s="218" t="n"/>
      <c r="N55" s="222">
        <f>IF($J55&lt;&gt;"SIM","",IF($M55&lt;&gt;"",$M55,IF(AND(ISNUMBER($L55),N($L55)&gt;=1),"SIM",IF($A55&lt;=DATA_GESTAO,"NÃO",""))))</f>
      </c>
      <c r="O55" s="218" t="n"/>
    </row>
    <row r="56">
      <c r="A56" s="220" t="n"/>
      <c r="B56" s="218" t="n"/>
      <c r="C56" s="218" t="n"/>
      <c r="D56" s="218" t="n"/>
      <c r="E56" s="298" t="n"/>
      <c r="F56" s="328" t="n"/>
      <c r="G56" s="218" t="n"/>
      <c r="H56" s="218" t="n"/>
      <c r="I56" s="222">
        <f>IF($D56="","",IF(COUNTIFS('05C. RESTRIÇÕES'!$B$5:$B$204,$B56,'05C. RESTRIÇÕES'!$C$5:$C$204,$D56,'05C. RESTRIÇÕES'!$H$5:$H$204,"ABERTA")&gt;0,"SIM","NÃO"))</f>
      </c>
      <c r="J56" s="218" t="n"/>
      <c r="K56" s="329">
        <f>IF(OR($D56="",$A56=""),"",SUMIFS('05B. APONTAMENTO DIÁRIO'!$F$5:$F$1004,'05B. APONTAMENTO DIÁRIO'!$B$5:$B$1004,$B56,'05B. APONTAMENTO DIÁRIO'!$C$5:$C$1004,$D56,'05B. APONTAMENTO DIÁRIO'!$G$5:$G$1004,$G56,'05B. APONTAMENTO DIÁRIO'!$A$5:$A$1004,"&gt;="&amp;($A56-4),'05B. APONTAMENTO DIÁRIO'!$A$5:$A$1004,"&lt;="&amp;$A56))</f>
      </c>
      <c r="L56" s="226">
        <f>IF(OR($F56="",N($F56)=0,$K56=""),"",$K56/$F56)</f>
      </c>
      <c r="M56" s="218" t="n"/>
      <c r="N56" s="222">
        <f>IF($J56&lt;&gt;"SIM","",IF($M56&lt;&gt;"",$M56,IF(AND(ISNUMBER($L56),N($L56)&gt;=1),"SIM",IF($A56&lt;=DATA_GESTAO,"NÃO",""))))</f>
      </c>
      <c r="O56" s="218" t="n"/>
    </row>
    <row r="57">
      <c r="A57" s="220" t="n"/>
      <c r="B57" s="218" t="n"/>
      <c r="C57" s="218" t="n"/>
      <c r="D57" s="218" t="n"/>
      <c r="E57" s="298" t="n"/>
      <c r="F57" s="328" t="n"/>
      <c r="G57" s="218" t="n"/>
      <c r="H57" s="218" t="n"/>
      <c r="I57" s="222">
        <f>IF($D57="","",IF(COUNTIFS('05C. RESTRIÇÕES'!$B$5:$B$204,$B57,'05C. RESTRIÇÕES'!$C$5:$C$204,$D57,'05C. RESTRIÇÕES'!$H$5:$H$204,"ABERTA")&gt;0,"SIM","NÃO"))</f>
      </c>
      <c r="J57" s="218" t="n"/>
      <c r="K57" s="329">
        <f>IF(OR($D57="",$A57=""),"",SUMIFS('05B. APONTAMENTO DIÁRIO'!$F$5:$F$1004,'05B. APONTAMENTO DIÁRIO'!$B$5:$B$1004,$B57,'05B. APONTAMENTO DIÁRIO'!$C$5:$C$1004,$D57,'05B. APONTAMENTO DIÁRIO'!$G$5:$G$1004,$G57,'05B. APONTAMENTO DIÁRIO'!$A$5:$A$1004,"&gt;="&amp;($A57-4),'05B. APONTAMENTO DIÁRIO'!$A$5:$A$1004,"&lt;="&amp;$A57))</f>
      </c>
      <c r="L57" s="226">
        <f>IF(OR($F57="",N($F57)=0,$K57=""),"",$K57/$F57)</f>
      </c>
      <c r="M57" s="218" t="n"/>
      <c r="N57" s="222">
        <f>IF($J57&lt;&gt;"SIM","",IF($M57&lt;&gt;"",$M57,IF(AND(ISNUMBER($L57),N($L57)&gt;=1),"SIM",IF($A57&lt;=DATA_GESTAO,"NÃO",""))))</f>
      </c>
      <c r="O57" s="218" t="n"/>
    </row>
    <row r="58">
      <c r="A58" s="220" t="n"/>
      <c r="B58" s="218" t="n"/>
      <c r="C58" s="218" t="n"/>
      <c r="D58" s="218" t="n"/>
      <c r="E58" s="298" t="n"/>
      <c r="F58" s="328" t="n"/>
      <c r="G58" s="218" t="n"/>
      <c r="H58" s="218" t="n"/>
      <c r="I58" s="222">
        <f>IF($D58="","",IF(COUNTIFS('05C. RESTRIÇÕES'!$B$5:$B$204,$B58,'05C. RESTRIÇÕES'!$C$5:$C$204,$D58,'05C. RESTRIÇÕES'!$H$5:$H$204,"ABERTA")&gt;0,"SIM","NÃO"))</f>
      </c>
      <c r="J58" s="218" t="n"/>
      <c r="K58" s="329">
        <f>IF(OR($D58="",$A58=""),"",SUMIFS('05B. APONTAMENTO DIÁRIO'!$F$5:$F$1004,'05B. APONTAMENTO DIÁRIO'!$B$5:$B$1004,$B58,'05B. APONTAMENTO DIÁRIO'!$C$5:$C$1004,$D58,'05B. APONTAMENTO DIÁRIO'!$G$5:$G$1004,$G58,'05B. APONTAMENTO DIÁRIO'!$A$5:$A$1004,"&gt;="&amp;($A58-4),'05B. APONTAMENTO DIÁRIO'!$A$5:$A$1004,"&lt;="&amp;$A58))</f>
      </c>
      <c r="L58" s="226">
        <f>IF(OR($F58="",N($F58)=0,$K58=""),"",$K58/$F58)</f>
      </c>
      <c r="M58" s="218" t="n"/>
      <c r="N58" s="222">
        <f>IF($J58&lt;&gt;"SIM","",IF($M58&lt;&gt;"",$M58,IF(AND(ISNUMBER($L58),N($L58)&gt;=1),"SIM",IF($A58&lt;=DATA_GESTAO,"NÃO",""))))</f>
      </c>
      <c r="O58" s="218" t="n"/>
    </row>
    <row r="59">
      <c r="A59" s="220" t="n"/>
      <c r="B59" s="218" t="n"/>
      <c r="C59" s="218" t="n"/>
      <c r="D59" s="218" t="n"/>
      <c r="E59" s="298" t="n"/>
      <c r="F59" s="328" t="n"/>
      <c r="G59" s="218" t="n"/>
      <c r="H59" s="218" t="n"/>
      <c r="I59" s="222">
        <f>IF($D59="","",IF(COUNTIFS('05C. RESTRIÇÕES'!$B$5:$B$204,$B59,'05C. RESTRIÇÕES'!$C$5:$C$204,$D59,'05C. RESTRIÇÕES'!$H$5:$H$204,"ABERTA")&gt;0,"SIM","NÃO"))</f>
      </c>
      <c r="J59" s="218" t="n"/>
      <c r="K59" s="329">
        <f>IF(OR($D59="",$A59=""),"",SUMIFS('05B. APONTAMENTO DIÁRIO'!$F$5:$F$1004,'05B. APONTAMENTO DIÁRIO'!$B$5:$B$1004,$B59,'05B. APONTAMENTO DIÁRIO'!$C$5:$C$1004,$D59,'05B. APONTAMENTO DIÁRIO'!$G$5:$G$1004,$G59,'05B. APONTAMENTO DIÁRIO'!$A$5:$A$1004,"&gt;="&amp;($A59-4),'05B. APONTAMENTO DIÁRIO'!$A$5:$A$1004,"&lt;="&amp;$A59))</f>
      </c>
      <c r="L59" s="226">
        <f>IF(OR($F59="",N($F59)=0,$K59=""),"",$K59/$F59)</f>
      </c>
      <c r="M59" s="218" t="n"/>
      <c r="N59" s="222">
        <f>IF($J59&lt;&gt;"SIM","",IF($M59&lt;&gt;"",$M59,IF(AND(ISNUMBER($L59),N($L59)&gt;=1),"SIM",IF($A59&lt;=DATA_GESTAO,"NÃO",""))))</f>
      </c>
      <c r="O59" s="218" t="n"/>
    </row>
    <row r="60">
      <c r="A60" s="220" t="n"/>
      <c r="B60" s="218" t="n"/>
      <c r="C60" s="218" t="n"/>
      <c r="D60" s="218" t="n"/>
      <c r="E60" s="298" t="n"/>
      <c r="F60" s="328" t="n"/>
      <c r="G60" s="218" t="n"/>
      <c r="H60" s="218" t="n"/>
      <c r="I60" s="222">
        <f>IF($D60="","",IF(COUNTIFS('05C. RESTRIÇÕES'!$B$5:$B$204,$B60,'05C. RESTRIÇÕES'!$C$5:$C$204,$D60,'05C. RESTRIÇÕES'!$H$5:$H$204,"ABERTA")&gt;0,"SIM","NÃO"))</f>
      </c>
      <c r="J60" s="218" t="n"/>
      <c r="K60" s="329">
        <f>IF(OR($D60="",$A60=""),"",SUMIFS('05B. APONTAMENTO DIÁRIO'!$F$5:$F$1004,'05B. APONTAMENTO DIÁRIO'!$B$5:$B$1004,$B60,'05B. APONTAMENTO DIÁRIO'!$C$5:$C$1004,$D60,'05B. APONTAMENTO DIÁRIO'!$G$5:$G$1004,$G60,'05B. APONTAMENTO DIÁRIO'!$A$5:$A$1004,"&gt;="&amp;($A60-4),'05B. APONTAMENTO DIÁRIO'!$A$5:$A$1004,"&lt;="&amp;$A60))</f>
      </c>
      <c r="L60" s="226">
        <f>IF(OR($F60="",N($F60)=0,$K60=""),"",$K60/$F60)</f>
      </c>
      <c r="M60" s="218" t="n"/>
      <c r="N60" s="222">
        <f>IF($J60&lt;&gt;"SIM","",IF($M60&lt;&gt;"",$M60,IF(AND(ISNUMBER($L60),N($L60)&gt;=1),"SIM",IF($A60&lt;=DATA_GESTAO,"NÃO",""))))</f>
      </c>
      <c r="O60" s="218" t="n"/>
    </row>
    <row r="61">
      <c r="A61" s="220" t="n"/>
      <c r="B61" s="218" t="n"/>
      <c r="C61" s="218" t="n"/>
      <c r="D61" s="218" t="n"/>
      <c r="E61" s="298" t="n"/>
      <c r="F61" s="328" t="n"/>
      <c r="G61" s="218" t="n"/>
      <c r="H61" s="218" t="n"/>
      <c r="I61" s="222">
        <f>IF($D61="","",IF(COUNTIFS('05C. RESTRIÇÕES'!$B$5:$B$204,$B61,'05C. RESTRIÇÕES'!$C$5:$C$204,$D61,'05C. RESTRIÇÕES'!$H$5:$H$204,"ABERTA")&gt;0,"SIM","NÃO"))</f>
      </c>
      <c r="J61" s="218" t="n"/>
      <c r="K61" s="329">
        <f>IF(OR($D61="",$A61=""),"",SUMIFS('05B. APONTAMENTO DIÁRIO'!$F$5:$F$1004,'05B. APONTAMENTO DIÁRIO'!$B$5:$B$1004,$B61,'05B. APONTAMENTO DIÁRIO'!$C$5:$C$1004,$D61,'05B. APONTAMENTO DIÁRIO'!$G$5:$G$1004,$G61,'05B. APONTAMENTO DIÁRIO'!$A$5:$A$1004,"&gt;="&amp;($A61-4),'05B. APONTAMENTO DIÁRIO'!$A$5:$A$1004,"&lt;="&amp;$A61))</f>
      </c>
      <c r="L61" s="226">
        <f>IF(OR($F61="",N($F61)=0,$K61=""),"",$K61/$F61)</f>
      </c>
      <c r="M61" s="218" t="n"/>
      <c r="N61" s="222">
        <f>IF($J61&lt;&gt;"SIM","",IF($M61&lt;&gt;"",$M61,IF(AND(ISNUMBER($L61),N($L61)&gt;=1),"SIM",IF($A61&lt;=DATA_GESTAO,"NÃO",""))))</f>
      </c>
      <c r="O61" s="218" t="n"/>
    </row>
    <row r="62">
      <c r="A62" s="220" t="n"/>
      <c r="B62" s="218" t="n"/>
      <c r="C62" s="218" t="n"/>
      <c r="D62" s="218" t="n"/>
      <c r="E62" s="298" t="n"/>
      <c r="F62" s="328" t="n"/>
      <c r="G62" s="218" t="n"/>
      <c r="H62" s="218" t="n"/>
      <c r="I62" s="222">
        <f>IF($D62="","",IF(COUNTIFS('05C. RESTRIÇÕES'!$B$5:$B$204,$B62,'05C. RESTRIÇÕES'!$C$5:$C$204,$D62,'05C. RESTRIÇÕES'!$H$5:$H$204,"ABERTA")&gt;0,"SIM","NÃO"))</f>
      </c>
      <c r="J62" s="218" t="n"/>
      <c r="K62" s="329">
        <f>IF(OR($D62="",$A62=""),"",SUMIFS('05B. APONTAMENTO DIÁRIO'!$F$5:$F$1004,'05B. APONTAMENTO DIÁRIO'!$B$5:$B$1004,$B62,'05B. APONTAMENTO DIÁRIO'!$C$5:$C$1004,$D62,'05B. APONTAMENTO DIÁRIO'!$G$5:$G$1004,$G62,'05B. APONTAMENTO DIÁRIO'!$A$5:$A$1004,"&gt;="&amp;($A62-4),'05B. APONTAMENTO DIÁRIO'!$A$5:$A$1004,"&lt;="&amp;$A62))</f>
      </c>
      <c r="L62" s="226">
        <f>IF(OR($F62="",N($F62)=0,$K62=""),"",$K62/$F62)</f>
      </c>
      <c r="M62" s="218" t="n"/>
      <c r="N62" s="222">
        <f>IF($J62&lt;&gt;"SIM","",IF($M62&lt;&gt;"",$M62,IF(AND(ISNUMBER($L62),N($L62)&gt;=1),"SIM",IF($A62&lt;=DATA_GESTAO,"NÃO",""))))</f>
      </c>
      <c r="O62" s="218" t="n"/>
    </row>
    <row r="63">
      <c r="A63" s="220" t="n"/>
      <c r="B63" s="218" t="n"/>
      <c r="C63" s="218" t="n"/>
      <c r="D63" s="218" t="n"/>
      <c r="E63" s="298" t="n"/>
      <c r="F63" s="328" t="n"/>
      <c r="G63" s="218" t="n"/>
      <c r="H63" s="218" t="n"/>
      <c r="I63" s="222">
        <f>IF($D63="","",IF(COUNTIFS('05C. RESTRIÇÕES'!$B$5:$B$204,$B63,'05C. RESTRIÇÕES'!$C$5:$C$204,$D63,'05C. RESTRIÇÕES'!$H$5:$H$204,"ABERTA")&gt;0,"SIM","NÃO"))</f>
      </c>
      <c r="J63" s="218" t="n"/>
      <c r="K63" s="329">
        <f>IF(OR($D63="",$A63=""),"",SUMIFS('05B. APONTAMENTO DIÁRIO'!$F$5:$F$1004,'05B. APONTAMENTO DIÁRIO'!$B$5:$B$1004,$B63,'05B. APONTAMENTO DIÁRIO'!$C$5:$C$1004,$D63,'05B. APONTAMENTO DIÁRIO'!$G$5:$G$1004,$G63,'05B. APONTAMENTO DIÁRIO'!$A$5:$A$1004,"&gt;="&amp;($A63-4),'05B. APONTAMENTO DIÁRIO'!$A$5:$A$1004,"&lt;="&amp;$A63))</f>
      </c>
      <c r="L63" s="226">
        <f>IF(OR($F63="",N($F63)=0,$K63=""),"",$K63/$F63)</f>
      </c>
      <c r="M63" s="218" t="n"/>
      <c r="N63" s="222">
        <f>IF($J63&lt;&gt;"SIM","",IF($M63&lt;&gt;"",$M63,IF(AND(ISNUMBER($L63),N($L63)&gt;=1),"SIM",IF($A63&lt;=DATA_GESTAO,"NÃO",""))))</f>
      </c>
      <c r="O63" s="218" t="n"/>
    </row>
    <row r="64">
      <c r="A64" s="220" t="n"/>
      <c r="B64" s="218" t="n"/>
      <c r="C64" s="218" t="n"/>
      <c r="D64" s="218" t="n"/>
      <c r="E64" s="298" t="n"/>
      <c r="F64" s="328" t="n"/>
      <c r="G64" s="218" t="n"/>
      <c r="H64" s="218" t="n"/>
      <c r="I64" s="222">
        <f>IF($D64="","",IF(COUNTIFS('05C. RESTRIÇÕES'!$B$5:$B$204,$B64,'05C. RESTRIÇÕES'!$C$5:$C$204,$D64,'05C. RESTRIÇÕES'!$H$5:$H$204,"ABERTA")&gt;0,"SIM","NÃO"))</f>
      </c>
      <c r="J64" s="218" t="n"/>
      <c r="K64" s="329">
        <f>IF(OR($D64="",$A64=""),"",SUMIFS('05B. APONTAMENTO DIÁRIO'!$F$5:$F$1004,'05B. APONTAMENTO DIÁRIO'!$B$5:$B$1004,$B64,'05B. APONTAMENTO DIÁRIO'!$C$5:$C$1004,$D64,'05B. APONTAMENTO DIÁRIO'!$G$5:$G$1004,$G64,'05B. APONTAMENTO DIÁRIO'!$A$5:$A$1004,"&gt;="&amp;($A64-4),'05B. APONTAMENTO DIÁRIO'!$A$5:$A$1004,"&lt;="&amp;$A64))</f>
      </c>
      <c r="L64" s="226">
        <f>IF(OR($F64="",N($F64)=0,$K64=""),"",$K64/$F64)</f>
      </c>
      <c r="M64" s="218" t="n"/>
      <c r="N64" s="222">
        <f>IF($J64&lt;&gt;"SIM","",IF($M64&lt;&gt;"",$M64,IF(AND(ISNUMBER($L64),N($L64)&gt;=1),"SIM",IF($A64&lt;=DATA_GESTAO,"NÃO",""))))</f>
      </c>
      <c r="O64" s="218" t="n"/>
    </row>
    <row r="65">
      <c r="A65" s="220" t="n"/>
      <c r="B65" s="218" t="n"/>
      <c r="C65" s="218" t="n"/>
      <c r="D65" s="218" t="n"/>
      <c r="E65" s="298" t="n"/>
      <c r="F65" s="328" t="n"/>
      <c r="G65" s="218" t="n"/>
      <c r="H65" s="218" t="n"/>
      <c r="I65" s="222">
        <f>IF($D65="","",IF(COUNTIFS('05C. RESTRIÇÕES'!$B$5:$B$204,$B65,'05C. RESTRIÇÕES'!$C$5:$C$204,$D65,'05C. RESTRIÇÕES'!$H$5:$H$204,"ABERTA")&gt;0,"SIM","NÃO"))</f>
      </c>
      <c r="J65" s="218" t="n"/>
      <c r="K65" s="329">
        <f>IF(OR($D65="",$A65=""),"",SUMIFS('05B. APONTAMENTO DIÁRIO'!$F$5:$F$1004,'05B. APONTAMENTO DIÁRIO'!$B$5:$B$1004,$B65,'05B. APONTAMENTO DIÁRIO'!$C$5:$C$1004,$D65,'05B. APONTAMENTO DIÁRIO'!$G$5:$G$1004,$G65,'05B. APONTAMENTO DIÁRIO'!$A$5:$A$1004,"&gt;="&amp;($A65-4),'05B. APONTAMENTO DIÁRIO'!$A$5:$A$1004,"&lt;="&amp;$A65))</f>
      </c>
      <c r="L65" s="226">
        <f>IF(OR($F65="",N($F65)=0,$K65=""),"",$K65/$F65)</f>
      </c>
      <c r="M65" s="218" t="n"/>
      <c r="N65" s="222">
        <f>IF($J65&lt;&gt;"SIM","",IF($M65&lt;&gt;"",$M65,IF(AND(ISNUMBER($L65),N($L65)&gt;=1),"SIM",IF($A65&lt;=DATA_GESTAO,"NÃO",""))))</f>
      </c>
      <c r="O65" s="218" t="n"/>
    </row>
    <row r="66">
      <c r="A66" s="220" t="n"/>
      <c r="B66" s="218" t="n"/>
      <c r="C66" s="218" t="n"/>
      <c r="D66" s="218" t="n"/>
      <c r="E66" s="298" t="n"/>
      <c r="F66" s="328" t="n"/>
      <c r="G66" s="218" t="n"/>
      <c r="H66" s="218" t="n"/>
      <c r="I66" s="222">
        <f>IF($D66="","",IF(COUNTIFS('05C. RESTRIÇÕES'!$B$5:$B$204,$B66,'05C. RESTRIÇÕES'!$C$5:$C$204,$D66,'05C. RESTRIÇÕES'!$H$5:$H$204,"ABERTA")&gt;0,"SIM","NÃO"))</f>
      </c>
      <c r="J66" s="218" t="n"/>
      <c r="K66" s="329">
        <f>IF(OR($D66="",$A66=""),"",SUMIFS('05B. APONTAMENTO DIÁRIO'!$F$5:$F$1004,'05B. APONTAMENTO DIÁRIO'!$B$5:$B$1004,$B66,'05B. APONTAMENTO DIÁRIO'!$C$5:$C$1004,$D66,'05B. APONTAMENTO DIÁRIO'!$G$5:$G$1004,$G66,'05B. APONTAMENTO DIÁRIO'!$A$5:$A$1004,"&gt;="&amp;($A66-4),'05B. APONTAMENTO DIÁRIO'!$A$5:$A$1004,"&lt;="&amp;$A66))</f>
      </c>
      <c r="L66" s="226">
        <f>IF(OR($F66="",N($F66)=0,$K66=""),"",$K66/$F66)</f>
      </c>
      <c r="M66" s="218" t="n"/>
      <c r="N66" s="222">
        <f>IF($J66&lt;&gt;"SIM","",IF($M66&lt;&gt;"",$M66,IF(AND(ISNUMBER($L66),N($L66)&gt;=1),"SIM",IF($A66&lt;=DATA_GESTAO,"NÃO",""))))</f>
      </c>
      <c r="O66" s="218" t="n"/>
    </row>
    <row r="67">
      <c r="A67" s="220" t="n"/>
      <c r="B67" s="218" t="n"/>
      <c r="C67" s="218" t="n"/>
      <c r="D67" s="218" t="n"/>
      <c r="E67" s="298" t="n"/>
      <c r="F67" s="328" t="n"/>
      <c r="G67" s="218" t="n"/>
      <c r="H67" s="218" t="n"/>
      <c r="I67" s="222">
        <f>IF($D67="","",IF(COUNTIFS('05C. RESTRIÇÕES'!$B$5:$B$204,$B67,'05C. RESTRIÇÕES'!$C$5:$C$204,$D67,'05C. RESTRIÇÕES'!$H$5:$H$204,"ABERTA")&gt;0,"SIM","NÃO"))</f>
      </c>
      <c r="J67" s="218" t="n"/>
      <c r="K67" s="329">
        <f>IF(OR($D67="",$A67=""),"",SUMIFS('05B. APONTAMENTO DIÁRIO'!$F$5:$F$1004,'05B. APONTAMENTO DIÁRIO'!$B$5:$B$1004,$B67,'05B. APONTAMENTO DIÁRIO'!$C$5:$C$1004,$D67,'05B. APONTAMENTO DIÁRIO'!$G$5:$G$1004,$G67,'05B. APONTAMENTO DIÁRIO'!$A$5:$A$1004,"&gt;="&amp;($A67-4),'05B. APONTAMENTO DIÁRIO'!$A$5:$A$1004,"&lt;="&amp;$A67))</f>
      </c>
      <c r="L67" s="226">
        <f>IF(OR($F67="",N($F67)=0,$K67=""),"",$K67/$F67)</f>
      </c>
      <c r="M67" s="218" t="n"/>
      <c r="N67" s="222">
        <f>IF($J67&lt;&gt;"SIM","",IF($M67&lt;&gt;"",$M67,IF(AND(ISNUMBER($L67),N($L67)&gt;=1),"SIM",IF($A67&lt;=DATA_GESTAO,"NÃO",""))))</f>
      </c>
      <c r="O67" s="218" t="n"/>
    </row>
    <row r="68">
      <c r="A68" s="220" t="n"/>
      <c r="B68" s="218" t="n"/>
      <c r="C68" s="218" t="n"/>
      <c r="D68" s="218" t="n"/>
      <c r="E68" s="298" t="n"/>
      <c r="F68" s="328" t="n"/>
      <c r="G68" s="218" t="n"/>
      <c r="H68" s="218" t="n"/>
      <c r="I68" s="222">
        <f>IF($D68="","",IF(COUNTIFS('05C. RESTRIÇÕES'!$B$5:$B$204,$B68,'05C. RESTRIÇÕES'!$C$5:$C$204,$D68,'05C. RESTRIÇÕES'!$H$5:$H$204,"ABERTA")&gt;0,"SIM","NÃO"))</f>
      </c>
      <c r="J68" s="218" t="n"/>
      <c r="K68" s="329">
        <f>IF(OR($D68="",$A68=""),"",SUMIFS('05B. APONTAMENTO DIÁRIO'!$F$5:$F$1004,'05B. APONTAMENTO DIÁRIO'!$B$5:$B$1004,$B68,'05B. APONTAMENTO DIÁRIO'!$C$5:$C$1004,$D68,'05B. APONTAMENTO DIÁRIO'!$G$5:$G$1004,$G68,'05B. APONTAMENTO DIÁRIO'!$A$5:$A$1004,"&gt;="&amp;($A68-4),'05B. APONTAMENTO DIÁRIO'!$A$5:$A$1004,"&lt;="&amp;$A68))</f>
      </c>
      <c r="L68" s="226">
        <f>IF(OR($F68="",N($F68)=0,$K68=""),"",$K68/$F68)</f>
      </c>
      <c r="M68" s="218" t="n"/>
      <c r="N68" s="222">
        <f>IF($J68&lt;&gt;"SIM","",IF($M68&lt;&gt;"",$M68,IF(AND(ISNUMBER($L68),N($L68)&gt;=1),"SIM",IF($A68&lt;=DATA_GESTAO,"NÃO",""))))</f>
      </c>
      <c r="O68" s="218" t="n"/>
    </row>
    <row r="69">
      <c r="A69" s="220" t="n"/>
      <c r="B69" s="218" t="n"/>
      <c r="C69" s="218" t="n"/>
      <c r="D69" s="218" t="n"/>
      <c r="E69" s="298" t="n"/>
      <c r="F69" s="328" t="n"/>
      <c r="G69" s="218" t="n"/>
      <c r="H69" s="218" t="n"/>
      <c r="I69" s="222">
        <f>IF($D69="","",IF(COUNTIFS('05C. RESTRIÇÕES'!$B$5:$B$204,$B69,'05C. RESTRIÇÕES'!$C$5:$C$204,$D69,'05C. RESTRIÇÕES'!$H$5:$H$204,"ABERTA")&gt;0,"SIM","NÃO"))</f>
      </c>
      <c r="J69" s="218" t="n"/>
      <c r="K69" s="329">
        <f>IF(OR($D69="",$A69=""),"",SUMIFS('05B. APONTAMENTO DIÁRIO'!$F$5:$F$1004,'05B. APONTAMENTO DIÁRIO'!$B$5:$B$1004,$B69,'05B. APONTAMENTO DIÁRIO'!$C$5:$C$1004,$D69,'05B. APONTAMENTO DIÁRIO'!$G$5:$G$1004,$G69,'05B. APONTAMENTO DIÁRIO'!$A$5:$A$1004,"&gt;="&amp;($A69-4),'05B. APONTAMENTO DIÁRIO'!$A$5:$A$1004,"&lt;="&amp;$A69))</f>
      </c>
      <c r="L69" s="226">
        <f>IF(OR($F69="",N($F69)=0,$K69=""),"",$K69/$F69)</f>
      </c>
      <c r="M69" s="218" t="n"/>
      <c r="N69" s="222">
        <f>IF($J69&lt;&gt;"SIM","",IF($M69&lt;&gt;"",$M69,IF(AND(ISNUMBER($L69),N($L69)&gt;=1),"SIM",IF($A69&lt;=DATA_GESTAO,"NÃO",""))))</f>
      </c>
      <c r="O69" s="218" t="n"/>
    </row>
    <row r="70">
      <c r="A70" s="220" t="n"/>
      <c r="B70" s="218" t="n"/>
      <c r="C70" s="218" t="n"/>
      <c r="D70" s="218" t="n"/>
      <c r="E70" s="298" t="n"/>
      <c r="F70" s="328" t="n"/>
      <c r="G70" s="218" t="n"/>
      <c r="H70" s="218" t="n"/>
      <c r="I70" s="222">
        <f>IF($D70="","",IF(COUNTIFS('05C. RESTRIÇÕES'!$B$5:$B$204,$B70,'05C. RESTRIÇÕES'!$C$5:$C$204,$D70,'05C. RESTRIÇÕES'!$H$5:$H$204,"ABERTA")&gt;0,"SIM","NÃO"))</f>
      </c>
      <c r="J70" s="218" t="n"/>
      <c r="K70" s="329">
        <f>IF(OR($D70="",$A70=""),"",SUMIFS('05B. APONTAMENTO DIÁRIO'!$F$5:$F$1004,'05B. APONTAMENTO DIÁRIO'!$B$5:$B$1004,$B70,'05B. APONTAMENTO DIÁRIO'!$C$5:$C$1004,$D70,'05B. APONTAMENTO DIÁRIO'!$G$5:$G$1004,$G70,'05B. APONTAMENTO DIÁRIO'!$A$5:$A$1004,"&gt;="&amp;($A70-4),'05B. APONTAMENTO DIÁRIO'!$A$5:$A$1004,"&lt;="&amp;$A70))</f>
      </c>
      <c r="L70" s="226">
        <f>IF(OR($F70="",N($F70)=0,$K70=""),"",$K70/$F70)</f>
      </c>
      <c r="M70" s="218" t="n"/>
      <c r="N70" s="222">
        <f>IF($J70&lt;&gt;"SIM","",IF($M70&lt;&gt;"",$M70,IF(AND(ISNUMBER($L70),N($L70)&gt;=1),"SIM",IF($A70&lt;=DATA_GESTAO,"NÃO",""))))</f>
      </c>
      <c r="O70" s="218" t="n"/>
    </row>
    <row r="71">
      <c r="A71" s="220" t="n"/>
      <c r="B71" s="218" t="n"/>
      <c r="C71" s="218" t="n"/>
      <c r="D71" s="218" t="n"/>
      <c r="E71" s="298" t="n"/>
      <c r="F71" s="328" t="n"/>
      <c r="G71" s="218" t="n"/>
      <c r="H71" s="218" t="n"/>
      <c r="I71" s="222">
        <f>IF($D71="","",IF(COUNTIFS('05C. RESTRIÇÕES'!$B$5:$B$204,$B71,'05C. RESTRIÇÕES'!$C$5:$C$204,$D71,'05C. RESTRIÇÕES'!$H$5:$H$204,"ABERTA")&gt;0,"SIM","NÃO"))</f>
      </c>
      <c r="J71" s="218" t="n"/>
      <c r="K71" s="329">
        <f>IF(OR($D71="",$A71=""),"",SUMIFS('05B. APONTAMENTO DIÁRIO'!$F$5:$F$1004,'05B. APONTAMENTO DIÁRIO'!$B$5:$B$1004,$B71,'05B. APONTAMENTO DIÁRIO'!$C$5:$C$1004,$D71,'05B. APONTAMENTO DIÁRIO'!$G$5:$G$1004,$G71,'05B. APONTAMENTO DIÁRIO'!$A$5:$A$1004,"&gt;="&amp;($A71-4),'05B. APONTAMENTO DIÁRIO'!$A$5:$A$1004,"&lt;="&amp;$A71))</f>
      </c>
      <c r="L71" s="226">
        <f>IF(OR($F71="",N($F71)=0,$K71=""),"",$K71/$F71)</f>
      </c>
      <c r="M71" s="218" t="n"/>
      <c r="N71" s="222">
        <f>IF($J71&lt;&gt;"SIM","",IF($M71&lt;&gt;"",$M71,IF(AND(ISNUMBER($L71),N($L71)&gt;=1),"SIM",IF($A71&lt;=DATA_GESTAO,"NÃO",""))))</f>
      </c>
      <c r="O71" s="218" t="n"/>
    </row>
    <row r="72">
      <c r="A72" s="220" t="n"/>
      <c r="B72" s="218" t="n"/>
      <c r="C72" s="218" t="n"/>
      <c r="D72" s="218" t="n"/>
      <c r="E72" s="298" t="n"/>
      <c r="F72" s="328" t="n"/>
      <c r="G72" s="218" t="n"/>
      <c r="H72" s="218" t="n"/>
      <c r="I72" s="222">
        <f>IF($D72="","",IF(COUNTIFS('05C. RESTRIÇÕES'!$B$5:$B$204,$B72,'05C. RESTRIÇÕES'!$C$5:$C$204,$D72,'05C. RESTRIÇÕES'!$H$5:$H$204,"ABERTA")&gt;0,"SIM","NÃO"))</f>
      </c>
      <c r="J72" s="218" t="n"/>
      <c r="K72" s="329">
        <f>IF(OR($D72="",$A72=""),"",SUMIFS('05B. APONTAMENTO DIÁRIO'!$F$5:$F$1004,'05B. APONTAMENTO DIÁRIO'!$B$5:$B$1004,$B72,'05B. APONTAMENTO DIÁRIO'!$C$5:$C$1004,$D72,'05B. APONTAMENTO DIÁRIO'!$G$5:$G$1004,$G72,'05B. APONTAMENTO DIÁRIO'!$A$5:$A$1004,"&gt;="&amp;($A72-4),'05B. APONTAMENTO DIÁRIO'!$A$5:$A$1004,"&lt;="&amp;$A72))</f>
      </c>
      <c r="L72" s="226">
        <f>IF(OR($F72="",N($F72)=0,$K72=""),"",$K72/$F72)</f>
      </c>
      <c r="M72" s="218" t="n"/>
      <c r="N72" s="222">
        <f>IF($J72&lt;&gt;"SIM","",IF($M72&lt;&gt;"",$M72,IF(AND(ISNUMBER($L72),N($L72)&gt;=1),"SIM",IF($A72&lt;=DATA_GESTAO,"NÃO",""))))</f>
      </c>
      <c r="O72" s="218" t="n"/>
    </row>
    <row r="73">
      <c r="A73" s="220" t="n"/>
      <c r="B73" s="218" t="n"/>
      <c r="C73" s="218" t="n"/>
      <c r="D73" s="218" t="n"/>
      <c r="E73" s="298" t="n"/>
      <c r="F73" s="328" t="n"/>
      <c r="G73" s="218" t="n"/>
      <c r="H73" s="218" t="n"/>
      <c r="I73" s="222">
        <f>IF($D73="","",IF(COUNTIFS('05C. RESTRIÇÕES'!$B$5:$B$204,$B73,'05C. RESTRIÇÕES'!$C$5:$C$204,$D73,'05C. RESTRIÇÕES'!$H$5:$H$204,"ABERTA")&gt;0,"SIM","NÃO"))</f>
      </c>
      <c r="J73" s="218" t="n"/>
      <c r="K73" s="329">
        <f>IF(OR($D73="",$A73=""),"",SUMIFS('05B. APONTAMENTO DIÁRIO'!$F$5:$F$1004,'05B. APONTAMENTO DIÁRIO'!$B$5:$B$1004,$B73,'05B. APONTAMENTO DIÁRIO'!$C$5:$C$1004,$D73,'05B. APONTAMENTO DIÁRIO'!$G$5:$G$1004,$G73,'05B. APONTAMENTO DIÁRIO'!$A$5:$A$1004,"&gt;="&amp;($A73-4),'05B. APONTAMENTO DIÁRIO'!$A$5:$A$1004,"&lt;="&amp;$A73))</f>
      </c>
      <c r="L73" s="226">
        <f>IF(OR($F73="",N($F73)=0,$K73=""),"",$K73/$F73)</f>
      </c>
      <c r="M73" s="218" t="n"/>
      <c r="N73" s="222">
        <f>IF($J73&lt;&gt;"SIM","",IF($M73&lt;&gt;"",$M73,IF(AND(ISNUMBER($L73),N($L73)&gt;=1),"SIM",IF($A73&lt;=DATA_GESTAO,"NÃO",""))))</f>
      </c>
      <c r="O73" s="218" t="n"/>
    </row>
    <row r="74">
      <c r="A74" s="220" t="n"/>
      <c r="B74" s="218" t="n"/>
      <c r="C74" s="218" t="n"/>
      <c r="D74" s="218" t="n"/>
      <c r="E74" s="298" t="n"/>
      <c r="F74" s="328" t="n"/>
      <c r="G74" s="218" t="n"/>
      <c r="H74" s="218" t="n"/>
      <c r="I74" s="222">
        <f>IF($D74="","",IF(COUNTIFS('05C. RESTRIÇÕES'!$B$5:$B$204,$B74,'05C. RESTRIÇÕES'!$C$5:$C$204,$D74,'05C. RESTRIÇÕES'!$H$5:$H$204,"ABERTA")&gt;0,"SIM","NÃO"))</f>
      </c>
      <c r="J74" s="218" t="n"/>
      <c r="K74" s="329">
        <f>IF(OR($D74="",$A74=""),"",SUMIFS('05B. APONTAMENTO DIÁRIO'!$F$5:$F$1004,'05B. APONTAMENTO DIÁRIO'!$B$5:$B$1004,$B74,'05B. APONTAMENTO DIÁRIO'!$C$5:$C$1004,$D74,'05B. APONTAMENTO DIÁRIO'!$G$5:$G$1004,$G74,'05B. APONTAMENTO DIÁRIO'!$A$5:$A$1004,"&gt;="&amp;($A74-4),'05B. APONTAMENTO DIÁRIO'!$A$5:$A$1004,"&lt;="&amp;$A74))</f>
      </c>
      <c r="L74" s="226">
        <f>IF(OR($F74="",N($F74)=0,$K74=""),"",$K74/$F74)</f>
      </c>
      <c r="M74" s="218" t="n"/>
      <c r="N74" s="222">
        <f>IF($J74&lt;&gt;"SIM","",IF($M74&lt;&gt;"",$M74,IF(AND(ISNUMBER($L74),N($L74)&gt;=1),"SIM",IF($A74&lt;=DATA_GESTAO,"NÃO",""))))</f>
      </c>
      <c r="O74" s="218" t="n"/>
    </row>
    <row r="75">
      <c r="A75" s="220" t="n"/>
      <c r="B75" s="218" t="n"/>
      <c r="C75" s="218" t="n"/>
      <c r="D75" s="218" t="n"/>
      <c r="E75" s="298" t="n"/>
      <c r="F75" s="328" t="n"/>
      <c r="G75" s="218" t="n"/>
      <c r="H75" s="218" t="n"/>
      <c r="I75" s="222">
        <f>IF($D75="","",IF(COUNTIFS('05C. RESTRIÇÕES'!$B$5:$B$204,$B75,'05C. RESTRIÇÕES'!$C$5:$C$204,$D75,'05C. RESTRIÇÕES'!$H$5:$H$204,"ABERTA")&gt;0,"SIM","NÃO"))</f>
      </c>
      <c r="J75" s="218" t="n"/>
      <c r="K75" s="329">
        <f>IF(OR($D75="",$A75=""),"",SUMIFS('05B. APONTAMENTO DIÁRIO'!$F$5:$F$1004,'05B. APONTAMENTO DIÁRIO'!$B$5:$B$1004,$B75,'05B. APONTAMENTO DIÁRIO'!$C$5:$C$1004,$D75,'05B. APONTAMENTO DIÁRIO'!$G$5:$G$1004,$G75,'05B. APONTAMENTO DIÁRIO'!$A$5:$A$1004,"&gt;="&amp;($A75-4),'05B. APONTAMENTO DIÁRIO'!$A$5:$A$1004,"&lt;="&amp;$A75))</f>
      </c>
      <c r="L75" s="226">
        <f>IF(OR($F75="",N($F75)=0,$K75=""),"",$K75/$F75)</f>
      </c>
      <c r="M75" s="218" t="n"/>
      <c r="N75" s="222">
        <f>IF($J75&lt;&gt;"SIM","",IF($M75&lt;&gt;"",$M75,IF(AND(ISNUMBER($L75),N($L75)&gt;=1),"SIM",IF($A75&lt;=DATA_GESTAO,"NÃO",""))))</f>
      </c>
      <c r="O75" s="218" t="n"/>
    </row>
    <row r="76">
      <c r="A76" s="220" t="n"/>
      <c r="B76" s="218" t="n"/>
      <c r="C76" s="218" t="n"/>
      <c r="D76" s="218" t="n"/>
      <c r="E76" s="298" t="n"/>
      <c r="F76" s="328" t="n"/>
      <c r="G76" s="218" t="n"/>
      <c r="H76" s="218" t="n"/>
      <c r="I76" s="222">
        <f>IF($D76="","",IF(COUNTIFS('05C. RESTRIÇÕES'!$B$5:$B$204,$B76,'05C. RESTRIÇÕES'!$C$5:$C$204,$D76,'05C. RESTRIÇÕES'!$H$5:$H$204,"ABERTA")&gt;0,"SIM","NÃO"))</f>
      </c>
      <c r="J76" s="218" t="n"/>
      <c r="K76" s="329">
        <f>IF(OR($D76="",$A76=""),"",SUMIFS('05B. APONTAMENTO DIÁRIO'!$F$5:$F$1004,'05B. APONTAMENTO DIÁRIO'!$B$5:$B$1004,$B76,'05B. APONTAMENTO DIÁRIO'!$C$5:$C$1004,$D76,'05B. APONTAMENTO DIÁRIO'!$G$5:$G$1004,$G76,'05B. APONTAMENTO DIÁRIO'!$A$5:$A$1004,"&gt;="&amp;($A76-4),'05B. APONTAMENTO DIÁRIO'!$A$5:$A$1004,"&lt;="&amp;$A76))</f>
      </c>
      <c r="L76" s="226">
        <f>IF(OR($F76="",N($F76)=0,$K76=""),"",$K76/$F76)</f>
      </c>
      <c r="M76" s="218" t="n"/>
      <c r="N76" s="222">
        <f>IF($J76&lt;&gt;"SIM","",IF($M76&lt;&gt;"",$M76,IF(AND(ISNUMBER($L76),N($L76)&gt;=1),"SIM",IF($A76&lt;=DATA_GESTAO,"NÃO",""))))</f>
      </c>
      <c r="O76" s="218" t="n"/>
    </row>
    <row r="77">
      <c r="A77" s="220" t="n"/>
      <c r="B77" s="218" t="n"/>
      <c r="C77" s="218" t="n"/>
      <c r="D77" s="218" t="n"/>
      <c r="E77" s="298" t="n"/>
      <c r="F77" s="328" t="n"/>
      <c r="G77" s="218" t="n"/>
      <c r="H77" s="218" t="n"/>
      <c r="I77" s="222">
        <f>IF($D77="","",IF(COUNTIFS('05C. RESTRIÇÕES'!$B$5:$B$204,$B77,'05C. RESTRIÇÕES'!$C$5:$C$204,$D77,'05C. RESTRIÇÕES'!$H$5:$H$204,"ABERTA")&gt;0,"SIM","NÃO"))</f>
      </c>
      <c r="J77" s="218" t="n"/>
      <c r="K77" s="329">
        <f>IF(OR($D77="",$A77=""),"",SUMIFS('05B. APONTAMENTO DIÁRIO'!$F$5:$F$1004,'05B. APONTAMENTO DIÁRIO'!$B$5:$B$1004,$B77,'05B. APONTAMENTO DIÁRIO'!$C$5:$C$1004,$D77,'05B. APONTAMENTO DIÁRIO'!$G$5:$G$1004,$G77,'05B. APONTAMENTO DIÁRIO'!$A$5:$A$1004,"&gt;="&amp;($A77-4),'05B. APONTAMENTO DIÁRIO'!$A$5:$A$1004,"&lt;="&amp;$A77))</f>
      </c>
      <c r="L77" s="226">
        <f>IF(OR($F77="",N($F77)=0,$K77=""),"",$K77/$F77)</f>
      </c>
      <c r="M77" s="218" t="n"/>
      <c r="N77" s="222">
        <f>IF($J77&lt;&gt;"SIM","",IF($M77&lt;&gt;"",$M77,IF(AND(ISNUMBER($L77),N($L77)&gt;=1),"SIM",IF($A77&lt;=DATA_GESTAO,"NÃO",""))))</f>
      </c>
      <c r="O77" s="218" t="n"/>
    </row>
    <row r="78">
      <c r="A78" s="220" t="n"/>
      <c r="B78" s="218" t="n"/>
      <c r="C78" s="218" t="n"/>
      <c r="D78" s="218" t="n"/>
      <c r="E78" s="298" t="n"/>
      <c r="F78" s="328" t="n"/>
      <c r="G78" s="218" t="n"/>
      <c r="H78" s="218" t="n"/>
      <c r="I78" s="222">
        <f>IF($D78="","",IF(COUNTIFS('05C. RESTRIÇÕES'!$B$5:$B$204,$B78,'05C. RESTRIÇÕES'!$C$5:$C$204,$D78,'05C. RESTRIÇÕES'!$H$5:$H$204,"ABERTA")&gt;0,"SIM","NÃO"))</f>
      </c>
      <c r="J78" s="218" t="n"/>
      <c r="K78" s="329">
        <f>IF(OR($D78="",$A78=""),"",SUMIFS('05B. APONTAMENTO DIÁRIO'!$F$5:$F$1004,'05B. APONTAMENTO DIÁRIO'!$B$5:$B$1004,$B78,'05B. APONTAMENTO DIÁRIO'!$C$5:$C$1004,$D78,'05B. APONTAMENTO DIÁRIO'!$G$5:$G$1004,$G78,'05B. APONTAMENTO DIÁRIO'!$A$5:$A$1004,"&gt;="&amp;($A78-4),'05B. APONTAMENTO DIÁRIO'!$A$5:$A$1004,"&lt;="&amp;$A78))</f>
      </c>
      <c r="L78" s="226">
        <f>IF(OR($F78="",N($F78)=0,$K78=""),"",$K78/$F78)</f>
      </c>
      <c r="M78" s="218" t="n"/>
      <c r="N78" s="222">
        <f>IF($J78&lt;&gt;"SIM","",IF($M78&lt;&gt;"",$M78,IF(AND(ISNUMBER($L78),N($L78)&gt;=1),"SIM",IF($A78&lt;=DATA_GESTAO,"NÃO",""))))</f>
      </c>
      <c r="O78" s="218" t="n"/>
    </row>
    <row r="79">
      <c r="A79" s="220" t="n"/>
      <c r="B79" s="218" t="n"/>
      <c r="C79" s="218" t="n"/>
      <c r="D79" s="218" t="n"/>
      <c r="E79" s="298" t="n"/>
      <c r="F79" s="328" t="n"/>
      <c r="G79" s="218" t="n"/>
      <c r="H79" s="218" t="n"/>
      <c r="I79" s="222">
        <f>IF($D79="","",IF(COUNTIFS('05C. RESTRIÇÕES'!$B$5:$B$204,$B79,'05C. RESTRIÇÕES'!$C$5:$C$204,$D79,'05C. RESTRIÇÕES'!$H$5:$H$204,"ABERTA")&gt;0,"SIM","NÃO"))</f>
      </c>
      <c r="J79" s="218" t="n"/>
      <c r="K79" s="329">
        <f>IF(OR($D79="",$A79=""),"",SUMIFS('05B. APONTAMENTO DIÁRIO'!$F$5:$F$1004,'05B. APONTAMENTO DIÁRIO'!$B$5:$B$1004,$B79,'05B. APONTAMENTO DIÁRIO'!$C$5:$C$1004,$D79,'05B. APONTAMENTO DIÁRIO'!$G$5:$G$1004,$G79,'05B. APONTAMENTO DIÁRIO'!$A$5:$A$1004,"&gt;="&amp;($A79-4),'05B. APONTAMENTO DIÁRIO'!$A$5:$A$1004,"&lt;="&amp;$A79))</f>
      </c>
      <c r="L79" s="226">
        <f>IF(OR($F79="",N($F79)=0,$K79=""),"",$K79/$F79)</f>
      </c>
      <c r="M79" s="218" t="n"/>
      <c r="N79" s="222">
        <f>IF($J79&lt;&gt;"SIM","",IF($M79&lt;&gt;"",$M79,IF(AND(ISNUMBER($L79),N($L79)&gt;=1),"SIM",IF($A79&lt;=DATA_GESTAO,"NÃO",""))))</f>
      </c>
      <c r="O79" s="218" t="n"/>
    </row>
    <row r="80">
      <c r="A80" s="220" t="n"/>
      <c r="B80" s="218" t="n"/>
      <c r="C80" s="218" t="n"/>
      <c r="D80" s="218" t="n"/>
      <c r="E80" s="298" t="n"/>
      <c r="F80" s="328" t="n"/>
      <c r="G80" s="218" t="n"/>
      <c r="H80" s="218" t="n"/>
      <c r="I80" s="222">
        <f>IF($D80="","",IF(COUNTIFS('05C. RESTRIÇÕES'!$B$5:$B$204,$B80,'05C. RESTRIÇÕES'!$C$5:$C$204,$D80,'05C. RESTRIÇÕES'!$H$5:$H$204,"ABERTA")&gt;0,"SIM","NÃO"))</f>
      </c>
      <c r="J80" s="218" t="n"/>
      <c r="K80" s="329">
        <f>IF(OR($D80="",$A80=""),"",SUMIFS('05B. APONTAMENTO DIÁRIO'!$F$5:$F$1004,'05B. APONTAMENTO DIÁRIO'!$B$5:$B$1004,$B80,'05B. APONTAMENTO DIÁRIO'!$C$5:$C$1004,$D80,'05B. APONTAMENTO DIÁRIO'!$G$5:$G$1004,$G80,'05B. APONTAMENTO DIÁRIO'!$A$5:$A$1004,"&gt;="&amp;($A80-4),'05B. APONTAMENTO DIÁRIO'!$A$5:$A$1004,"&lt;="&amp;$A80))</f>
      </c>
      <c r="L80" s="226">
        <f>IF(OR($F80="",N($F80)=0,$K80=""),"",$K80/$F80)</f>
      </c>
      <c r="M80" s="218" t="n"/>
      <c r="N80" s="222">
        <f>IF($J80&lt;&gt;"SIM","",IF($M80&lt;&gt;"",$M80,IF(AND(ISNUMBER($L80),N($L80)&gt;=1),"SIM",IF($A80&lt;=DATA_GESTAO,"NÃO",""))))</f>
      </c>
      <c r="O80" s="218" t="n"/>
    </row>
    <row r="81">
      <c r="A81" s="220" t="n"/>
      <c r="B81" s="218" t="n"/>
      <c r="C81" s="218" t="n"/>
      <c r="D81" s="218" t="n"/>
      <c r="E81" s="298" t="n"/>
      <c r="F81" s="328" t="n"/>
      <c r="G81" s="218" t="n"/>
      <c r="H81" s="218" t="n"/>
      <c r="I81" s="222">
        <f>IF($D81="","",IF(COUNTIFS('05C. RESTRIÇÕES'!$B$5:$B$204,$B81,'05C. RESTRIÇÕES'!$C$5:$C$204,$D81,'05C. RESTRIÇÕES'!$H$5:$H$204,"ABERTA")&gt;0,"SIM","NÃO"))</f>
      </c>
      <c r="J81" s="218" t="n"/>
      <c r="K81" s="329">
        <f>IF(OR($D81="",$A81=""),"",SUMIFS('05B. APONTAMENTO DIÁRIO'!$F$5:$F$1004,'05B. APONTAMENTO DIÁRIO'!$B$5:$B$1004,$B81,'05B. APONTAMENTO DIÁRIO'!$C$5:$C$1004,$D81,'05B. APONTAMENTO DIÁRIO'!$G$5:$G$1004,$G81,'05B. APONTAMENTO DIÁRIO'!$A$5:$A$1004,"&gt;="&amp;($A81-4),'05B. APONTAMENTO DIÁRIO'!$A$5:$A$1004,"&lt;="&amp;$A81))</f>
      </c>
      <c r="L81" s="226">
        <f>IF(OR($F81="",N($F81)=0,$K81=""),"",$K81/$F81)</f>
      </c>
      <c r="M81" s="218" t="n"/>
      <c r="N81" s="222">
        <f>IF($J81&lt;&gt;"SIM","",IF($M81&lt;&gt;"",$M81,IF(AND(ISNUMBER($L81),N($L81)&gt;=1),"SIM",IF($A81&lt;=DATA_GESTAO,"NÃO",""))))</f>
      </c>
      <c r="O81" s="218" t="n"/>
    </row>
    <row r="82">
      <c r="A82" s="220" t="n"/>
      <c r="B82" s="218" t="n"/>
      <c r="C82" s="218" t="n"/>
      <c r="D82" s="218" t="n"/>
      <c r="E82" s="298" t="n"/>
      <c r="F82" s="328" t="n"/>
      <c r="G82" s="218" t="n"/>
      <c r="H82" s="218" t="n"/>
      <c r="I82" s="222">
        <f>IF($D82="","",IF(COUNTIFS('05C. RESTRIÇÕES'!$B$5:$B$204,$B82,'05C. RESTRIÇÕES'!$C$5:$C$204,$D82,'05C. RESTRIÇÕES'!$H$5:$H$204,"ABERTA")&gt;0,"SIM","NÃO"))</f>
      </c>
      <c r="J82" s="218" t="n"/>
      <c r="K82" s="329">
        <f>IF(OR($D82="",$A82=""),"",SUMIFS('05B. APONTAMENTO DIÁRIO'!$F$5:$F$1004,'05B. APONTAMENTO DIÁRIO'!$B$5:$B$1004,$B82,'05B. APONTAMENTO DIÁRIO'!$C$5:$C$1004,$D82,'05B. APONTAMENTO DIÁRIO'!$G$5:$G$1004,$G82,'05B. APONTAMENTO DIÁRIO'!$A$5:$A$1004,"&gt;="&amp;($A82-4),'05B. APONTAMENTO DIÁRIO'!$A$5:$A$1004,"&lt;="&amp;$A82))</f>
      </c>
      <c r="L82" s="226">
        <f>IF(OR($F82="",N($F82)=0,$K82=""),"",$K82/$F82)</f>
      </c>
      <c r="M82" s="218" t="n"/>
      <c r="N82" s="222">
        <f>IF($J82&lt;&gt;"SIM","",IF($M82&lt;&gt;"",$M82,IF(AND(ISNUMBER($L82),N($L82)&gt;=1),"SIM",IF($A82&lt;=DATA_GESTAO,"NÃO",""))))</f>
      </c>
      <c r="O82" s="218" t="n"/>
    </row>
    <row r="83">
      <c r="A83" s="220" t="n"/>
      <c r="B83" s="218" t="n"/>
      <c r="C83" s="218" t="n"/>
      <c r="D83" s="218" t="n"/>
      <c r="E83" s="298" t="n"/>
      <c r="F83" s="328" t="n"/>
      <c r="G83" s="218" t="n"/>
      <c r="H83" s="218" t="n"/>
      <c r="I83" s="222">
        <f>IF($D83="","",IF(COUNTIFS('05C. RESTRIÇÕES'!$B$5:$B$204,$B83,'05C. RESTRIÇÕES'!$C$5:$C$204,$D83,'05C. RESTRIÇÕES'!$H$5:$H$204,"ABERTA")&gt;0,"SIM","NÃO"))</f>
      </c>
      <c r="J83" s="218" t="n"/>
      <c r="K83" s="329">
        <f>IF(OR($D83="",$A83=""),"",SUMIFS('05B. APONTAMENTO DIÁRIO'!$F$5:$F$1004,'05B. APONTAMENTO DIÁRIO'!$B$5:$B$1004,$B83,'05B. APONTAMENTO DIÁRIO'!$C$5:$C$1004,$D83,'05B. APONTAMENTO DIÁRIO'!$G$5:$G$1004,$G83,'05B. APONTAMENTO DIÁRIO'!$A$5:$A$1004,"&gt;="&amp;($A83-4),'05B. APONTAMENTO DIÁRIO'!$A$5:$A$1004,"&lt;="&amp;$A83))</f>
      </c>
      <c r="L83" s="226">
        <f>IF(OR($F83="",N($F83)=0,$K83=""),"",$K83/$F83)</f>
      </c>
      <c r="M83" s="218" t="n"/>
      <c r="N83" s="222">
        <f>IF($J83&lt;&gt;"SIM","",IF($M83&lt;&gt;"",$M83,IF(AND(ISNUMBER($L83),N($L83)&gt;=1),"SIM",IF($A83&lt;=DATA_GESTAO,"NÃO",""))))</f>
      </c>
      <c r="O83" s="218" t="n"/>
    </row>
    <row r="84">
      <c r="A84" s="220" t="n"/>
      <c r="B84" s="218" t="n"/>
      <c r="C84" s="218" t="n"/>
      <c r="D84" s="218" t="n"/>
      <c r="E84" s="298" t="n"/>
      <c r="F84" s="328" t="n"/>
      <c r="G84" s="218" t="n"/>
      <c r="H84" s="218" t="n"/>
      <c r="I84" s="222">
        <f>IF($D84="","",IF(COUNTIFS('05C. RESTRIÇÕES'!$B$5:$B$204,$B84,'05C. RESTRIÇÕES'!$C$5:$C$204,$D84,'05C. RESTRIÇÕES'!$H$5:$H$204,"ABERTA")&gt;0,"SIM","NÃO"))</f>
      </c>
      <c r="J84" s="218" t="n"/>
      <c r="K84" s="329">
        <f>IF(OR($D84="",$A84=""),"",SUMIFS('05B. APONTAMENTO DIÁRIO'!$F$5:$F$1004,'05B. APONTAMENTO DIÁRIO'!$B$5:$B$1004,$B84,'05B. APONTAMENTO DIÁRIO'!$C$5:$C$1004,$D84,'05B. APONTAMENTO DIÁRIO'!$G$5:$G$1004,$G84,'05B. APONTAMENTO DIÁRIO'!$A$5:$A$1004,"&gt;="&amp;($A84-4),'05B. APONTAMENTO DIÁRIO'!$A$5:$A$1004,"&lt;="&amp;$A84))</f>
      </c>
      <c r="L84" s="226">
        <f>IF(OR($F84="",N($F84)=0,$K84=""),"",$K84/$F84)</f>
      </c>
      <c r="M84" s="218" t="n"/>
      <c r="N84" s="222">
        <f>IF($J84&lt;&gt;"SIM","",IF($M84&lt;&gt;"",$M84,IF(AND(ISNUMBER($L84),N($L84)&gt;=1),"SIM",IF($A84&lt;=DATA_GESTAO,"NÃO",""))))</f>
      </c>
      <c r="O84" s="218" t="n"/>
    </row>
    <row r="85">
      <c r="A85" s="220" t="n"/>
      <c r="B85" s="218" t="n"/>
      <c r="C85" s="218" t="n"/>
      <c r="D85" s="218" t="n"/>
      <c r="E85" s="298" t="n"/>
      <c r="F85" s="328" t="n"/>
      <c r="G85" s="218" t="n"/>
      <c r="H85" s="218" t="n"/>
      <c r="I85" s="222">
        <f>IF($D85="","",IF(COUNTIFS('05C. RESTRIÇÕES'!$B$5:$B$204,$B85,'05C. RESTRIÇÕES'!$C$5:$C$204,$D85,'05C. RESTRIÇÕES'!$H$5:$H$204,"ABERTA")&gt;0,"SIM","NÃO"))</f>
      </c>
      <c r="J85" s="218" t="n"/>
      <c r="K85" s="329">
        <f>IF(OR($D85="",$A85=""),"",SUMIFS('05B. APONTAMENTO DIÁRIO'!$F$5:$F$1004,'05B. APONTAMENTO DIÁRIO'!$B$5:$B$1004,$B85,'05B. APONTAMENTO DIÁRIO'!$C$5:$C$1004,$D85,'05B. APONTAMENTO DIÁRIO'!$G$5:$G$1004,$G85,'05B. APONTAMENTO DIÁRIO'!$A$5:$A$1004,"&gt;="&amp;($A85-4),'05B. APONTAMENTO DIÁRIO'!$A$5:$A$1004,"&lt;="&amp;$A85))</f>
      </c>
      <c r="L85" s="226">
        <f>IF(OR($F85="",N($F85)=0,$K85=""),"",$K85/$F85)</f>
      </c>
      <c r="M85" s="218" t="n"/>
      <c r="N85" s="222">
        <f>IF($J85&lt;&gt;"SIM","",IF($M85&lt;&gt;"",$M85,IF(AND(ISNUMBER($L85),N($L85)&gt;=1),"SIM",IF($A85&lt;=DATA_GESTAO,"NÃO",""))))</f>
      </c>
      <c r="O85" s="218" t="n"/>
    </row>
    <row r="86">
      <c r="A86" s="220" t="n"/>
      <c r="B86" s="218" t="n"/>
      <c r="C86" s="218" t="n"/>
      <c r="D86" s="218" t="n"/>
      <c r="E86" s="298" t="n"/>
      <c r="F86" s="328" t="n"/>
      <c r="G86" s="218" t="n"/>
      <c r="H86" s="218" t="n"/>
      <c r="I86" s="222">
        <f>IF($D86="","",IF(COUNTIFS('05C. RESTRIÇÕES'!$B$5:$B$204,$B86,'05C. RESTRIÇÕES'!$C$5:$C$204,$D86,'05C. RESTRIÇÕES'!$H$5:$H$204,"ABERTA")&gt;0,"SIM","NÃO"))</f>
      </c>
      <c r="J86" s="218" t="n"/>
      <c r="K86" s="329">
        <f>IF(OR($D86="",$A86=""),"",SUMIFS('05B. APONTAMENTO DIÁRIO'!$F$5:$F$1004,'05B. APONTAMENTO DIÁRIO'!$B$5:$B$1004,$B86,'05B. APONTAMENTO DIÁRIO'!$C$5:$C$1004,$D86,'05B. APONTAMENTO DIÁRIO'!$G$5:$G$1004,$G86,'05B. APONTAMENTO DIÁRIO'!$A$5:$A$1004,"&gt;="&amp;($A86-4),'05B. APONTAMENTO DIÁRIO'!$A$5:$A$1004,"&lt;="&amp;$A86))</f>
      </c>
      <c r="L86" s="226">
        <f>IF(OR($F86="",N($F86)=0,$K86=""),"",$K86/$F86)</f>
      </c>
      <c r="M86" s="218" t="n"/>
      <c r="N86" s="222">
        <f>IF($J86&lt;&gt;"SIM","",IF($M86&lt;&gt;"",$M86,IF(AND(ISNUMBER($L86),N($L86)&gt;=1),"SIM",IF($A86&lt;=DATA_GESTAO,"NÃO",""))))</f>
      </c>
      <c r="O86" s="218" t="n"/>
    </row>
    <row r="87">
      <c r="A87" s="220" t="n"/>
      <c r="B87" s="218" t="n"/>
      <c r="C87" s="218" t="n"/>
      <c r="D87" s="218" t="n"/>
      <c r="E87" s="298" t="n"/>
      <c r="F87" s="328" t="n"/>
      <c r="G87" s="218" t="n"/>
      <c r="H87" s="218" t="n"/>
      <c r="I87" s="222">
        <f>IF($D87="","",IF(COUNTIFS('05C. RESTRIÇÕES'!$B$5:$B$204,$B87,'05C. RESTRIÇÕES'!$C$5:$C$204,$D87,'05C. RESTRIÇÕES'!$H$5:$H$204,"ABERTA")&gt;0,"SIM","NÃO"))</f>
      </c>
      <c r="J87" s="218" t="n"/>
      <c r="K87" s="329">
        <f>IF(OR($D87="",$A87=""),"",SUMIFS('05B. APONTAMENTO DIÁRIO'!$F$5:$F$1004,'05B. APONTAMENTO DIÁRIO'!$B$5:$B$1004,$B87,'05B. APONTAMENTO DIÁRIO'!$C$5:$C$1004,$D87,'05B. APONTAMENTO DIÁRIO'!$G$5:$G$1004,$G87,'05B. APONTAMENTO DIÁRIO'!$A$5:$A$1004,"&gt;="&amp;($A87-4),'05B. APONTAMENTO DIÁRIO'!$A$5:$A$1004,"&lt;="&amp;$A87))</f>
      </c>
      <c r="L87" s="226">
        <f>IF(OR($F87="",N($F87)=0,$K87=""),"",$K87/$F87)</f>
      </c>
      <c r="M87" s="218" t="n"/>
      <c r="N87" s="222">
        <f>IF($J87&lt;&gt;"SIM","",IF($M87&lt;&gt;"",$M87,IF(AND(ISNUMBER($L87),N($L87)&gt;=1),"SIM",IF($A87&lt;=DATA_GESTAO,"NÃO",""))))</f>
      </c>
      <c r="O87" s="218" t="n"/>
    </row>
    <row r="88">
      <c r="A88" s="220" t="n"/>
      <c r="B88" s="218" t="n"/>
      <c r="C88" s="218" t="n"/>
      <c r="D88" s="218" t="n"/>
      <c r="E88" s="298" t="n"/>
      <c r="F88" s="328" t="n"/>
      <c r="G88" s="218" t="n"/>
      <c r="H88" s="218" t="n"/>
      <c r="I88" s="222">
        <f>IF($D88="","",IF(COUNTIFS('05C. RESTRIÇÕES'!$B$5:$B$204,$B88,'05C. RESTRIÇÕES'!$C$5:$C$204,$D88,'05C. RESTRIÇÕES'!$H$5:$H$204,"ABERTA")&gt;0,"SIM","NÃO"))</f>
      </c>
      <c r="J88" s="218" t="n"/>
      <c r="K88" s="329">
        <f>IF(OR($D88="",$A88=""),"",SUMIFS('05B. APONTAMENTO DIÁRIO'!$F$5:$F$1004,'05B. APONTAMENTO DIÁRIO'!$B$5:$B$1004,$B88,'05B. APONTAMENTO DIÁRIO'!$C$5:$C$1004,$D88,'05B. APONTAMENTO DIÁRIO'!$G$5:$G$1004,$G88,'05B. APONTAMENTO DIÁRIO'!$A$5:$A$1004,"&gt;="&amp;($A88-4),'05B. APONTAMENTO DIÁRIO'!$A$5:$A$1004,"&lt;="&amp;$A88))</f>
      </c>
      <c r="L88" s="226">
        <f>IF(OR($F88="",N($F88)=0,$K88=""),"",$K88/$F88)</f>
      </c>
      <c r="M88" s="218" t="n"/>
      <c r="N88" s="222">
        <f>IF($J88&lt;&gt;"SIM","",IF($M88&lt;&gt;"",$M88,IF(AND(ISNUMBER($L88),N($L88)&gt;=1),"SIM",IF($A88&lt;=DATA_GESTAO,"NÃO",""))))</f>
      </c>
      <c r="O88" s="218" t="n"/>
    </row>
    <row r="89">
      <c r="A89" s="220" t="n"/>
      <c r="B89" s="218" t="n"/>
      <c r="C89" s="218" t="n"/>
      <c r="D89" s="218" t="n"/>
      <c r="E89" s="298" t="n"/>
      <c r="F89" s="328" t="n"/>
      <c r="G89" s="218" t="n"/>
      <c r="H89" s="218" t="n"/>
      <c r="I89" s="222">
        <f>IF($D89="","",IF(COUNTIFS('05C. RESTRIÇÕES'!$B$5:$B$204,$B89,'05C. RESTRIÇÕES'!$C$5:$C$204,$D89,'05C. RESTRIÇÕES'!$H$5:$H$204,"ABERTA")&gt;0,"SIM","NÃO"))</f>
      </c>
      <c r="J89" s="218" t="n"/>
      <c r="K89" s="329">
        <f>IF(OR($D89="",$A89=""),"",SUMIFS('05B. APONTAMENTO DIÁRIO'!$F$5:$F$1004,'05B. APONTAMENTO DIÁRIO'!$B$5:$B$1004,$B89,'05B. APONTAMENTO DIÁRIO'!$C$5:$C$1004,$D89,'05B. APONTAMENTO DIÁRIO'!$G$5:$G$1004,$G89,'05B. APONTAMENTO DIÁRIO'!$A$5:$A$1004,"&gt;="&amp;($A89-4),'05B. APONTAMENTO DIÁRIO'!$A$5:$A$1004,"&lt;="&amp;$A89))</f>
      </c>
      <c r="L89" s="226">
        <f>IF(OR($F89="",N($F89)=0,$K89=""),"",$K89/$F89)</f>
      </c>
      <c r="M89" s="218" t="n"/>
      <c r="N89" s="222">
        <f>IF($J89&lt;&gt;"SIM","",IF($M89&lt;&gt;"",$M89,IF(AND(ISNUMBER($L89),N($L89)&gt;=1),"SIM",IF($A89&lt;=DATA_GESTAO,"NÃO",""))))</f>
      </c>
      <c r="O89" s="218" t="n"/>
    </row>
    <row r="90">
      <c r="A90" s="220" t="n"/>
      <c r="B90" s="218" t="n"/>
      <c r="C90" s="218" t="n"/>
      <c r="D90" s="218" t="n"/>
      <c r="E90" s="298" t="n"/>
      <c r="F90" s="328" t="n"/>
      <c r="G90" s="218" t="n"/>
      <c r="H90" s="218" t="n"/>
      <c r="I90" s="222">
        <f>IF($D90="","",IF(COUNTIFS('05C. RESTRIÇÕES'!$B$5:$B$204,$B90,'05C. RESTRIÇÕES'!$C$5:$C$204,$D90,'05C. RESTRIÇÕES'!$H$5:$H$204,"ABERTA")&gt;0,"SIM","NÃO"))</f>
      </c>
      <c r="J90" s="218" t="n"/>
      <c r="K90" s="329">
        <f>IF(OR($D90="",$A90=""),"",SUMIFS('05B. APONTAMENTO DIÁRIO'!$F$5:$F$1004,'05B. APONTAMENTO DIÁRIO'!$B$5:$B$1004,$B90,'05B. APONTAMENTO DIÁRIO'!$C$5:$C$1004,$D90,'05B. APONTAMENTO DIÁRIO'!$G$5:$G$1004,$G90,'05B. APONTAMENTO DIÁRIO'!$A$5:$A$1004,"&gt;="&amp;($A90-4),'05B. APONTAMENTO DIÁRIO'!$A$5:$A$1004,"&lt;="&amp;$A90))</f>
      </c>
      <c r="L90" s="226">
        <f>IF(OR($F90="",N($F90)=0,$K90=""),"",$K90/$F90)</f>
      </c>
      <c r="M90" s="218" t="n"/>
      <c r="N90" s="222">
        <f>IF($J90&lt;&gt;"SIM","",IF($M90&lt;&gt;"",$M90,IF(AND(ISNUMBER($L90),N($L90)&gt;=1),"SIM",IF($A90&lt;=DATA_GESTAO,"NÃO",""))))</f>
      </c>
      <c r="O90" s="218" t="n"/>
    </row>
    <row r="91">
      <c r="A91" s="220" t="n"/>
      <c r="B91" s="218" t="n"/>
      <c r="C91" s="218" t="n"/>
      <c r="D91" s="218" t="n"/>
      <c r="E91" s="298" t="n"/>
      <c r="F91" s="328" t="n"/>
      <c r="G91" s="218" t="n"/>
      <c r="H91" s="218" t="n"/>
      <c r="I91" s="222">
        <f>IF($D91="","",IF(COUNTIFS('05C. RESTRIÇÕES'!$B$5:$B$204,$B91,'05C. RESTRIÇÕES'!$C$5:$C$204,$D91,'05C. RESTRIÇÕES'!$H$5:$H$204,"ABERTA")&gt;0,"SIM","NÃO"))</f>
      </c>
      <c r="J91" s="218" t="n"/>
      <c r="K91" s="329">
        <f>IF(OR($D91="",$A91=""),"",SUMIFS('05B. APONTAMENTO DIÁRIO'!$F$5:$F$1004,'05B. APONTAMENTO DIÁRIO'!$B$5:$B$1004,$B91,'05B. APONTAMENTO DIÁRIO'!$C$5:$C$1004,$D91,'05B. APONTAMENTO DIÁRIO'!$G$5:$G$1004,$G91,'05B. APONTAMENTO DIÁRIO'!$A$5:$A$1004,"&gt;="&amp;($A91-4),'05B. APONTAMENTO DIÁRIO'!$A$5:$A$1004,"&lt;="&amp;$A91))</f>
      </c>
      <c r="L91" s="226">
        <f>IF(OR($F91="",N($F91)=0,$K91=""),"",$K91/$F91)</f>
      </c>
      <c r="M91" s="218" t="n"/>
      <c r="N91" s="222">
        <f>IF($J91&lt;&gt;"SIM","",IF($M91&lt;&gt;"",$M91,IF(AND(ISNUMBER($L91),N($L91)&gt;=1),"SIM",IF($A91&lt;=DATA_GESTAO,"NÃO",""))))</f>
      </c>
      <c r="O91" s="218" t="n"/>
    </row>
    <row r="92">
      <c r="A92" s="220" t="n"/>
      <c r="B92" s="218" t="n"/>
      <c r="C92" s="218" t="n"/>
      <c r="D92" s="218" t="n"/>
      <c r="E92" s="298" t="n"/>
      <c r="F92" s="328" t="n"/>
      <c r="G92" s="218" t="n"/>
      <c r="H92" s="218" t="n"/>
      <c r="I92" s="222">
        <f>IF($D92="","",IF(COUNTIFS('05C. RESTRIÇÕES'!$B$5:$B$204,$B92,'05C. RESTRIÇÕES'!$C$5:$C$204,$D92,'05C. RESTRIÇÕES'!$H$5:$H$204,"ABERTA")&gt;0,"SIM","NÃO"))</f>
      </c>
      <c r="J92" s="218" t="n"/>
      <c r="K92" s="329">
        <f>IF(OR($D92="",$A92=""),"",SUMIFS('05B. APONTAMENTO DIÁRIO'!$F$5:$F$1004,'05B. APONTAMENTO DIÁRIO'!$B$5:$B$1004,$B92,'05B. APONTAMENTO DIÁRIO'!$C$5:$C$1004,$D92,'05B. APONTAMENTO DIÁRIO'!$G$5:$G$1004,$G92,'05B. APONTAMENTO DIÁRIO'!$A$5:$A$1004,"&gt;="&amp;($A92-4),'05B. APONTAMENTO DIÁRIO'!$A$5:$A$1004,"&lt;="&amp;$A92))</f>
      </c>
      <c r="L92" s="226">
        <f>IF(OR($F92="",N($F92)=0,$K92=""),"",$K92/$F92)</f>
      </c>
      <c r="M92" s="218" t="n"/>
      <c r="N92" s="222">
        <f>IF($J92&lt;&gt;"SIM","",IF($M92&lt;&gt;"",$M92,IF(AND(ISNUMBER($L92),N($L92)&gt;=1),"SIM",IF($A92&lt;=DATA_GESTAO,"NÃO",""))))</f>
      </c>
      <c r="O92" s="218" t="n"/>
    </row>
    <row r="93">
      <c r="A93" s="220" t="n"/>
      <c r="B93" s="218" t="n"/>
      <c r="C93" s="218" t="n"/>
      <c r="D93" s="218" t="n"/>
      <c r="E93" s="298" t="n"/>
      <c r="F93" s="328" t="n"/>
      <c r="G93" s="218" t="n"/>
      <c r="H93" s="218" t="n"/>
      <c r="I93" s="222">
        <f>IF($D93="","",IF(COUNTIFS('05C. RESTRIÇÕES'!$B$5:$B$204,$B93,'05C. RESTRIÇÕES'!$C$5:$C$204,$D93,'05C. RESTRIÇÕES'!$H$5:$H$204,"ABERTA")&gt;0,"SIM","NÃO"))</f>
      </c>
      <c r="J93" s="218" t="n"/>
      <c r="K93" s="329">
        <f>IF(OR($D93="",$A93=""),"",SUMIFS('05B. APONTAMENTO DIÁRIO'!$F$5:$F$1004,'05B. APONTAMENTO DIÁRIO'!$B$5:$B$1004,$B93,'05B. APONTAMENTO DIÁRIO'!$C$5:$C$1004,$D93,'05B. APONTAMENTO DIÁRIO'!$G$5:$G$1004,$G93,'05B. APONTAMENTO DIÁRIO'!$A$5:$A$1004,"&gt;="&amp;($A93-4),'05B. APONTAMENTO DIÁRIO'!$A$5:$A$1004,"&lt;="&amp;$A93))</f>
      </c>
      <c r="L93" s="226">
        <f>IF(OR($F93="",N($F93)=0,$K93=""),"",$K93/$F93)</f>
      </c>
      <c r="M93" s="218" t="n"/>
      <c r="N93" s="222">
        <f>IF($J93&lt;&gt;"SIM","",IF($M93&lt;&gt;"",$M93,IF(AND(ISNUMBER($L93),N($L93)&gt;=1),"SIM",IF($A93&lt;=DATA_GESTAO,"NÃO",""))))</f>
      </c>
      <c r="O93" s="218" t="n"/>
    </row>
    <row r="94">
      <c r="A94" s="220" t="n"/>
      <c r="B94" s="218" t="n"/>
      <c r="C94" s="218" t="n"/>
      <c r="D94" s="218" t="n"/>
      <c r="E94" s="298" t="n"/>
      <c r="F94" s="328" t="n"/>
      <c r="G94" s="218" t="n"/>
      <c r="H94" s="218" t="n"/>
      <c r="I94" s="222">
        <f>IF($D94="","",IF(COUNTIFS('05C. RESTRIÇÕES'!$B$5:$B$204,$B94,'05C. RESTRIÇÕES'!$C$5:$C$204,$D94,'05C. RESTRIÇÕES'!$H$5:$H$204,"ABERTA")&gt;0,"SIM","NÃO"))</f>
      </c>
      <c r="J94" s="218" t="n"/>
      <c r="K94" s="329">
        <f>IF(OR($D94="",$A94=""),"",SUMIFS('05B. APONTAMENTO DIÁRIO'!$F$5:$F$1004,'05B. APONTAMENTO DIÁRIO'!$B$5:$B$1004,$B94,'05B. APONTAMENTO DIÁRIO'!$C$5:$C$1004,$D94,'05B. APONTAMENTO DIÁRIO'!$G$5:$G$1004,$G94,'05B. APONTAMENTO DIÁRIO'!$A$5:$A$1004,"&gt;="&amp;($A94-4),'05B. APONTAMENTO DIÁRIO'!$A$5:$A$1004,"&lt;="&amp;$A94))</f>
      </c>
      <c r="L94" s="226">
        <f>IF(OR($F94="",N($F94)=0,$K94=""),"",$K94/$F94)</f>
      </c>
      <c r="M94" s="218" t="n"/>
      <c r="N94" s="222">
        <f>IF($J94&lt;&gt;"SIM","",IF($M94&lt;&gt;"",$M94,IF(AND(ISNUMBER($L94),N($L94)&gt;=1),"SIM",IF($A94&lt;=DATA_GESTAO,"NÃO",""))))</f>
      </c>
      <c r="O94" s="218" t="n"/>
    </row>
    <row r="95">
      <c r="A95" s="220" t="n"/>
      <c r="B95" s="218" t="n"/>
      <c r="C95" s="218" t="n"/>
      <c r="D95" s="218" t="n"/>
      <c r="E95" s="298" t="n"/>
      <c r="F95" s="328" t="n"/>
      <c r="G95" s="218" t="n"/>
      <c r="H95" s="218" t="n"/>
      <c r="I95" s="222">
        <f>IF($D95="","",IF(COUNTIFS('05C. RESTRIÇÕES'!$B$5:$B$204,$B95,'05C. RESTRIÇÕES'!$C$5:$C$204,$D95,'05C. RESTRIÇÕES'!$H$5:$H$204,"ABERTA")&gt;0,"SIM","NÃO"))</f>
      </c>
      <c r="J95" s="218" t="n"/>
      <c r="K95" s="329">
        <f>IF(OR($D95="",$A95=""),"",SUMIFS('05B. APONTAMENTO DIÁRIO'!$F$5:$F$1004,'05B. APONTAMENTO DIÁRIO'!$B$5:$B$1004,$B95,'05B. APONTAMENTO DIÁRIO'!$C$5:$C$1004,$D95,'05B. APONTAMENTO DIÁRIO'!$G$5:$G$1004,$G95,'05B. APONTAMENTO DIÁRIO'!$A$5:$A$1004,"&gt;="&amp;($A95-4),'05B. APONTAMENTO DIÁRIO'!$A$5:$A$1004,"&lt;="&amp;$A95))</f>
      </c>
      <c r="L95" s="226">
        <f>IF(OR($F95="",N($F95)=0,$K95=""),"",$K95/$F95)</f>
      </c>
      <c r="M95" s="218" t="n"/>
      <c r="N95" s="222">
        <f>IF($J95&lt;&gt;"SIM","",IF($M95&lt;&gt;"",$M95,IF(AND(ISNUMBER($L95),N($L95)&gt;=1),"SIM",IF($A95&lt;=DATA_GESTAO,"NÃO",""))))</f>
      </c>
      <c r="O95" s="218" t="n"/>
    </row>
    <row r="96">
      <c r="A96" s="220" t="n"/>
      <c r="B96" s="218" t="n"/>
      <c r="C96" s="218" t="n"/>
      <c r="D96" s="218" t="n"/>
      <c r="E96" s="298" t="n"/>
      <c r="F96" s="328" t="n"/>
      <c r="G96" s="218" t="n"/>
      <c r="H96" s="218" t="n"/>
      <c r="I96" s="222">
        <f>IF($D96="","",IF(COUNTIFS('05C. RESTRIÇÕES'!$B$5:$B$204,$B96,'05C. RESTRIÇÕES'!$C$5:$C$204,$D96,'05C. RESTRIÇÕES'!$H$5:$H$204,"ABERTA")&gt;0,"SIM","NÃO"))</f>
      </c>
      <c r="J96" s="218" t="n"/>
      <c r="K96" s="329">
        <f>IF(OR($D96="",$A96=""),"",SUMIFS('05B. APONTAMENTO DIÁRIO'!$F$5:$F$1004,'05B. APONTAMENTO DIÁRIO'!$B$5:$B$1004,$B96,'05B. APONTAMENTO DIÁRIO'!$C$5:$C$1004,$D96,'05B. APONTAMENTO DIÁRIO'!$G$5:$G$1004,$G96,'05B. APONTAMENTO DIÁRIO'!$A$5:$A$1004,"&gt;="&amp;($A96-4),'05B. APONTAMENTO DIÁRIO'!$A$5:$A$1004,"&lt;="&amp;$A96))</f>
      </c>
      <c r="L96" s="226">
        <f>IF(OR($F96="",N($F96)=0,$K96=""),"",$K96/$F96)</f>
      </c>
      <c r="M96" s="218" t="n"/>
      <c r="N96" s="222">
        <f>IF($J96&lt;&gt;"SIM","",IF($M96&lt;&gt;"",$M96,IF(AND(ISNUMBER($L96),N($L96)&gt;=1),"SIM",IF($A96&lt;=DATA_GESTAO,"NÃO",""))))</f>
      </c>
      <c r="O96" s="218" t="n"/>
    </row>
    <row r="97">
      <c r="A97" s="220" t="n"/>
      <c r="B97" s="218" t="n"/>
      <c r="C97" s="218" t="n"/>
      <c r="D97" s="218" t="n"/>
      <c r="E97" s="298" t="n"/>
      <c r="F97" s="328" t="n"/>
      <c r="G97" s="218" t="n"/>
      <c r="H97" s="218" t="n"/>
      <c r="I97" s="222">
        <f>IF($D97="","",IF(COUNTIFS('05C. RESTRIÇÕES'!$B$5:$B$204,$B97,'05C. RESTRIÇÕES'!$C$5:$C$204,$D97,'05C. RESTRIÇÕES'!$H$5:$H$204,"ABERTA")&gt;0,"SIM","NÃO"))</f>
      </c>
      <c r="J97" s="218" t="n"/>
      <c r="K97" s="329">
        <f>IF(OR($D97="",$A97=""),"",SUMIFS('05B. APONTAMENTO DIÁRIO'!$F$5:$F$1004,'05B. APONTAMENTO DIÁRIO'!$B$5:$B$1004,$B97,'05B. APONTAMENTO DIÁRIO'!$C$5:$C$1004,$D97,'05B. APONTAMENTO DIÁRIO'!$G$5:$G$1004,$G97,'05B. APONTAMENTO DIÁRIO'!$A$5:$A$1004,"&gt;="&amp;($A97-4),'05B. APONTAMENTO DIÁRIO'!$A$5:$A$1004,"&lt;="&amp;$A97))</f>
      </c>
      <c r="L97" s="226">
        <f>IF(OR($F97="",N($F97)=0,$K97=""),"",$K97/$F97)</f>
      </c>
      <c r="M97" s="218" t="n"/>
      <c r="N97" s="222">
        <f>IF($J97&lt;&gt;"SIM","",IF($M97&lt;&gt;"",$M97,IF(AND(ISNUMBER($L97),N($L97)&gt;=1),"SIM",IF($A97&lt;=DATA_GESTAO,"NÃO",""))))</f>
      </c>
      <c r="O97" s="218" t="n"/>
    </row>
    <row r="98">
      <c r="A98" s="220" t="n"/>
      <c r="B98" s="218" t="n"/>
      <c r="C98" s="218" t="n"/>
      <c r="D98" s="218" t="n"/>
      <c r="E98" s="298" t="n"/>
      <c r="F98" s="328" t="n"/>
      <c r="G98" s="218" t="n"/>
      <c r="H98" s="218" t="n"/>
      <c r="I98" s="222">
        <f>IF($D98="","",IF(COUNTIFS('05C. RESTRIÇÕES'!$B$5:$B$204,$B98,'05C. RESTRIÇÕES'!$C$5:$C$204,$D98,'05C. RESTRIÇÕES'!$H$5:$H$204,"ABERTA")&gt;0,"SIM","NÃO"))</f>
      </c>
      <c r="J98" s="218" t="n"/>
      <c r="K98" s="329">
        <f>IF(OR($D98="",$A98=""),"",SUMIFS('05B. APONTAMENTO DIÁRIO'!$F$5:$F$1004,'05B. APONTAMENTO DIÁRIO'!$B$5:$B$1004,$B98,'05B. APONTAMENTO DIÁRIO'!$C$5:$C$1004,$D98,'05B. APONTAMENTO DIÁRIO'!$G$5:$G$1004,$G98,'05B. APONTAMENTO DIÁRIO'!$A$5:$A$1004,"&gt;="&amp;($A98-4),'05B. APONTAMENTO DIÁRIO'!$A$5:$A$1004,"&lt;="&amp;$A98))</f>
      </c>
      <c r="L98" s="226">
        <f>IF(OR($F98="",N($F98)=0,$K98=""),"",$K98/$F98)</f>
      </c>
      <c r="M98" s="218" t="n"/>
      <c r="N98" s="222">
        <f>IF($J98&lt;&gt;"SIM","",IF($M98&lt;&gt;"",$M98,IF(AND(ISNUMBER($L98),N($L98)&gt;=1),"SIM",IF($A98&lt;=DATA_GESTAO,"NÃO",""))))</f>
      </c>
      <c r="O98" s="218" t="n"/>
    </row>
    <row r="99">
      <c r="A99" s="220" t="n"/>
      <c r="B99" s="218" t="n"/>
      <c r="C99" s="218" t="n"/>
      <c r="D99" s="218" t="n"/>
      <c r="E99" s="298" t="n"/>
      <c r="F99" s="328" t="n"/>
      <c r="G99" s="218" t="n"/>
      <c r="H99" s="218" t="n"/>
      <c r="I99" s="222">
        <f>IF($D99="","",IF(COUNTIFS('05C. RESTRIÇÕES'!$B$5:$B$204,$B99,'05C. RESTRIÇÕES'!$C$5:$C$204,$D99,'05C. RESTRIÇÕES'!$H$5:$H$204,"ABERTA")&gt;0,"SIM","NÃO"))</f>
      </c>
      <c r="J99" s="218" t="n"/>
      <c r="K99" s="329">
        <f>IF(OR($D99="",$A99=""),"",SUMIFS('05B. APONTAMENTO DIÁRIO'!$F$5:$F$1004,'05B. APONTAMENTO DIÁRIO'!$B$5:$B$1004,$B99,'05B. APONTAMENTO DIÁRIO'!$C$5:$C$1004,$D99,'05B. APONTAMENTO DIÁRIO'!$G$5:$G$1004,$G99,'05B. APONTAMENTO DIÁRIO'!$A$5:$A$1004,"&gt;="&amp;($A99-4),'05B. APONTAMENTO DIÁRIO'!$A$5:$A$1004,"&lt;="&amp;$A99))</f>
      </c>
      <c r="L99" s="226">
        <f>IF(OR($F99="",N($F99)=0,$K99=""),"",$K99/$F99)</f>
      </c>
      <c r="M99" s="218" t="n"/>
      <c r="N99" s="222">
        <f>IF($J99&lt;&gt;"SIM","",IF($M99&lt;&gt;"",$M99,IF(AND(ISNUMBER($L99),N($L99)&gt;=1),"SIM",IF($A99&lt;=DATA_GESTAO,"NÃO",""))))</f>
      </c>
      <c r="O99" s="218" t="n"/>
    </row>
    <row r="100">
      <c r="A100" s="220" t="n"/>
      <c r="B100" s="218" t="n"/>
      <c r="C100" s="218" t="n"/>
      <c r="D100" s="218" t="n"/>
      <c r="E100" s="298" t="n"/>
      <c r="F100" s="328" t="n"/>
      <c r="G100" s="218" t="n"/>
      <c r="H100" s="218" t="n"/>
      <c r="I100" s="222">
        <f>IF($D100="","",IF(COUNTIFS('05C. RESTRIÇÕES'!$B$5:$B$204,$B100,'05C. RESTRIÇÕES'!$C$5:$C$204,$D100,'05C. RESTRIÇÕES'!$H$5:$H$204,"ABERTA")&gt;0,"SIM","NÃO"))</f>
      </c>
      <c r="J100" s="218" t="n"/>
      <c r="K100" s="329">
        <f>IF(OR($D100="",$A100=""),"",SUMIFS('05B. APONTAMENTO DIÁRIO'!$F$5:$F$1004,'05B. APONTAMENTO DIÁRIO'!$B$5:$B$1004,$B100,'05B. APONTAMENTO DIÁRIO'!$C$5:$C$1004,$D100,'05B. APONTAMENTO DIÁRIO'!$G$5:$G$1004,$G100,'05B. APONTAMENTO DIÁRIO'!$A$5:$A$1004,"&gt;="&amp;($A100-4),'05B. APONTAMENTO DIÁRIO'!$A$5:$A$1004,"&lt;="&amp;$A100))</f>
      </c>
      <c r="L100" s="226">
        <f>IF(OR($F100="",N($F100)=0,$K100=""),"",$K100/$F100)</f>
      </c>
      <c r="M100" s="218" t="n"/>
      <c r="N100" s="222">
        <f>IF($J100&lt;&gt;"SIM","",IF($M100&lt;&gt;"",$M100,IF(AND(ISNUMBER($L100),N($L100)&gt;=1),"SIM",IF($A100&lt;=DATA_GESTAO,"NÃO",""))))</f>
      </c>
      <c r="O100" s="218" t="n"/>
    </row>
    <row r="101">
      <c r="A101" s="220" t="n"/>
      <c r="B101" s="218" t="n"/>
      <c r="C101" s="218" t="n"/>
      <c r="D101" s="218" t="n"/>
      <c r="E101" s="298" t="n"/>
      <c r="F101" s="328" t="n"/>
      <c r="G101" s="218" t="n"/>
      <c r="H101" s="218" t="n"/>
      <c r="I101" s="222">
        <f>IF($D101="","",IF(COUNTIFS('05C. RESTRIÇÕES'!$B$5:$B$204,$B101,'05C. RESTRIÇÕES'!$C$5:$C$204,$D101,'05C. RESTRIÇÕES'!$H$5:$H$204,"ABERTA")&gt;0,"SIM","NÃO"))</f>
      </c>
      <c r="J101" s="218" t="n"/>
      <c r="K101" s="329">
        <f>IF(OR($D101="",$A101=""),"",SUMIFS('05B. APONTAMENTO DIÁRIO'!$F$5:$F$1004,'05B. APONTAMENTO DIÁRIO'!$B$5:$B$1004,$B101,'05B. APONTAMENTO DIÁRIO'!$C$5:$C$1004,$D101,'05B. APONTAMENTO DIÁRIO'!$G$5:$G$1004,$G101,'05B. APONTAMENTO DIÁRIO'!$A$5:$A$1004,"&gt;="&amp;($A101-4),'05B. APONTAMENTO DIÁRIO'!$A$5:$A$1004,"&lt;="&amp;$A101))</f>
      </c>
      <c r="L101" s="226">
        <f>IF(OR($F101="",N($F101)=0,$K101=""),"",$K101/$F101)</f>
      </c>
      <c r="M101" s="218" t="n"/>
      <c r="N101" s="222">
        <f>IF($J101&lt;&gt;"SIM","",IF($M101&lt;&gt;"",$M101,IF(AND(ISNUMBER($L101),N($L101)&gt;=1),"SIM",IF($A101&lt;=DATA_GESTAO,"NÃO",""))))</f>
      </c>
      <c r="O101" s="218" t="n"/>
    </row>
    <row r="102">
      <c r="A102" s="220" t="n"/>
      <c r="B102" s="218" t="n"/>
      <c r="C102" s="218" t="n"/>
      <c r="D102" s="218" t="n"/>
      <c r="E102" s="298" t="n"/>
      <c r="F102" s="328" t="n"/>
      <c r="G102" s="218" t="n"/>
      <c r="H102" s="218" t="n"/>
      <c r="I102" s="222">
        <f>IF($D102="","",IF(COUNTIFS('05C. RESTRIÇÕES'!$B$5:$B$204,$B102,'05C. RESTRIÇÕES'!$C$5:$C$204,$D102,'05C. RESTRIÇÕES'!$H$5:$H$204,"ABERTA")&gt;0,"SIM","NÃO"))</f>
      </c>
      <c r="J102" s="218" t="n"/>
      <c r="K102" s="329">
        <f>IF(OR($D102="",$A102=""),"",SUMIFS('05B. APONTAMENTO DIÁRIO'!$F$5:$F$1004,'05B. APONTAMENTO DIÁRIO'!$B$5:$B$1004,$B102,'05B. APONTAMENTO DIÁRIO'!$C$5:$C$1004,$D102,'05B. APONTAMENTO DIÁRIO'!$G$5:$G$1004,$G102,'05B. APONTAMENTO DIÁRIO'!$A$5:$A$1004,"&gt;="&amp;($A102-4),'05B. APONTAMENTO DIÁRIO'!$A$5:$A$1004,"&lt;="&amp;$A102))</f>
      </c>
      <c r="L102" s="226">
        <f>IF(OR($F102="",N($F102)=0,$K102=""),"",$K102/$F102)</f>
      </c>
      <c r="M102" s="218" t="n"/>
      <c r="N102" s="222">
        <f>IF($J102&lt;&gt;"SIM","",IF($M102&lt;&gt;"",$M102,IF(AND(ISNUMBER($L102),N($L102)&gt;=1),"SIM",IF($A102&lt;=DATA_GESTAO,"NÃO",""))))</f>
      </c>
      <c r="O102" s="218" t="n"/>
    </row>
    <row r="103">
      <c r="A103" s="220" t="n"/>
      <c r="B103" s="218" t="n"/>
      <c r="C103" s="218" t="n"/>
      <c r="D103" s="218" t="n"/>
      <c r="E103" s="298" t="n"/>
      <c r="F103" s="328" t="n"/>
      <c r="G103" s="218" t="n"/>
      <c r="H103" s="218" t="n"/>
      <c r="I103" s="222">
        <f>IF($D103="","",IF(COUNTIFS('05C. RESTRIÇÕES'!$B$5:$B$204,$B103,'05C. RESTRIÇÕES'!$C$5:$C$204,$D103,'05C. RESTRIÇÕES'!$H$5:$H$204,"ABERTA")&gt;0,"SIM","NÃO"))</f>
      </c>
      <c r="J103" s="218" t="n"/>
      <c r="K103" s="329">
        <f>IF(OR($D103="",$A103=""),"",SUMIFS('05B. APONTAMENTO DIÁRIO'!$F$5:$F$1004,'05B. APONTAMENTO DIÁRIO'!$B$5:$B$1004,$B103,'05B. APONTAMENTO DIÁRIO'!$C$5:$C$1004,$D103,'05B. APONTAMENTO DIÁRIO'!$G$5:$G$1004,$G103,'05B. APONTAMENTO DIÁRIO'!$A$5:$A$1004,"&gt;="&amp;($A103-4),'05B. APONTAMENTO DIÁRIO'!$A$5:$A$1004,"&lt;="&amp;$A103))</f>
      </c>
      <c r="L103" s="226">
        <f>IF(OR($F103="",N($F103)=0,$K103=""),"",$K103/$F103)</f>
      </c>
      <c r="M103" s="218" t="n"/>
      <c r="N103" s="222">
        <f>IF($J103&lt;&gt;"SIM","",IF($M103&lt;&gt;"",$M103,IF(AND(ISNUMBER($L103),N($L103)&gt;=1),"SIM",IF($A103&lt;=DATA_GESTAO,"NÃO",""))))</f>
      </c>
      <c r="O103" s="218" t="n"/>
    </row>
    <row r="104">
      <c r="A104" s="220" t="n"/>
      <c r="B104" s="218" t="n"/>
      <c r="C104" s="218" t="n"/>
      <c r="D104" s="218" t="n"/>
      <c r="E104" s="298" t="n"/>
      <c r="F104" s="328" t="n"/>
      <c r="G104" s="218" t="n"/>
      <c r="H104" s="218" t="n"/>
      <c r="I104" s="222">
        <f>IF($D104="","",IF(COUNTIFS('05C. RESTRIÇÕES'!$B$5:$B$204,$B104,'05C. RESTRIÇÕES'!$C$5:$C$204,$D104,'05C. RESTRIÇÕES'!$H$5:$H$204,"ABERTA")&gt;0,"SIM","NÃO"))</f>
      </c>
      <c r="J104" s="218" t="n"/>
      <c r="K104" s="329">
        <f>IF(OR($D104="",$A104=""),"",SUMIFS('05B. APONTAMENTO DIÁRIO'!$F$5:$F$1004,'05B. APONTAMENTO DIÁRIO'!$B$5:$B$1004,$B104,'05B. APONTAMENTO DIÁRIO'!$C$5:$C$1004,$D104,'05B. APONTAMENTO DIÁRIO'!$G$5:$G$1004,$G104,'05B. APONTAMENTO DIÁRIO'!$A$5:$A$1004,"&gt;="&amp;($A104-4),'05B. APONTAMENTO DIÁRIO'!$A$5:$A$1004,"&lt;="&amp;$A104))</f>
      </c>
      <c r="L104" s="226">
        <f>IF(OR($F104="",N($F104)=0,$K104=""),"",$K104/$F104)</f>
      </c>
      <c r="M104" s="218" t="n"/>
      <c r="N104" s="222">
        <f>IF($J104&lt;&gt;"SIM","",IF($M104&lt;&gt;"",$M104,IF(AND(ISNUMBER($L104),N($L104)&gt;=1),"SIM",IF($A104&lt;=DATA_GESTAO,"NÃO",""))))</f>
      </c>
      <c r="O104" s="218" t="n"/>
    </row>
    <row r="105">
      <c r="A105" s="220" t="n"/>
      <c r="B105" s="218" t="n"/>
      <c r="C105" s="218" t="n"/>
      <c r="D105" s="218" t="n"/>
      <c r="E105" s="298" t="n"/>
      <c r="F105" s="328" t="n"/>
      <c r="G105" s="218" t="n"/>
      <c r="H105" s="218" t="n"/>
      <c r="I105" s="222">
        <f>IF($D105="","",IF(COUNTIFS('05C. RESTRIÇÕES'!$B$5:$B$204,$B105,'05C. RESTRIÇÕES'!$C$5:$C$204,$D105,'05C. RESTRIÇÕES'!$H$5:$H$204,"ABERTA")&gt;0,"SIM","NÃO"))</f>
      </c>
      <c r="J105" s="218" t="n"/>
      <c r="K105" s="329">
        <f>IF(OR($D105="",$A105=""),"",SUMIFS('05B. APONTAMENTO DIÁRIO'!$F$5:$F$1004,'05B. APONTAMENTO DIÁRIO'!$B$5:$B$1004,$B105,'05B. APONTAMENTO DIÁRIO'!$C$5:$C$1004,$D105,'05B. APONTAMENTO DIÁRIO'!$G$5:$G$1004,$G105,'05B. APONTAMENTO DIÁRIO'!$A$5:$A$1004,"&gt;="&amp;($A105-4),'05B. APONTAMENTO DIÁRIO'!$A$5:$A$1004,"&lt;="&amp;$A105))</f>
      </c>
      <c r="L105" s="226">
        <f>IF(OR($F105="",N($F105)=0,$K105=""),"",$K105/$F105)</f>
      </c>
      <c r="M105" s="218" t="n"/>
      <c r="N105" s="222">
        <f>IF($J105&lt;&gt;"SIM","",IF($M105&lt;&gt;"",$M105,IF(AND(ISNUMBER($L105),N($L105)&gt;=1),"SIM",IF($A105&lt;=DATA_GESTAO,"NÃO",""))))</f>
      </c>
      <c r="O105" s="218" t="n"/>
    </row>
    <row r="106">
      <c r="A106" s="220" t="n"/>
      <c r="B106" s="218" t="n"/>
      <c r="C106" s="218" t="n"/>
      <c r="D106" s="218" t="n"/>
      <c r="E106" s="298" t="n"/>
      <c r="F106" s="328" t="n"/>
      <c r="G106" s="218" t="n"/>
      <c r="H106" s="218" t="n"/>
      <c r="I106" s="222">
        <f>IF($D106="","",IF(COUNTIFS('05C. RESTRIÇÕES'!$B$5:$B$204,$B106,'05C. RESTRIÇÕES'!$C$5:$C$204,$D106,'05C. RESTRIÇÕES'!$H$5:$H$204,"ABERTA")&gt;0,"SIM","NÃO"))</f>
      </c>
      <c r="J106" s="218" t="n"/>
      <c r="K106" s="329">
        <f>IF(OR($D106="",$A106=""),"",SUMIFS('05B. APONTAMENTO DIÁRIO'!$F$5:$F$1004,'05B. APONTAMENTO DIÁRIO'!$B$5:$B$1004,$B106,'05B. APONTAMENTO DIÁRIO'!$C$5:$C$1004,$D106,'05B. APONTAMENTO DIÁRIO'!$G$5:$G$1004,$G106,'05B. APONTAMENTO DIÁRIO'!$A$5:$A$1004,"&gt;="&amp;($A106-4),'05B. APONTAMENTO DIÁRIO'!$A$5:$A$1004,"&lt;="&amp;$A106))</f>
      </c>
      <c r="L106" s="226">
        <f>IF(OR($F106="",N($F106)=0,$K106=""),"",$K106/$F106)</f>
      </c>
      <c r="M106" s="218" t="n"/>
      <c r="N106" s="222">
        <f>IF($J106&lt;&gt;"SIM","",IF($M106&lt;&gt;"",$M106,IF(AND(ISNUMBER($L106),N($L106)&gt;=1),"SIM",IF($A106&lt;=DATA_GESTAO,"NÃO",""))))</f>
      </c>
      <c r="O106" s="218" t="n"/>
    </row>
    <row r="107">
      <c r="A107" s="220" t="n"/>
      <c r="B107" s="218" t="n"/>
      <c r="C107" s="218" t="n"/>
      <c r="D107" s="218" t="n"/>
      <c r="E107" s="298" t="n"/>
      <c r="F107" s="328" t="n"/>
      <c r="G107" s="218" t="n"/>
      <c r="H107" s="218" t="n"/>
      <c r="I107" s="222">
        <f>IF($D107="","",IF(COUNTIFS('05C. RESTRIÇÕES'!$B$5:$B$204,$B107,'05C. RESTRIÇÕES'!$C$5:$C$204,$D107,'05C. RESTRIÇÕES'!$H$5:$H$204,"ABERTA")&gt;0,"SIM","NÃO"))</f>
      </c>
      <c r="J107" s="218" t="n"/>
      <c r="K107" s="329">
        <f>IF(OR($D107="",$A107=""),"",SUMIFS('05B. APONTAMENTO DIÁRIO'!$F$5:$F$1004,'05B. APONTAMENTO DIÁRIO'!$B$5:$B$1004,$B107,'05B. APONTAMENTO DIÁRIO'!$C$5:$C$1004,$D107,'05B. APONTAMENTO DIÁRIO'!$G$5:$G$1004,$G107,'05B. APONTAMENTO DIÁRIO'!$A$5:$A$1004,"&gt;="&amp;($A107-4),'05B. APONTAMENTO DIÁRIO'!$A$5:$A$1004,"&lt;="&amp;$A107))</f>
      </c>
      <c r="L107" s="226">
        <f>IF(OR($F107="",N($F107)=0,$K107=""),"",$K107/$F107)</f>
      </c>
      <c r="M107" s="218" t="n"/>
      <c r="N107" s="222">
        <f>IF($J107&lt;&gt;"SIM","",IF($M107&lt;&gt;"",$M107,IF(AND(ISNUMBER($L107),N($L107)&gt;=1),"SIM",IF($A107&lt;=DATA_GESTAO,"NÃO",""))))</f>
      </c>
      <c r="O107" s="218" t="n"/>
    </row>
    <row r="108">
      <c r="A108" s="220" t="n"/>
      <c r="B108" s="218" t="n"/>
      <c r="C108" s="218" t="n"/>
      <c r="D108" s="218" t="n"/>
      <c r="E108" s="298" t="n"/>
      <c r="F108" s="328" t="n"/>
      <c r="G108" s="218" t="n"/>
      <c r="H108" s="218" t="n"/>
      <c r="I108" s="222">
        <f>IF($D108="","",IF(COUNTIFS('05C. RESTRIÇÕES'!$B$5:$B$204,$B108,'05C. RESTRIÇÕES'!$C$5:$C$204,$D108,'05C. RESTRIÇÕES'!$H$5:$H$204,"ABERTA")&gt;0,"SIM","NÃO"))</f>
      </c>
      <c r="J108" s="218" t="n"/>
      <c r="K108" s="329">
        <f>IF(OR($D108="",$A108=""),"",SUMIFS('05B. APONTAMENTO DIÁRIO'!$F$5:$F$1004,'05B. APONTAMENTO DIÁRIO'!$B$5:$B$1004,$B108,'05B. APONTAMENTO DIÁRIO'!$C$5:$C$1004,$D108,'05B. APONTAMENTO DIÁRIO'!$G$5:$G$1004,$G108,'05B. APONTAMENTO DIÁRIO'!$A$5:$A$1004,"&gt;="&amp;($A108-4),'05B. APONTAMENTO DIÁRIO'!$A$5:$A$1004,"&lt;="&amp;$A108))</f>
      </c>
      <c r="L108" s="226">
        <f>IF(OR($F108="",N($F108)=0,$K108=""),"",$K108/$F108)</f>
      </c>
      <c r="M108" s="218" t="n"/>
      <c r="N108" s="222">
        <f>IF($J108&lt;&gt;"SIM","",IF($M108&lt;&gt;"",$M108,IF(AND(ISNUMBER($L108),N($L108)&gt;=1),"SIM",IF($A108&lt;=DATA_GESTAO,"NÃO",""))))</f>
      </c>
      <c r="O108" s="218" t="n"/>
    </row>
    <row r="109">
      <c r="A109" s="220" t="n"/>
      <c r="B109" s="218" t="n"/>
      <c r="C109" s="218" t="n"/>
      <c r="D109" s="218" t="n"/>
      <c r="E109" s="298" t="n"/>
      <c r="F109" s="328" t="n"/>
      <c r="G109" s="218" t="n"/>
      <c r="H109" s="218" t="n"/>
      <c r="I109" s="222">
        <f>IF($D109="","",IF(COUNTIFS('05C. RESTRIÇÕES'!$B$5:$B$204,$B109,'05C. RESTRIÇÕES'!$C$5:$C$204,$D109,'05C. RESTRIÇÕES'!$H$5:$H$204,"ABERTA")&gt;0,"SIM","NÃO"))</f>
      </c>
      <c r="J109" s="218" t="n"/>
      <c r="K109" s="329">
        <f>IF(OR($D109="",$A109=""),"",SUMIFS('05B. APONTAMENTO DIÁRIO'!$F$5:$F$1004,'05B. APONTAMENTO DIÁRIO'!$B$5:$B$1004,$B109,'05B. APONTAMENTO DIÁRIO'!$C$5:$C$1004,$D109,'05B. APONTAMENTO DIÁRIO'!$G$5:$G$1004,$G109,'05B. APONTAMENTO DIÁRIO'!$A$5:$A$1004,"&gt;="&amp;($A109-4),'05B. APONTAMENTO DIÁRIO'!$A$5:$A$1004,"&lt;="&amp;$A109))</f>
      </c>
      <c r="L109" s="226">
        <f>IF(OR($F109="",N($F109)=0,$K109=""),"",$K109/$F109)</f>
      </c>
      <c r="M109" s="218" t="n"/>
      <c r="N109" s="222">
        <f>IF($J109&lt;&gt;"SIM","",IF($M109&lt;&gt;"",$M109,IF(AND(ISNUMBER($L109),N($L109)&gt;=1),"SIM",IF($A109&lt;=DATA_GESTAO,"NÃO",""))))</f>
      </c>
      <c r="O109" s="218" t="n"/>
    </row>
    <row r="110">
      <c r="A110" s="220" t="n"/>
      <c r="B110" s="218" t="n"/>
      <c r="C110" s="218" t="n"/>
      <c r="D110" s="218" t="n"/>
      <c r="E110" s="298" t="n"/>
      <c r="F110" s="328" t="n"/>
      <c r="G110" s="218" t="n"/>
      <c r="H110" s="218" t="n"/>
      <c r="I110" s="222">
        <f>IF($D110="","",IF(COUNTIFS('05C. RESTRIÇÕES'!$B$5:$B$204,$B110,'05C. RESTRIÇÕES'!$C$5:$C$204,$D110,'05C. RESTRIÇÕES'!$H$5:$H$204,"ABERTA")&gt;0,"SIM","NÃO"))</f>
      </c>
      <c r="J110" s="218" t="n"/>
      <c r="K110" s="329">
        <f>IF(OR($D110="",$A110=""),"",SUMIFS('05B. APONTAMENTO DIÁRIO'!$F$5:$F$1004,'05B. APONTAMENTO DIÁRIO'!$B$5:$B$1004,$B110,'05B. APONTAMENTO DIÁRIO'!$C$5:$C$1004,$D110,'05B. APONTAMENTO DIÁRIO'!$G$5:$G$1004,$G110,'05B. APONTAMENTO DIÁRIO'!$A$5:$A$1004,"&gt;="&amp;($A110-4),'05B. APONTAMENTO DIÁRIO'!$A$5:$A$1004,"&lt;="&amp;$A110))</f>
      </c>
      <c r="L110" s="226">
        <f>IF(OR($F110="",N($F110)=0,$K110=""),"",$K110/$F110)</f>
      </c>
      <c r="M110" s="218" t="n"/>
      <c r="N110" s="222">
        <f>IF($J110&lt;&gt;"SIM","",IF($M110&lt;&gt;"",$M110,IF(AND(ISNUMBER($L110),N($L110)&gt;=1),"SIM",IF($A110&lt;=DATA_GESTAO,"NÃO",""))))</f>
      </c>
      <c r="O110" s="218" t="n"/>
    </row>
    <row r="111">
      <c r="A111" s="220" t="n"/>
      <c r="B111" s="218" t="n"/>
      <c r="C111" s="218" t="n"/>
      <c r="D111" s="218" t="n"/>
      <c r="E111" s="298" t="n"/>
      <c r="F111" s="328" t="n"/>
      <c r="G111" s="218" t="n"/>
      <c r="H111" s="218" t="n"/>
      <c r="I111" s="222">
        <f>IF($D111="","",IF(COUNTIFS('05C. RESTRIÇÕES'!$B$5:$B$204,$B111,'05C. RESTRIÇÕES'!$C$5:$C$204,$D111,'05C. RESTRIÇÕES'!$H$5:$H$204,"ABERTA")&gt;0,"SIM","NÃO"))</f>
      </c>
      <c r="J111" s="218" t="n"/>
      <c r="K111" s="329">
        <f>IF(OR($D111="",$A111=""),"",SUMIFS('05B. APONTAMENTO DIÁRIO'!$F$5:$F$1004,'05B. APONTAMENTO DIÁRIO'!$B$5:$B$1004,$B111,'05B. APONTAMENTO DIÁRIO'!$C$5:$C$1004,$D111,'05B. APONTAMENTO DIÁRIO'!$G$5:$G$1004,$G111,'05B. APONTAMENTO DIÁRIO'!$A$5:$A$1004,"&gt;="&amp;($A111-4),'05B. APONTAMENTO DIÁRIO'!$A$5:$A$1004,"&lt;="&amp;$A111))</f>
      </c>
      <c r="L111" s="226">
        <f>IF(OR($F111="",N($F111)=0,$K111=""),"",$K111/$F111)</f>
      </c>
      <c r="M111" s="218" t="n"/>
      <c r="N111" s="222">
        <f>IF($J111&lt;&gt;"SIM","",IF($M111&lt;&gt;"",$M111,IF(AND(ISNUMBER($L111),N($L111)&gt;=1),"SIM",IF($A111&lt;=DATA_GESTAO,"NÃO",""))))</f>
      </c>
      <c r="O111" s="218" t="n"/>
    </row>
    <row r="112">
      <c r="A112" s="220" t="n"/>
      <c r="B112" s="218" t="n"/>
      <c r="C112" s="218" t="n"/>
      <c r="D112" s="218" t="n"/>
      <c r="E112" s="298" t="n"/>
      <c r="F112" s="328" t="n"/>
      <c r="G112" s="218" t="n"/>
      <c r="H112" s="218" t="n"/>
      <c r="I112" s="222">
        <f>IF($D112="","",IF(COUNTIFS('05C. RESTRIÇÕES'!$B$5:$B$204,$B112,'05C. RESTRIÇÕES'!$C$5:$C$204,$D112,'05C. RESTRIÇÕES'!$H$5:$H$204,"ABERTA")&gt;0,"SIM","NÃO"))</f>
      </c>
      <c r="J112" s="218" t="n"/>
      <c r="K112" s="329">
        <f>IF(OR($D112="",$A112=""),"",SUMIFS('05B. APONTAMENTO DIÁRIO'!$F$5:$F$1004,'05B. APONTAMENTO DIÁRIO'!$B$5:$B$1004,$B112,'05B. APONTAMENTO DIÁRIO'!$C$5:$C$1004,$D112,'05B. APONTAMENTO DIÁRIO'!$G$5:$G$1004,$G112,'05B. APONTAMENTO DIÁRIO'!$A$5:$A$1004,"&gt;="&amp;($A112-4),'05B. APONTAMENTO DIÁRIO'!$A$5:$A$1004,"&lt;="&amp;$A112))</f>
      </c>
      <c r="L112" s="226">
        <f>IF(OR($F112="",N($F112)=0,$K112=""),"",$K112/$F112)</f>
      </c>
      <c r="M112" s="218" t="n"/>
      <c r="N112" s="222">
        <f>IF($J112&lt;&gt;"SIM","",IF($M112&lt;&gt;"",$M112,IF(AND(ISNUMBER($L112),N($L112)&gt;=1),"SIM",IF($A112&lt;=DATA_GESTAO,"NÃO",""))))</f>
      </c>
      <c r="O112" s="218" t="n"/>
    </row>
    <row r="113">
      <c r="A113" s="220" t="n"/>
      <c r="B113" s="218" t="n"/>
      <c r="C113" s="218" t="n"/>
      <c r="D113" s="218" t="n"/>
      <c r="E113" s="298" t="n"/>
      <c r="F113" s="328" t="n"/>
      <c r="G113" s="218" t="n"/>
      <c r="H113" s="218" t="n"/>
      <c r="I113" s="222">
        <f>IF($D113="","",IF(COUNTIFS('05C. RESTRIÇÕES'!$B$5:$B$204,$B113,'05C. RESTRIÇÕES'!$C$5:$C$204,$D113,'05C. RESTRIÇÕES'!$H$5:$H$204,"ABERTA")&gt;0,"SIM","NÃO"))</f>
      </c>
      <c r="J113" s="218" t="n"/>
      <c r="K113" s="329">
        <f>IF(OR($D113="",$A113=""),"",SUMIFS('05B. APONTAMENTO DIÁRIO'!$F$5:$F$1004,'05B. APONTAMENTO DIÁRIO'!$B$5:$B$1004,$B113,'05B. APONTAMENTO DIÁRIO'!$C$5:$C$1004,$D113,'05B. APONTAMENTO DIÁRIO'!$G$5:$G$1004,$G113,'05B. APONTAMENTO DIÁRIO'!$A$5:$A$1004,"&gt;="&amp;($A113-4),'05B. APONTAMENTO DIÁRIO'!$A$5:$A$1004,"&lt;="&amp;$A113))</f>
      </c>
      <c r="L113" s="226">
        <f>IF(OR($F113="",N($F113)=0,$K113=""),"",$K113/$F113)</f>
      </c>
      <c r="M113" s="218" t="n"/>
      <c r="N113" s="222">
        <f>IF($J113&lt;&gt;"SIM","",IF($M113&lt;&gt;"",$M113,IF(AND(ISNUMBER($L113),N($L113)&gt;=1),"SIM",IF($A113&lt;=DATA_GESTAO,"NÃO",""))))</f>
      </c>
      <c r="O113" s="218" t="n"/>
    </row>
    <row r="114">
      <c r="A114" s="220" t="n"/>
      <c r="B114" s="218" t="n"/>
      <c r="C114" s="218" t="n"/>
      <c r="D114" s="218" t="n"/>
      <c r="E114" s="298" t="n"/>
      <c r="F114" s="328" t="n"/>
      <c r="G114" s="218" t="n"/>
      <c r="H114" s="218" t="n"/>
      <c r="I114" s="222">
        <f>IF($D114="","",IF(COUNTIFS('05C. RESTRIÇÕES'!$B$5:$B$204,$B114,'05C. RESTRIÇÕES'!$C$5:$C$204,$D114,'05C. RESTRIÇÕES'!$H$5:$H$204,"ABERTA")&gt;0,"SIM","NÃO"))</f>
      </c>
      <c r="J114" s="218" t="n"/>
      <c r="K114" s="329">
        <f>IF(OR($D114="",$A114=""),"",SUMIFS('05B. APONTAMENTO DIÁRIO'!$F$5:$F$1004,'05B. APONTAMENTO DIÁRIO'!$B$5:$B$1004,$B114,'05B. APONTAMENTO DIÁRIO'!$C$5:$C$1004,$D114,'05B. APONTAMENTO DIÁRIO'!$G$5:$G$1004,$G114,'05B. APONTAMENTO DIÁRIO'!$A$5:$A$1004,"&gt;="&amp;($A114-4),'05B. APONTAMENTO DIÁRIO'!$A$5:$A$1004,"&lt;="&amp;$A114))</f>
      </c>
      <c r="L114" s="226">
        <f>IF(OR($F114="",N($F114)=0,$K114=""),"",$K114/$F114)</f>
      </c>
      <c r="M114" s="218" t="n"/>
      <c r="N114" s="222">
        <f>IF($J114&lt;&gt;"SIM","",IF($M114&lt;&gt;"",$M114,IF(AND(ISNUMBER($L114),N($L114)&gt;=1),"SIM",IF($A114&lt;=DATA_GESTAO,"NÃO",""))))</f>
      </c>
      <c r="O114" s="218" t="n"/>
    </row>
    <row r="115">
      <c r="A115" s="220" t="n"/>
      <c r="B115" s="218" t="n"/>
      <c r="C115" s="218" t="n"/>
      <c r="D115" s="218" t="n"/>
      <c r="E115" s="298" t="n"/>
      <c r="F115" s="328" t="n"/>
      <c r="G115" s="218" t="n"/>
      <c r="H115" s="218" t="n"/>
      <c r="I115" s="222">
        <f>IF($D115="","",IF(COUNTIFS('05C. RESTRIÇÕES'!$B$5:$B$204,$B115,'05C. RESTRIÇÕES'!$C$5:$C$204,$D115,'05C. RESTRIÇÕES'!$H$5:$H$204,"ABERTA")&gt;0,"SIM","NÃO"))</f>
      </c>
      <c r="J115" s="218" t="n"/>
      <c r="K115" s="329">
        <f>IF(OR($D115="",$A115=""),"",SUMIFS('05B. APONTAMENTO DIÁRIO'!$F$5:$F$1004,'05B. APONTAMENTO DIÁRIO'!$B$5:$B$1004,$B115,'05B. APONTAMENTO DIÁRIO'!$C$5:$C$1004,$D115,'05B. APONTAMENTO DIÁRIO'!$G$5:$G$1004,$G115,'05B. APONTAMENTO DIÁRIO'!$A$5:$A$1004,"&gt;="&amp;($A115-4),'05B. APONTAMENTO DIÁRIO'!$A$5:$A$1004,"&lt;="&amp;$A115))</f>
      </c>
      <c r="L115" s="226">
        <f>IF(OR($F115="",N($F115)=0,$K115=""),"",$K115/$F115)</f>
      </c>
      <c r="M115" s="218" t="n"/>
      <c r="N115" s="222">
        <f>IF($J115&lt;&gt;"SIM","",IF($M115&lt;&gt;"",$M115,IF(AND(ISNUMBER($L115),N($L115)&gt;=1),"SIM",IF($A115&lt;=DATA_GESTAO,"NÃO",""))))</f>
      </c>
      <c r="O115" s="218" t="n"/>
    </row>
    <row r="116">
      <c r="A116" s="220" t="n"/>
      <c r="B116" s="218" t="n"/>
      <c r="C116" s="218" t="n"/>
      <c r="D116" s="218" t="n"/>
      <c r="E116" s="298" t="n"/>
      <c r="F116" s="328" t="n"/>
      <c r="G116" s="218" t="n"/>
      <c r="H116" s="218" t="n"/>
      <c r="I116" s="222">
        <f>IF($D116="","",IF(COUNTIFS('05C. RESTRIÇÕES'!$B$5:$B$204,$B116,'05C. RESTRIÇÕES'!$C$5:$C$204,$D116,'05C. RESTRIÇÕES'!$H$5:$H$204,"ABERTA")&gt;0,"SIM","NÃO"))</f>
      </c>
      <c r="J116" s="218" t="n"/>
      <c r="K116" s="329">
        <f>IF(OR($D116="",$A116=""),"",SUMIFS('05B. APONTAMENTO DIÁRIO'!$F$5:$F$1004,'05B. APONTAMENTO DIÁRIO'!$B$5:$B$1004,$B116,'05B. APONTAMENTO DIÁRIO'!$C$5:$C$1004,$D116,'05B. APONTAMENTO DIÁRIO'!$G$5:$G$1004,$G116,'05B. APONTAMENTO DIÁRIO'!$A$5:$A$1004,"&gt;="&amp;($A116-4),'05B. APONTAMENTO DIÁRIO'!$A$5:$A$1004,"&lt;="&amp;$A116))</f>
      </c>
      <c r="L116" s="226">
        <f>IF(OR($F116="",N($F116)=0,$K116=""),"",$K116/$F116)</f>
      </c>
      <c r="M116" s="218" t="n"/>
      <c r="N116" s="222">
        <f>IF($J116&lt;&gt;"SIM","",IF($M116&lt;&gt;"",$M116,IF(AND(ISNUMBER($L116),N($L116)&gt;=1),"SIM",IF($A116&lt;=DATA_GESTAO,"NÃO",""))))</f>
      </c>
      <c r="O116" s="218" t="n"/>
    </row>
    <row r="117">
      <c r="A117" s="220" t="n"/>
      <c r="B117" s="218" t="n"/>
      <c r="C117" s="218" t="n"/>
      <c r="D117" s="218" t="n"/>
      <c r="E117" s="298" t="n"/>
      <c r="F117" s="328" t="n"/>
      <c r="G117" s="218" t="n"/>
      <c r="H117" s="218" t="n"/>
      <c r="I117" s="222">
        <f>IF($D117="","",IF(COUNTIFS('05C. RESTRIÇÕES'!$B$5:$B$204,$B117,'05C. RESTRIÇÕES'!$C$5:$C$204,$D117,'05C. RESTRIÇÕES'!$H$5:$H$204,"ABERTA")&gt;0,"SIM","NÃO"))</f>
      </c>
      <c r="J117" s="218" t="n"/>
      <c r="K117" s="329">
        <f>IF(OR($D117="",$A117=""),"",SUMIFS('05B. APONTAMENTO DIÁRIO'!$F$5:$F$1004,'05B. APONTAMENTO DIÁRIO'!$B$5:$B$1004,$B117,'05B. APONTAMENTO DIÁRIO'!$C$5:$C$1004,$D117,'05B. APONTAMENTO DIÁRIO'!$G$5:$G$1004,$G117,'05B. APONTAMENTO DIÁRIO'!$A$5:$A$1004,"&gt;="&amp;($A117-4),'05B. APONTAMENTO DIÁRIO'!$A$5:$A$1004,"&lt;="&amp;$A117))</f>
      </c>
      <c r="L117" s="226">
        <f>IF(OR($F117="",N($F117)=0,$K117=""),"",$K117/$F117)</f>
      </c>
      <c r="M117" s="218" t="n"/>
      <c r="N117" s="222">
        <f>IF($J117&lt;&gt;"SIM","",IF($M117&lt;&gt;"",$M117,IF(AND(ISNUMBER($L117),N($L117)&gt;=1),"SIM",IF($A117&lt;=DATA_GESTAO,"NÃO",""))))</f>
      </c>
      <c r="O117" s="218" t="n"/>
    </row>
    <row r="118">
      <c r="A118" s="220" t="n"/>
      <c r="B118" s="218" t="n"/>
      <c r="C118" s="218" t="n"/>
      <c r="D118" s="218" t="n"/>
      <c r="E118" s="298" t="n"/>
      <c r="F118" s="328" t="n"/>
      <c r="G118" s="218" t="n"/>
      <c r="H118" s="218" t="n"/>
      <c r="I118" s="222">
        <f>IF($D118="","",IF(COUNTIFS('05C. RESTRIÇÕES'!$B$5:$B$204,$B118,'05C. RESTRIÇÕES'!$C$5:$C$204,$D118,'05C. RESTRIÇÕES'!$H$5:$H$204,"ABERTA")&gt;0,"SIM","NÃO"))</f>
      </c>
      <c r="J118" s="218" t="n"/>
      <c r="K118" s="329">
        <f>IF(OR($D118="",$A118=""),"",SUMIFS('05B. APONTAMENTO DIÁRIO'!$F$5:$F$1004,'05B. APONTAMENTO DIÁRIO'!$B$5:$B$1004,$B118,'05B. APONTAMENTO DIÁRIO'!$C$5:$C$1004,$D118,'05B. APONTAMENTO DIÁRIO'!$G$5:$G$1004,$G118,'05B. APONTAMENTO DIÁRIO'!$A$5:$A$1004,"&gt;="&amp;($A118-4),'05B. APONTAMENTO DIÁRIO'!$A$5:$A$1004,"&lt;="&amp;$A118))</f>
      </c>
      <c r="L118" s="226">
        <f>IF(OR($F118="",N($F118)=0,$K118=""),"",$K118/$F118)</f>
      </c>
      <c r="M118" s="218" t="n"/>
      <c r="N118" s="222">
        <f>IF($J118&lt;&gt;"SIM","",IF($M118&lt;&gt;"",$M118,IF(AND(ISNUMBER($L118),N($L118)&gt;=1),"SIM",IF($A118&lt;=DATA_GESTAO,"NÃO",""))))</f>
      </c>
      <c r="O118" s="218" t="n"/>
    </row>
    <row r="119">
      <c r="A119" s="220" t="n"/>
      <c r="B119" s="218" t="n"/>
      <c r="C119" s="218" t="n"/>
      <c r="D119" s="218" t="n"/>
      <c r="E119" s="298" t="n"/>
      <c r="F119" s="328" t="n"/>
      <c r="G119" s="218" t="n"/>
      <c r="H119" s="218" t="n"/>
      <c r="I119" s="222">
        <f>IF($D119="","",IF(COUNTIFS('05C. RESTRIÇÕES'!$B$5:$B$204,$B119,'05C. RESTRIÇÕES'!$C$5:$C$204,$D119,'05C. RESTRIÇÕES'!$H$5:$H$204,"ABERTA")&gt;0,"SIM","NÃO"))</f>
      </c>
      <c r="J119" s="218" t="n"/>
      <c r="K119" s="329">
        <f>IF(OR($D119="",$A119=""),"",SUMIFS('05B. APONTAMENTO DIÁRIO'!$F$5:$F$1004,'05B. APONTAMENTO DIÁRIO'!$B$5:$B$1004,$B119,'05B. APONTAMENTO DIÁRIO'!$C$5:$C$1004,$D119,'05B. APONTAMENTO DIÁRIO'!$G$5:$G$1004,$G119,'05B. APONTAMENTO DIÁRIO'!$A$5:$A$1004,"&gt;="&amp;($A119-4),'05B. APONTAMENTO DIÁRIO'!$A$5:$A$1004,"&lt;="&amp;$A119))</f>
      </c>
      <c r="L119" s="226">
        <f>IF(OR($F119="",N($F119)=0,$K119=""),"",$K119/$F119)</f>
      </c>
      <c r="M119" s="218" t="n"/>
      <c r="N119" s="222">
        <f>IF($J119&lt;&gt;"SIM","",IF($M119&lt;&gt;"",$M119,IF(AND(ISNUMBER($L119),N($L119)&gt;=1),"SIM",IF($A119&lt;=DATA_GESTAO,"NÃO",""))))</f>
      </c>
      <c r="O119" s="218" t="n"/>
    </row>
    <row r="120">
      <c r="A120" s="220" t="n"/>
      <c r="B120" s="218" t="n"/>
      <c r="C120" s="218" t="n"/>
      <c r="D120" s="218" t="n"/>
      <c r="E120" s="298" t="n"/>
      <c r="F120" s="328" t="n"/>
      <c r="G120" s="218" t="n"/>
      <c r="H120" s="218" t="n"/>
      <c r="I120" s="222">
        <f>IF($D120="","",IF(COUNTIFS('05C. RESTRIÇÕES'!$B$5:$B$204,$B120,'05C. RESTRIÇÕES'!$C$5:$C$204,$D120,'05C. RESTRIÇÕES'!$H$5:$H$204,"ABERTA")&gt;0,"SIM","NÃO"))</f>
      </c>
      <c r="J120" s="218" t="n"/>
      <c r="K120" s="329">
        <f>IF(OR($D120="",$A120=""),"",SUMIFS('05B. APONTAMENTO DIÁRIO'!$F$5:$F$1004,'05B. APONTAMENTO DIÁRIO'!$B$5:$B$1004,$B120,'05B. APONTAMENTO DIÁRIO'!$C$5:$C$1004,$D120,'05B. APONTAMENTO DIÁRIO'!$G$5:$G$1004,$G120,'05B. APONTAMENTO DIÁRIO'!$A$5:$A$1004,"&gt;="&amp;($A120-4),'05B. APONTAMENTO DIÁRIO'!$A$5:$A$1004,"&lt;="&amp;$A120))</f>
      </c>
      <c r="L120" s="226">
        <f>IF(OR($F120="",N($F120)=0,$K120=""),"",$K120/$F120)</f>
      </c>
      <c r="M120" s="218" t="n"/>
      <c r="N120" s="222">
        <f>IF($J120&lt;&gt;"SIM","",IF($M120&lt;&gt;"",$M120,IF(AND(ISNUMBER($L120),N($L120)&gt;=1),"SIM",IF($A120&lt;=DATA_GESTAO,"NÃO",""))))</f>
      </c>
      <c r="O120" s="218" t="n"/>
    </row>
    <row r="121">
      <c r="A121" s="220" t="n"/>
      <c r="B121" s="218" t="n"/>
      <c r="C121" s="218" t="n"/>
      <c r="D121" s="218" t="n"/>
      <c r="E121" s="298" t="n"/>
      <c r="F121" s="328" t="n"/>
      <c r="G121" s="218" t="n"/>
      <c r="H121" s="218" t="n"/>
      <c r="I121" s="222">
        <f>IF($D121="","",IF(COUNTIFS('05C. RESTRIÇÕES'!$B$5:$B$204,$B121,'05C. RESTRIÇÕES'!$C$5:$C$204,$D121,'05C. RESTRIÇÕES'!$H$5:$H$204,"ABERTA")&gt;0,"SIM","NÃO"))</f>
      </c>
      <c r="J121" s="218" t="n"/>
      <c r="K121" s="329">
        <f>IF(OR($D121="",$A121=""),"",SUMIFS('05B. APONTAMENTO DIÁRIO'!$F$5:$F$1004,'05B. APONTAMENTO DIÁRIO'!$B$5:$B$1004,$B121,'05B. APONTAMENTO DIÁRIO'!$C$5:$C$1004,$D121,'05B. APONTAMENTO DIÁRIO'!$G$5:$G$1004,$G121,'05B. APONTAMENTO DIÁRIO'!$A$5:$A$1004,"&gt;="&amp;($A121-4),'05B. APONTAMENTO DIÁRIO'!$A$5:$A$1004,"&lt;="&amp;$A121))</f>
      </c>
      <c r="L121" s="226">
        <f>IF(OR($F121="",N($F121)=0,$K121=""),"",$K121/$F121)</f>
      </c>
      <c r="M121" s="218" t="n"/>
      <c r="N121" s="222">
        <f>IF($J121&lt;&gt;"SIM","",IF($M121&lt;&gt;"",$M121,IF(AND(ISNUMBER($L121),N($L121)&gt;=1),"SIM",IF($A121&lt;=DATA_GESTAO,"NÃO",""))))</f>
      </c>
      <c r="O121" s="218" t="n"/>
    </row>
    <row r="122">
      <c r="A122" s="220" t="n"/>
      <c r="B122" s="218" t="n"/>
      <c r="C122" s="218" t="n"/>
      <c r="D122" s="218" t="n"/>
      <c r="E122" s="298" t="n"/>
      <c r="F122" s="328" t="n"/>
      <c r="G122" s="218" t="n"/>
      <c r="H122" s="218" t="n"/>
      <c r="I122" s="222">
        <f>IF($D122="","",IF(COUNTIFS('05C. RESTRIÇÕES'!$B$5:$B$204,$B122,'05C. RESTRIÇÕES'!$C$5:$C$204,$D122,'05C. RESTRIÇÕES'!$H$5:$H$204,"ABERTA")&gt;0,"SIM","NÃO"))</f>
      </c>
      <c r="J122" s="218" t="n"/>
      <c r="K122" s="329">
        <f>IF(OR($D122="",$A122=""),"",SUMIFS('05B. APONTAMENTO DIÁRIO'!$F$5:$F$1004,'05B. APONTAMENTO DIÁRIO'!$B$5:$B$1004,$B122,'05B. APONTAMENTO DIÁRIO'!$C$5:$C$1004,$D122,'05B. APONTAMENTO DIÁRIO'!$G$5:$G$1004,$G122,'05B. APONTAMENTO DIÁRIO'!$A$5:$A$1004,"&gt;="&amp;($A122-4),'05B. APONTAMENTO DIÁRIO'!$A$5:$A$1004,"&lt;="&amp;$A122))</f>
      </c>
      <c r="L122" s="226">
        <f>IF(OR($F122="",N($F122)=0,$K122=""),"",$K122/$F122)</f>
      </c>
      <c r="M122" s="218" t="n"/>
      <c r="N122" s="222">
        <f>IF($J122&lt;&gt;"SIM","",IF($M122&lt;&gt;"",$M122,IF(AND(ISNUMBER($L122),N($L122)&gt;=1),"SIM",IF($A122&lt;=DATA_GESTAO,"NÃO",""))))</f>
      </c>
      <c r="O122" s="218" t="n"/>
    </row>
    <row r="123">
      <c r="A123" s="220" t="n"/>
      <c r="B123" s="218" t="n"/>
      <c r="C123" s="218" t="n"/>
      <c r="D123" s="218" t="n"/>
      <c r="E123" s="298" t="n"/>
      <c r="F123" s="328" t="n"/>
      <c r="G123" s="218" t="n"/>
      <c r="H123" s="218" t="n"/>
      <c r="I123" s="222">
        <f>IF($D123="","",IF(COUNTIFS('05C. RESTRIÇÕES'!$B$5:$B$204,$B123,'05C. RESTRIÇÕES'!$C$5:$C$204,$D123,'05C. RESTRIÇÕES'!$H$5:$H$204,"ABERTA")&gt;0,"SIM","NÃO"))</f>
      </c>
      <c r="J123" s="218" t="n"/>
      <c r="K123" s="329">
        <f>IF(OR($D123="",$A123=""),"",SUMIFS('05B. APONTAMENTO DIÁRIO'!$F$5:$F$1004,'05B. APONTAMENTO DIÁRIO'!$B$5:$B$1004,$B123,'05B. APONTAMENTO DIÁRIO'!$C$5:$C$1004,$D123,'05B. APONTAMENTO DIÁRIO'!$G$5:$G$1004,$G123,'05B. APONTAMENTO DIÁRIO'!$A$5:$A$1004,"&gt;="&amp;($A123-4),'05B. APONTAMENTO DIÁRIO'!$A$5:$A$1004,"&lt;="&amp;$A123))</f>
      </c>
      <c r="L123" s="226">
        <f>IF(OR($F123="",N($F123)=0,$K123=""),"",$K123/$F123)</f>
      </c>
      <c r="M123" s="218" t="n"/>
      <c r="N123" s="222">
        <f>IF($J123&lt;&gt;"SIM","",IF($M123&lt;&gt;"",$M123,IF(AND(ISNUMBER($L123),N($L123)&gt;=1),"SIM",IF($A123&lt;=DATA_GESTAO,"NÃO",""))))</f>
      </c>
      <c r="O123" s="218" t="n"/>
    </row>
    <row r="124">
      <c r="A124" s="220" t="n"/>
      <c r="B124" s="218" t="n"/>
      <c r="C124" s="218" t="n"/>
      <c r="D124" s="218" t="n"/>
      <c r="E124" s="298" t="n"/>
      <c r="F124" s="328" t="n"/>
      <c r="G124" s="218" t="n"/>
      <c r="H124" s="218" t="n"/>
      <c r="I124" s="222">
        <f>IF($D124="","",IF(COUNTIFS('05C. RESTRIÇÕES'!$B$5:$B$204,$B124,'05C. RESTRIÇÕES'!$C$5:$C$204,$D124,'05C. RESTRIÇÕES'!$H$5:$H$204,"ABERTA")&gt;0,"SIM","NÃO"))</f>
      </c>
      <c r="J124" s="218" t="n"/>
      <c r="K124" s="329">
        <f>IF(OR($D124="",$A124=""),"",SUMIFS('05B. APONTAMENTO DIÁRIO'!$F$5:$F$1004,'05B. APONTAMENTO DIÁRIO'!$B$5:$B$1004,$B124,'05B. APONTAMENTO DIÁRIO'!$C$5:$C$1004,$D124,'05B. APONTAMENTO DIÁRIO'!$G$5:$G$1004,$G124,'05B. APONTAMENTO DIÁRIO'!$A$5:$A$1004,"&gt;="&amp;($A124-4),'05B. APONTAMENTO DIÁRIO'!$A$5:$A$1004,"&lt;="&amp;$A124))</f>
      </c>
      <c r="L124" s="226">
        <f>IF(OR($F124="",N($F124)=0,$K124=""),"",$K124/$F124)</f>
      </c>
      <c r="M124" s="218" t="n"/>
      <c r="N124" s="222">
        <f>IF($J124&lt;&gt;"SIM","",IF($M124&lt;&gt;"",$M124,IF(AND(ISNUMBER($L124),N($L124)&gt;=1),"SIM",IF($A124&lt;=DATA_GESTAO,"NÃO",""))))</f>
      </c>
      <c r="O124" s="218" t="n"/>
    </row>
    <row r="125">
      <c r="A125" s="220" t="n"/>
      <c r="B125" s="218" t="n"/>
      <c r="C125" s="218" t="n"/>
      <c r="D125" s="218" t="n"/>
      <c r="E125" s="298" t="n"/>
      <c r="F125" s="328" t="n"/>
      <c r="G125" s="218" t="n"/>
      <c r="H125" s="218" t="n"/>
      <c r="I125" s="222">
        <f>IF($D125="","",IF(COUNTIFS('05C. RESTRIÇÕES'!$B$5:$B$204,$B125,'05C. RESTRIÇÕES'!$C$5:$C$204,$D125,'05C. RESTRIÇÕES'!$H$5:$H$204,"ABERTA")&gt;0,"SIM","NÃO"))</f>
      </c>
      <c r="J125" s="218" t="n"/>
      <c r="K125" s="329">
        <f>IF(OR($D125="",$A125=""),"",SUMIFS('05B. APONTAMENTO DIÁRIO'!$F$5:$F$1004,'05B. APONTAMENTO DIÁRIO'!$B$5:$B$1004,$B125,'05B. APONTAMENTO DIÁRIO'!$C$5:$C$1004,$D125,'05B. APONTAMENTO DIÁRIO'!$G$5:$G$1004,$G125,'05B. APONTAMENTO DIÁRIO'!$A$5:$A$1004,"&gt;="&amp;($A125-4),'05B. APONTAMENTO DIÁRIO'!$A$5:$A$1004,"&lt;="&amp;$A125))</f>
      </c>
      <c r="L125" s="226">
        <f>IF(OR($F125="",N($F125)=0,$K125=""),"",$K125/$F125)</f>
      </c>
      <c r="M125" s="218" t="n"/>
      <c r="N125" s="222">
        <f>IF($J125&lt;&gt;"SIM","",IF($M125&lt;&gt;"",$M125,IF(AND(ISNUMBER($L125),N($L125)&gt;=1),"SIM",IF($A125&lt;=DATA_GESTAO,"NÃO",""))))</f>
      </c>
      <c r="O125" s="218" t="n"/>
    </row>
    <row r="126">
      <c r="A126" s="220" t="n"/>
      <c r="B126" s="218" t="n"/>
      <c r="C126" s="218" t="n"/>
      <c r="D126" s="218" t="n"/>
      <c r="E126" s="298" t="n"/>
      <c r="F126" s="328" t="n"/>
      <c r="G126" s="218" t="n"/>
      <c r="H126" s="218" t="n"/>
      <c r="I126" s="222">
        <f>IF($D126="","",IF(COUNTIFS('05C. RESTRIÇÕES'!$B$5:$B$204,$B126,'05C. RESTRIÇÕES'!$C$5:$C$204,$D126,'05C. RESTRIÇÕES'!$H$5:$H$204,"ABERTA")&gt;0,"SIM","NÃO"))</f>
      </c>
      <c r="J126" s="218" t="n"/>
      <c r="K126" s="329">
        <f>IF(OR($D126="",$A126=""),"",SUMIFS('05B. APONTAMENTO DIÁRIO'!$F$5:$F$1004,'05B. APONTAMENTO DIÁRIO'!$B$5:$B$1004,$B126,'05B. APONTAMENTO DIÁRIO'!$C$5:$C$1004,$D126,'05B. APONTAMENTO DIÁRIO'!$G$5:$G$1004,$G126,'05B. APONTAMENTO DIÁRIO'!$A$5:$A$1004,"&gt;="&amp;($A126-4),'05B. APONTAMENTO DIÁRIO'!$A$5:$A$1004,"&lt;="&amp;$A126))</f>
      </c>
      <c r="L126" s="226">
        <f>IF(OR($F126="",N($F126)=0,$K126=""),"",$K126/$F126)</f>
      </c>
      <c r="M126" s="218" t="n"/>
      <c r="N126" s="222">
        <f>IF($J126&lt;&gt;"SIM","",IF($M126&lt;&gt;"",$M126,IF(AND(ISNUMBER($L126),N($L126)&gt;=1),"SIM",IF($A126&lt;=DATA_GESTAO,"NÃO",""))))</f>
      </c>
      <c r="O126" s="218" t="n"/>
    </row>
    <row r="127">
      <c r="A127" s="220" t="n"/>
      <c r="B127" s="218" t="n"/>
      <c r="C127" s="218" t="n"/>
      <c r="D127" s="218" t="n"/>
      <c r="E127" s="298" t="n"/>
      <c r="F127" s="328" t="n"/>
      <c r="G127" s="218" t="n"/>
      <c r="H127" s="218" t="n"/>
      <c r="I127" s="222">
        <f>IF($D127="","",IF(COUNTIFS('05C. RESTRIÇÕES'!$B$5:$B$204,$B127,'05C. RESTRIÇÕES'!$C$5:$C$204,$D127,'05C. RESTRIÇÕES'!$H$5:$H$204,"ABERTA")&gt;0,"SIM","NÃO"))</f>
      </c>
      <c r="J127" s="218" t="n"/>
      <c r="K127" s="329">
        <f>IF(OR($D127="",$A127=""),"",SUMIFS('05B. APONTAMENTO DIÁRIO'!$F$5:$F$1004,'05B. APONTAMENTO DIÁRIO'!$B$5:$B$1004,$B127,'05B. APONTAMENTO DIÁRIO'!$C$5:$C$1004,$D127,'05B. APONTAMENTO DIÁRIO'!$G$5:$G$1004,$G127,'05B. APONTAMENTO DIÁRIO'!$A$5:$A$1004,"&gt;="&amp;($A127-4),'05B. APONTAMENTO DIÁRIO'!$A$5:$A$1004,"&lt;="&amp;$A127))</f>
      </c>
      <c r="L127" s="226">
        <f>IF(OR($F127="",N($F127)=0,$K127=""),"",$K127/$F127)</f>
      </c>
      <c r="M127" s="218" t="n"/>
      <c r="N127" s="222">
        <f>IF($J127&lt;&gt;"SIM","",IF($M127&lt;&gt;"",$M127,IF(AND(ISNUMBER($L127),N($L127)&gt;=1),"SIM",IF($A127&lt;=DATA_GESTAO,"NÃO",""))))</f>
      </c>
      <c r="O127" s="218" t="n"/>
    </row>
    <row r="128">
      <c r="A128" s="220" t="n"/>
      <c r="B128" s="218" t="n"/>
      <c r="C128" s="218" t="n"/>
      <c r="D128" s="218" t="n"/>
      <c r="E128" s="298" t="n"/>
      <c r="F128" s="328" t="n"/>
      <c r="G128" s="218" t="n"/>
      <c r="H128" s="218" t="n"/>
      <c r="I128" s="222">
        <f>IF($D128="","",IF(COUNTIFS('05C. RESTRIÇÕES'!$B$5:$B$204,$B128,'05C. RESTRIÇÕES'!$C$5:$C$204,$D128,'05C. RESTRIÇÕES'!$H$5:$H$204,"ABERTA")&gt;0,"SIM","NÃO"))</f>
      </c>
      <c r="J128" s="218" t="n"/>
      <c r="K128" s="329">
        <f>IF(OR($D128="",$A128=""),"",SUMIFS('05B. APONTAMENTO DIÁRIO'!$F$5:$F$1004,'05B. APONTAMENTO DIÁRIO'!$B$5:$B$1004,$B128,'05B. APONTAMENTO DIÁRIO'!$C$5:$C$1004,$D128,'05B. APONTAMENTO DIÁRIO'!$G$5:$G$1004,$G128,'05B. APONTAMENTO DIÁRIO'!$A$5:$A$1004,"&gt;="&amp;($A128-4),'05B. APONTAMENTO DIÁRIO'!$A$5:$A$1004,"&lt;="&amp;$A128))</f>
      </c>
      <c r="L128" s="226">
        <f>IF(OR($F128="",N($F128)=0,$K128=""),"",$K128/$F128)</f>
      </c>
      <c r="M128" s="218" t="n"/>
      <c r="N128" s="222">
        <f>IF($J128&lt;&gt;"SIM","",IF($M128&lt;&gt;"",$M128,IF(AND(ISNUMBER($L128),N($L128)&gt;=1),"SIM",IF($A128&lt;=DATA_GESTAO,"NÃO",""))))</f>
      </c>
      <c r="O128" s="218" t="n"/>
    </row>
    <row r="129">
      <c r="A129" s="220" t="n"/>
      <c r="B129" s="218" t="n"/>
      <c r="C129" s="218" t="n"/>
      <c r="D129" s="218" t="n"/>
      <c r="E129" s="298" t="n"/>
      <c r="F129" s="328" t="n"/>
      <c r="G129" s="218" t="n"/>
      <c r="H129" s="218" t="n"/>
      <c r="I129" s="222">
        <f>IF($D129="","",IF(COUNTIFS('05C. RESTRIÇÕES'!$B$5:$B$204,$B129,'05C. RESTRIÇÕES'!$C$5:$C$204,$D129,'05C. RESTRIÇÕES'!$H$5:$H$204,"ABERTA")&gt;0,"SIM","NÃO"))</f>
      </c>
      <c r="J129" s="218" t="n"/>
      <c r="K129" s="329">
        <f>IF(OR($D129="",$A129=""),"",SUMIFS('05B. APONTAMENTO DIÁRIO'!$F$5:$F$1004,'05B. APONTAMENTO DIÁRIO'!$B$5:$B$1004,$B129,'05B. APONTAMENTO DIÁRIO'!$C$5:$C$1004,$D129,'05B. APONTAMENTO DIÁRIO'!$G$5:$G$1004,$G129,'05B. APONTAMENTO DIÁRIO'!$A$5:$A$1004,"&gt;="&amp;($A129-4),'05B. APONTAMENTO DIÁRIO'!$A$5:$A$1004,"&lt;="&amp;$A129))</f>
      </c>
      <c r="L129" s="226">
        <f>IF(OR($F129="",N($F129)=0,$K129=""),"",$K129/$F129)</f>
      </c>
      <c r="M129" s="218" t="n"/>
      <c r="N129" s="222">
        <f>IF($J129&lt;&gt;"SIM","",IF($M129&lt;&gt;"",$M129,IF(AND(ISNUMBER($L129),N($L129)&gt;=1),"SIM",IF($A129&lt;=DATA_GESTAO,"NÃO",""))))</f>
      </c>
      <c r="O129" s="218" t="n"/>
    </row>
    <row r="130">
      <c r="A130" s="220" t="n"/>
      <c r="B130" s="218" t="n"/>
      <c r="C130" s="218" t="n"/>
      <c r="D130" s="218" t="n"/>
      <c r="E130" s="298" t="n"/>
      <c r="F130" s="328" t="n"/>
      <c r="G130" s="218" t="n"/>
      <c r="H130" s="218" t="n"/>
      <c r="I130" s="222">
        <f>IF($D130="","",IF(COUNTIFS('05C. RESTRIÇÕES'!$B$5:$B$204,$B130,'05C. RESTRIÇÕES'!$C$5:$C$204,$D130,'05C. RESTRIÇÕES'!$H$5:$H$204,"ABERTA")&gt;0,"SIM","NÃO"))</f>
      </c>
      <c r="J130" s="218" t="n"/>
      <c r="K130" s="329">
        <f>IF(OR($D130="",$A130=""),"",SUMIFS('05B. APONTAMENTO DIÁRIO'!$F$5:$F$1004,'05B. APONTAMENTO DIÁRIO'!$B$5:$B$1004,$B130,'05B. APONTAMENTO DIÁRIO'!$C$5:$C$1004,$D130,'05B. APONTAMENTO DIÁRIO'!$G$5:$G$1004,$G130,'05B. APONTAMENTO DIÁRIO'!$A$5:$A$1004,"&gt;="&amp;($A130-4),'05B. APONTAMENTO DIÁRIO'!$A$5:$A$1004,"&lt;="&amp;$A130))</f>
      </c>
      <c r="L130" s="226">
        <f>IF(OR($F130="",N($F130)=0,$K130=""),"",$K130/$F130)</f>
      </c>
      <c r="M130" s="218" t="n"/>
      <c r="N130" s="222">
        <f>IF($J130&lt;&gt;"SIM","",IF($M130&lt;&gt;"",$M130,IF(AND(ISNUMBER($L130),N($L130)&gt;=1),"SIM",IF($A130&lt;=DATA_GESTAO,"NÃO",""))))</f>
      </c>
      <c r="O130" s="218" t="n"/>
    </row>
    <row r="131">
      <c r="A131" s="220" t="n"/>
      <c r="B131" s="218" t="n"/>
      <c r="C131" s="218" t="n"/>
      <c r="D131" s="218" t="n"/>
      <c r="E131" s="298" t="n"/>
      <c r="F131" s="328" t="n"/>
      <c r="G131" s="218" t="n"/>
      <c r="H131" s="218" t="n"/>
      <c r="I131" s="222">
        <f>IF($D131="","",IF(COUNTIFS('05C. RESTRIÇÕES'!$B$5:$B$204,$B131,'05C. RESTRIÇÕES'!$C$5:$C$204,$D131,'05C. RESTRIÇÕES'!$H$5:$H$204,"ABERTA")&gt;0,"SIM","NÃO"))</f>
      </c>
      <c r="J131" s="218" t="n"/>
      <c r="K131" s="329">
        <f>IF(OR($D131="",$A131=""),"",SUMIFS('05B. APONTAMENTO DIÁRIO'!$F$5:$F$1004,'05B. APONTAMENTO DIÁRIO'!$B$5:$B$1004,$B131,'05B. APONTAMENTO DIÁRIO'!$C$5:$C$1004,$D131,'05B. APONTAMENTO DIÁRIO'!$G$5:$G$1004,$G131,'05B. APONTAMENTO DIÁRIO'!$A$5:$A$1004,"&gt;="&amp;($A131-4),'05B. APONTAMENTO DIÁRIO'!$A$5:$A$1004,"&lt;="&amp;$A131))</f>
      </c>
      <c r="L131" s="226">
        <f>IF(OR($F131="",N($F131)=0,$K131=""),"",$K131/$F131)</f>
      </c>
      <c r="M131" s="218" t="n"/>
      <c r="N131" s="222">
        <f>IF($J131&lt;&gt;"SIM","",IF($M131&lt;&gt;"",$M131,IF(AND(ISNUMBER($L131),N($L131)&gt;=1),"SIM",IF($A131&lt;=DATA_GESTAO,"NÃO",""))))</f>
      </c>
      <c r="O131" s="218" t="n"/>
    </row>
    <row r="132">
      <c r="A132" s="220" t="n"/>
      <c r="B132" s="218" t="n"/>
      <c r="C132" s="218" t="n"/>
      <c r="D132" s="218" t="n"/>
      <c r="E132" s="298" t="n"/>
      <c r="F132" s="328" t="n"/>
      <c r="G132" s="218" t="n"/>
      <c r="H132" s="218" t="n"/>
      <c r="I132" s="222">
        <f>IF($D132="","",IF(COUNTIFS('05C. RESTRIÇÕES'!$B$5:$B$204,$B132,'05C. RESTRIÇÕES'!$C$5:$C$204,$D132,'05C. RESTRIÇÕES'!$H$5:$H$204,"ABERTA")&gt;0,"SIM","NÃO"))</f>
      </c>
      <c r="J132" s="218" t="n"/>
      <c r="K132" s="329">
        <f>IF(OR($D132="",$A132=""),"",SUMIFS('05B. APONTAMENTO DIÁRIO'!$F$5:$F$1004,'05B. APONTAMENTO DIÁRIO'!$B$5:$B$1004,$B132,'05B. APONTAMENTO DIÁRIO'!$C$5:$C$1004,$D132,'05B. APONTAMENTO DIÁRIO'!$G$5:$G$1004,$G132,'05B. APONTAMENTO DIÁRIO'!$A$5:$A$1004,"&gt;="&amp;($A132-4),'05B. APONTAMENTO DIÁRIO'!$A$5:$A$1004,"&lt;="&amp;$A132))</f>
      </c>
      <c r="L132" s="226">
        <f>IF(OR($F132="",N($F132)=0,$K132=""),"",$K132/$F132)</f>
      </c>
      <c r="M132" s="218" t="n"/>
      <c r="N132" s="222">
        <f>IF($J132&lt;&gt;"SIM","",IF($M132&lt;&gt;"",$M132,IF(AND(ISNUMBER($L132),N($L132)&gt;=1),"SIM",IF($A132&lt;=DATA_GESTAO,"NÃO",""))))</f>
      </c>
      <c r="O132" s="218" t="n"/>
    </row>
    <row r="133">
      <c r="A133" s="220" t="n"/>
      <c r="B133" s="218" t="n"/>
      <c r="C133" s="218" t="n"/>
      <c r="D133" s="218" t="n"/>
      <c r="E133" s="298" t="n"/>
      <c r="F133" s="328" t="n"/>
      <c r="G133" s="218" t="n"/>
      <c r="H133" s="218" t="n"/>
      <c r="I133" s="222">
        <f>IF($D133="","",IF(COUNTIFS('05C. RESTRIÇÕES'!$B$5:$B$204,$B133,'05C. RESTRIÇÕES'!$C$5:$C$204,$D133,'05C. RESTRIÇÕES'!$H$5:$H$204,"ABERTA")&gt;0,"SIM","NÃO"))</f>
      </c>
      <c r="J133" s="218" t="n"/>
      <c r="K133" s="329">
        <f>IF(OR($D133="",$A133=""),"",SUMIFS('05B. APONTAMENTO DIÁRIO'!$F$5:$F$1004,'05B. APONTAMENTO DIÁRIO'!$B$5:$B$1004,$B133,'05B. APONTAMENTO DIÁRIO'!$C$5:$C$1004,$D133,'05B. APONTAMENTO DIÁRIO'!$G$5:$G$1004,$G133,'05B. APONTAMENTO DIÁRIO'!$A$5:$A$1004,"&gt;="&amp;($A133-4),'05B. APONTAMENTO DIÁRIO'!$A$5:$A$1004,"&lt;="&amp;$A133))</f>
      </c>
      <c r="L133" s="226">
        <f>IF(OR($F133="",N($F133)=0,$K133=""),"",$K133/$F133)</f>
      </c>
      <c r="M133" s="218" t="n"/>
      <c r="N133" s="222">
        <f>IF($J133&lt;&gt;"SIM","",IF($M133&lt;&gt;"",$M133,IF(AND(ISNUMBER($L133),N($L133)&gt;=1),"SIM",IF($A133&lt;=DATA_GESTAO,"NÃO",""))))</f>
      </c>
      <c r="O133" s="218" t="n"/>
    </row>
    <row r="134">
      <c r="A134" s="220" t="n"/>
      <c r="B134" s="218" t="n"/>
      <c r="C134" s="218" t="n"/>
      <c r="D134" s="218" t="n"/>
      <c r="E134" s="298" t="n"/>
      <c r="F134" s="328" t="n"/>
      <c r="G134" s="218" t="n"/>
      <c r="H134" s="218" t="n"/>
      <c r="I134" s="222">
        <f>IF($D134="","",IF(COUNTIFS('05C. RESTRIÇÕES'!$B$5:$B$204,$B134,'05C. RESTRIÇÕES'!$C$5:$C$204,$D134,'05C. RESTRIÇÕES'!$H$5:$H$204,"ABERTA")&gt;0,"SIM","NÃO"))</f>
      </c>
      <c r="J134" s="218" t="n"/>
      <c r="K134" s="329">
        <f>IF(OR($D134="",$A134=""),"",SUMIFS('05B. APONTAMENTO DIÁRIO'!$F$5:$F$1004,'05B. APONTAMENTO DIÁRIO'!$B$5:$B$1004,$B134,'05B. APONTAMENTO DIÁRIO'!$C$5:$C$1004,$D134,'05B. APONTAMENTO DIÁRIO'!$G$5:$G$1004,$G134,'05B. APONTAMENTO DIÁRIO'!$A$5:$A$1004,"&gt;="&amp;($A134-4),'05B. APONTAMENTO DIÁRIO'!$A$5:$A$1004,"&lt;="&amp;$A134))</f>
      </c>
      <c r="L134" s="226">
        <f>IF(OR($F134="",N($F134)=0,$K134=""),"",$K134/$F134)</f>
      </c>
      <c r="M134" s="218" t="n"/>
      <c r="N134" s="222">
        <f>IF($J134&lt;&gt;"SIM","",IF($M134&lt;&gt;"",$M134,IF(AND(ISNUMBER($L134),N($L134)&gt;=1),"SIM",IF($A134&lt;=DATA_GESTAO,"NÃO",""))))</f>
      </c>
      <c r="O134" s="218" t="n"/>
    </row>
    <row r="135">
      <c r="A135" s="220" t="n"/>
      <c r="B135" s="218" t="n"/>
      <c r="C135" s="218" t="n"/>
      <c r="D135" s="218" t="n"/>
      <c r="E135" s="298" t="n"/>
      <c r="F135" s="328" t="n"/>
      <c r="G135" s="218" t="n"/>
      <c r="H135" s="218" t="n"/>
      <c r="I135" s="222">
        <f>IF($D135="","",IF(COUNTIFS('05C. RESTRIÇÕES'!$B$5:$B$204,$B135,'05C. RESTRIÇÕES'!$C$5:$C$204,$D135,'05C. RESTRIÇÕES'!$H$5:$H$204,"ABERTA")&gt;0,"SIM","NÃO"))</f>
      </c>
      <c r="J135" s="218" t="n"/>
      <c r="K135" s="329">
        <f>IF(OR($D135="",$A135=""),"",SUMIFS('05B. APONTAMENTO DIÁRIO'!$F$5:$F$1004,'05B. APONTAMENTO DIÁRIO'!$B$5:$B$1004,$B135,'05B. APONTAMENTO DIÁRIO'!$C$5:$C$1004,$D135,'05B. APONTAMENTO DIÁRIO'!$G$5:$G$1004,$G135,'05B. APONTAMENTO DIÁRIO'!$A$5:$A$1004,"&gt;="&amp;($A135-4),'05B. APONTAMENTO DIÁRIO'!$A$5:$A$1004,"&lt;="&amp;$A135))</f>
      </c>
      <c r="L135" s="226">
        <f>IF(OR($F135="",N($F135)=0,$K135=""),"",$K135/$F135)</f>
      </c>
      <c r="M135" s="218" t="n"/>
      <c r="N135" s="222">
        <f>IF($J135&lt;&gt;"SIM","",IF($M135&lt;&gt;"",$M135,IF(AND(ISNUMBER($L135),N($L135)&gt;=1),"SIM",IF($A135&lt;=DATA_GESTAO,"NÃO",""))))</f>
      </c>
      <c r="O135" s="218" t="n"/>
    </row>
    <row r="136">
      <c r="A136" s="220" t="n"/>
      <c r="B136" s="218" t="n"/>
      <c r="C136" s="218" t="n"/>
      <c r="D136" s="218" t="n"/>
      <c r="E136" s="298" t="n"/>
      <c r="F136" s="328" t="n"/>
      <c r="G136" s="218" t="n"/>
      <c r="H136" s="218" t="n"/>
      <c r="I136" s="222">
        <f>IF($D136="","",IF(COUNTIFS('05C. RESTRIÇÕES'!$B$5:$B$204,$B136,'05C. RESTRIÇÕES'!$C$5:$C$204,$D136,'05C. RESTRIÇÕES'!$H$5:$H$204,"ABERTA")&gt;0,"SIM","NÃO"))</f>
      </c>
      <c r="J136" s="218" t="n"/>
      <c r="K136" s="329">
        <f>IF(OR($D136="",$A136=""),"",SUMIFS('05B. APONTAMENTO DIÁRIO'!$F$5:$F$1004,'05B. APONTAMENTO DIÁRIO'!$B$5:$B$1004,$B136,'05B. APONTAMENTO DIÁRIO'!$C$5:$C$1004,$D136,'05B. APONTAMENTO DIÁRIO'!$G$5:$G$1004,$G136,'05B. APONTAMENTO DIÁRIO'!$A$5:$A$1004,"&gt;="&amp;($A136-4),'05B. APONTAMENTO DIÁRIO'!$A$5:$A$1004,"&lt;="&amp;$A136))</f>
      </c>
      <c r="L136" s="226">
        <f>IF(OR($F136="",N($F136)=0,$K136=""),"",$K136/$F136)</f>
      </c>
      <c r="M136" s="218" t="n"/>
      <c r="N136" s="222">
        <f>IF($J136&lt;&gt;"SIM","",IF($M136&lt;&gt;"",$M136,IF(AND(ISNUMBER($L136),N($L136)&gt;=1),"SIM",IF($A136&lt;=DATA_GESTAO,"NÃO",""))))</f>
      </c>
      <c r="O136" s="218" t="n"/>
    </row>
    <row r="137">
      <c r="A137" s="220" t="n"/>
      <c r="B137" s="218" t="n"/>
      <c r="C137" s="218" t="n"/>
      <c r="D137" s="218" t="n"/>
      <c r="E137" s="298" t="n"/>
      <c r="F137" s="328" t="n"/>
      <c r="G137" s="218" t="n"/>
      <c r="H137" s="218" t="n"/>
      <c r="I137" s="222">
        <f>IF($D137="","",IF(COUNTIFS('05C. RESTRIÇÕES'!$B$5:$B$204,$B137,'05C. RESTRIÇÕES'!$C$5:$C$204,$D137,'05C. RESTRIÇÕES'!$H$5:$H$204,"ABERTA")&gt;0,"SIM","NÃO"))</f>
      </c>
      <c r="J137" s="218" t="n"/>
      <c r="K137" s="329">
        <f>IF(OR($D137="",$A137=""),"",SUMIFS('05B. APONTAMENTO DIÁRIO'!$F$5:$F$1004,'05B. APONTAMENTO DIÁRIO'!$B$5:$B$1004,$B137,'05B. APONTAMENTO DIÁRIO'!$C$5:$C$1004,$D137,'05B. APONTAMENTO DIÁRIO'!$G$5:$G$1004,$G137,'05B. APONTAMENTO DIÁRIO'!$A$5:$A$1004,"&gt;="&amp;($A137-4),'05B. APONTAMENTO DIÁRIO'!$A$5:$A$1004,"&lt;="&amp;$A137))</f>
      </c>
      <c r="L137" s="226">
        <f>IF(OR($F137="",N($F137)=0,$K137=""),"",$K137/$F137)</f>
      </c>
      <c r="M137" s="218" t="n"/>
      <c r="N137" s="222">
        <f>IF($J137&lt;&gt;"SIM","",IF($M137&lt;&gt;"",$M137,IF(AND(ISNUMBER($L137),N($L137)&gt;=1),"SIM",IF($A137&lt;=DATA_GESTAO,"NÃO",""))))</f>
      </c>
      <c r="O137" s="218" t="n"/>
    </row>
    <row r="138">
      <c r="A138" s="220" t="n"/>
      <c r="B138" s="218" t="n"/>
      <c r="C138" s="218" t="n"/>
      <c r="D138" s="218" t="n"/>
      <c r="E138" s="298" t="n"/>
      <c r="F138" s="328" t="n"/>
      <c r="G138" s="218" t="n"/>
      <c r="H138" s="218" t="n"/>
      <c r="I138" s="222">
        <f>IF($D138="","",IF(COUNTIFS('05C. RESTRIÇÕES'!$B$5:$B$204,$B138,'05C. RESTRIÇÕES'!$C$5:$C$204,$D138,'05C. RESTRIÇÕES'!$H$5:$H$204,"ABERTA")&gt;0,"SIM","NÃO"))</f>
      </c>
      <c r="J138" s="218" t="n"/>
      <c r="K138" s="329">
        <f>IF(OR($D138="",$A138=""),"",SUMIFS('05B. APONTAMENTO DIÁRIO'!$F$5:$F$1004,'05B. APONTAMENTO DIÁRIO'!$B$5:$B$1004,$B138,'05B. APONTAMENTO DIÁRIO'!$C$5:$C$1004,$D138,'05B. APONTAMENTO DIÁRIO'!$G$5:$G$1004,$G138,'05B. APONTAMENTO DIÁRIO'!$A$5:$A$1004,"&gt;="&amp;($A138-4),'05B. APONTAMENTO DIÁRIO'!$A$5:$A$1004,"&lt;="&amp;$A138))</f>
      </c>
      <c r="L138" s="226">
        <f>IF(OR($F138="",N($F138)=0,$K138=""),"",$K138/$F138)</f>
      </c>
      <c r="M138" s="218" t="n"/>
      <c r="N138" s="222">
        <f>IF($J138&lt;&gt;"SIM","",IF($M138&lt;&gt;"",$M138,IF(AND(ISNUMBER($L138),N($L138)&gt;=1),"SIM",IF($A138&lt;=DATA_GESTAO,"NÃO",""))))</f>
      </c>
      <c r="O138" s="218" t="n"/>
    </row>
    <row r="139">
      <c r="A139" s="220" t="n"/>
      <c r="B139" s="218" t="n"/>
      <c r="C139" s="218" t="n"/>
      <c r="D139" s="218" t="n"/>
      <c r="E139" s="298" t="n"/>
      <c r="F139" s="328" t="n"/>
      <c r="G139" s="218" t="n"/>
      <c r="H139" s="218" t="n"/>
      <c r="I139" s="222">
        <f>IF($D139="","",IF(COUNTIFS('05C. RESTRIÇÕES'!$B$5:$B$204,$B139,'05C. RESTRIÇÕES'!$C$5:$C$204,$D139,'05C. RESTRIÇÕES'!$H$5:$H$204,"ABERTA")&gt;0,"SIM","NÃO"))</f>
      </c>
      <c r="J139" s="218" t="n"/>
      <c r="K139" s="329">
        <f>IF(OR($D139="",$A139=""),"",SUMIFS('05B. APONTAMENTO DIÁRIO'!$F$5:$F$1004,'05B. APONTAMENTO DIÁRIO'!$B$5:$B$1004,$B139,'05B. APONTAMENTO DIÁRIO'!$C$5:$C$1004,$D139,'05B. APONTAMENTO DIÁRIO'!$G$5:$G$1004,$G139,'05B. APONTAMENTO DIÁRIO'!$A$5:$A$1004,"&gt;="&amp;($A139-4),'05B. APONTAMENTO DIÁRIO'!$A$5:$A$1004,"&lt;="&amp;$A139))</f>
      </c>
      <c r="L139" s="226">
        <f>IF(OR($F139="",N($F139)=0,$K139=""),"",$K139/$F139)</f>
      </c>
      <c r="M139" s="218" t="n"/>
      <c r="N139" s="222">
        <f>IF($J139&lt;&gt;"SIM","",IF($M139&lt;&gt;"",$M139,IF(AND(ISNUMBER($L139),N($L139)&gt;=1),"SIM",IF($A139&lt;=DATA_GESTAO,"NÃO",""))))</f>
      </c>
      <c r="O139" s="218" t="n"/>
    </row>
    <row r="140">
      <c r="A140" s="220" t="n"/>
      <c r="B140" s="218" t="n"/>
      <c r="C140" s="218" t="n"/>
      <c r="D140" s="218" t="n"/>
      <c r="E140" s="298" t="n"/>
      <c r="F140" s="328" t="n"/>
      <c r="G140" s="218" t="n"/>
      <c r="H140" s="218" t="n"/>
      <c r="I140" s="222">
        <f>IF($D140="","",IF(COUNTIFS('05C. RESTRIÇÕES'!$B$5:$B$204,$B140,'05C. RESTRIÇÕES'!$C$5:$C$204,$D140,'05C. RESTRIÇÕES'!$H$5:$H$204,"ABERTA")&gt;0,"SIM","NÃO"))</f>
      </c>
      <c r="J140" s="218" t="n"/>
      <c r="K140" s="329">
        <f>IF(OR($D140="",$A140=""),"",SUMIFS('05B. APONTAMENTO DIÁRIO'!$F$5:$F$1004,'05B. APONTAMENTO DIÁRIO'!$B$5:$B$1004,$B140,'05B. APONTAMENTO DIÁRIO'!$C$5:$C$1004,$D140,'05B. APONTAMENTO DIÁRIO'!$G$5:$G$1004,$G140,'05B. APONTAMENTO DIÁRIO'!$A$5:$A$1004,"&gt;="&amp;($A140-4),'05B. APONTAMENTO DIÁRIO'!$A$5:$A$1004,"&lt;="&amp;$A140))</f>
      </c>
      <c r="L140" s="226">
        <f>IF(OR($F140="",N($F140)=0,$K140=""),"",$K140/$F140)</f>
      </c>
      <c r="M140" s="218" t="n"/>
      <c r="N140" s="222">
        <f>IF($J140&lt;&gt;"SIM","",IF($M140&lt;&gt;"",$M140,IF(AND(ISNUMBER($L140),N($L140)&gt;=1),"SIM",IF($A140&lt;=DATA_GESTAO,"NÃO",""))))</f>
      </c>
      <c r="O140" s="218" t="n"/>
    </row>
    <row r="141">
      <c r="A141" s="220" t="n"/>
      <c r="B141" s="218" t="n"/>
      <c r="C141" s="218" t="n"/>
      <c r="D141" s="218" t="n"/>
      <c r="E141" s="298" t="n"/>
      <c r="F141" s="328" t="n"/>
      <c r="G141" s="218" t="n"/>
      <c r="H141" s="218" t="n"/>
      <c r="I141" s="222">
        <f>IF($D141="","",IF(COUNTIFS('05C. RESTRIÇÕES'!$B$5:$B$204,$B141,'05C. RESTRIÇÕES'!$C$5:$C$204,$D141,'05C. RESTRIÇÕES'!$H$5:$H$204,"ABERTA")&gt;0,"SIM","NÃO"))</f>
      </c>
      <c r="J141" s="218" t="n"/>
      <c r="K141" s="329">
        <f>IF(OR($D141="",$A141=""),"",SUMIFS('05B. APONTAMENTO DIÁRIO'!$F$5:$F$1004,'05B. APONTAMENTO DIÁRIO'!$B$5:$B$1004,$B141,'05B. APONTAMENTO DIÁRIO'!$C$5:$C$1004,$D141,'05B. APONTAMENTO DIÁRIO'!$G$5:$G$1004,$G141,'05B. APONTAMENTO DIÁRIO'!$A$5:$A$1004,"&gt;="&amp;($A141-4),'05B. APONTAMENTO DIÁRIO'!$A$5:$A$1004,"&lt;="&amp;$A141))</f>
      </c>
      <c r="L141" s="226">
        <f>IF(OR($F141="",N($F141)=0,$K141=""),"",$K141/$F141)</f>
      </c>
      <c r="M141" s="218" t="n"/>
      <c r="N141" s="222">
        <f>IF($J141&lt;&gt;"SIM","",IF($M141&lt;&gt;"",$M141,IF(AND(ISNUMBER($L141),N($L141)&gt;=1),"SIM",IF($A141&lt;=DATA_GESTAO,"NÃO",""))))</f>
      </c>
      <c r="O141" s="218" t="n"/>
    </row>
    <row r="142">
      <c r="A142" s="220" t="n"/>
      <c r="B142" s="218" t="n"/>
      <c r="C142" s="218" t="n"/>
      <c r="D142" s="218" t="n"/>
      <c r="E142" s="298" t="n"/>
      <c r="F142" s="328" t="n"/>
      <c r="G142" s="218" t="n"/>
      <c r="H142" s="218" t="n"/>
      <c r="I142" s="222">
        <f>IF($D142="","",IF(COUNTIFS('05C. RESTRIÇÕES'!$B$5:$B$204,$B142,'05C. RESTRIÇÕES'!$C$5:$C$204,$D142,'05C. RESTRIÇÕES'!$H$5:$H$204,"ABERTA")&gt;0,"SIM","NÃO"))</f>
      </c>
      <c r="J142" s="218" t="n"/>
      <c r="K142" s="329">
        <f>IF(OR($D142="",$A142=""),"",SUMIFS('05B. APONTAMENTO DIÁRIO'!$F$5:$F$1004,'05B. APONTAMENTO DIÁRIO'!$B$5:$B$1004,$B142,'05B. APONTAMENTO DIÁRIO'!$C$5:$C$1004,$D142,'05B. APONTAMENTO DIÁRIO'!$G$5:$G$1004,$G142,'05B. APONTAMENTO DIÁRIO'!$A$5:$A$1004,"&gt;="&amp;($A142-4),'05B. APONTAMENTO DIÁRIO'!$A$5:$A$1004,"&lt;="&amp;$A142))</f>
      </c>
      <c r="L142" s="226">
        <f>IF(OR($F142="",N($F142)=0,$K142=""),"",$K142/$F142)</f>
      </c>
      <c r="M142" s="218" t="n"/>
      <c r="N142" s="222">
        <f>IF($J142&lt;&gt;"SIM","",IF($M142&lt;&gt;"",$M142,IF(AND(ISNUMBER($L142),N($L142)&gt;=1),"SIM",IF($A142&lt;=DATA_GESTAO,"NÃO",""))))</f>
      </c>
      <c r="O142" s="218" t="n"/>
    </row>
    <row r="143">
      <c r="A143" s="220" t="n"/>
      <c r="B143" s="218" t="n"/>
      <c r="C143" s="218" t="n"/>
      <c r="D143" s="218" t="n"/>
      <c r="E143" s="298" t="n"/>
      <c r="F143" s="328" t="n"/>
      <c r="G143" s="218" t="n"/>
      <c r="H143" s="218" t="n"/>
      <c r="I143" s="222">
        <f>IF($D143="","",IF(COUNTIFS('05C. RESTRIÇÕES'!$B$5:$B$204,$B143,'05C. RESTRIÇÕES'!$C$5:$C$204,$D143,'05C. RESTRIÇÕES'!$H$5:$H$204,"ABERTA")&gt;0,"SIM","NÃO"))</f>
      </c>
      <c r="J143" s="218" t="n"/>
      <c r="K143" s="329">
        <f>IF(OR($D143="",$A143=""),"",SUMIFS('05B. APONTAMENTO DIÁRIO'!$F$5:$F$1004,'05B. APONTAMENTO DIÁRIO'!$B$5:$B$1004,$B143,'05B. APONTAMENTO DIÁRIO'!$C$5:$C$1004,$D143,'05B. APONTAMENTO DIÁRIO'!$G$5:$G$1004,$G143,'05B. APONTAMENTO DIÁRIO'!$A$5:$A$1004,"&gt;="&amp;($A143-4),'05B. APONTAMENTO DIÁRIO'!$A$5:$A$1004,"&lt;="&amp;$A143))</f>
      </c>
      <c r="L143" s="226">
        <f>IF(OR($F143="",N($F143)=0,$K143=""),"",$K143/$F143)</f>
      </c>
      <c r="M143" s="218" t="n"/>
      <c r="N143" s="222">
        <f>IF($J143&lt;&gt;"SIM","",IF($M143&lt;&gt;"",$M143,IF(AND(ISNUMBER($L143),N($L143)&gt;=1),"SIM",IF($A143&lt;=DATA_GESTAO,"NÃO",""))))</f>
      </c>
      <c r="O143" s="218" t="n"/>
    </row>
    <row r="144">
      <c r="A144" s="220" t="n"/>
      <c r="B144" s="218" t="n"/>
      <c r="C144" s="218" t="n"/>
      <c r="D144" s="218" t="n"/>
      <c r="E144" s="298" t="n"/>
      <c r="F144" s="328" t="n"/>
      <c r="G144" s="218" t="n"/>
      <c r="H144" s="218" t="n"/>
      <c r="I144" s="222">
        <f>IF($D144="","",IF(COUNTIFS('05C. RESTRIÇÕES'!$B$5:$B$204,$B144,'05C. RESTRIÇÕES'!$C$5:$C$204,$D144,'05C. RESTRIÇÕES'!$H$5:$H$204,"ABERTA")&gt;0,"SIM","NÃO"))</f>
      </c>
      <c r="J144" s="218" t="n"/>
      <c r="K144" s="329">
        <f>IF(OR($D144="",$A144=""),"",SUMIFS('05B. APONTAMENTO DIÁRIO'!$F$5:$F$1004,'05B. APONTAMENTO DIÁRIO'!$B$5:$B$1004,$B144,'05B. APONTAMENTO DIÁRIO'!$C$5:$C$1004,$D144,'05B. APONTAMENTO DIÁRIO'!$G$5:$G$1004,$G144,'05B. APONTAMENTO DIÁRIO'!$A$5:$A$1004,"&gt;="&amp;($A144-4),'05B. APONTAMENTO DIÁRIO'!$A$5:$A$1004,"&lt;="&amp;$A144))</f>
      </c>
      <c r="L144" s="226">
        <f>IF(OR($F144="",N($F144)=0,$K144=""),"",$K144/$F144)</f>
      </c>
      <c r="M144" s="218" t="n"/>
      <c r="N144" s="222">
        <f>IF($J144&lt;&gt;"SIM","",IF($M144&lt;&gt;"",$M144,IF(AND(ISNUMBER($L144),N($L144)&gt;=1),"SIM",IF($A144&lt;=DATA_GESTAO,"NÃO",""))))</f>
      </c>
      <c r="O144" s="218" t="n"/>
    </row>
    <row r="145">
      <c r="A145" s="220" t="n"/>
      <c r="B145" s="218" t="n"/>
      <c r="C145" s="218" t="n"/>
      <c r="D145" s="218" t="n"/>
      <c r="E145" s="298" t="n"/>
      <c r="F145" s="328" t="n"/>
      <c r="G145" s="218" t="n"/>
      <c r="H145" s="218" t="n"/>
      <c r="I145" s="222">
        <f>IF($D145="","",IF(COUNTIFS('05C. RESTRIÇÕES'!$B$5:$B$204,$B145,'05C. RESTRIÇÕES'!$C$5:$C$204,$D145,'05C. RESTRIÇÕES'!$H$5:$H$204,"ABERTA")&gt;0,"SIM","NÃO"))</f>
      </c>
      <c r="J145" s="218" t="n"/>
      <c r="K145" s="329">
        <f>IF(OR($D145="",$A145=""),"",SUMIFS('05B. APONTAMENTO DIÁRIO'!$F$5:$F$1004,'05B. APONTAMENTO DIÁRIO'!$B$5:$B$1004,$B145,'05B. APONTAMENTO DIÁRIO'!$C$5:$C$1004,$D145,'05B. APONTAMENTO DIÁRIO'!$G$5:$G$1004,$G145,'05B. APONTAMENTO DIÁRIO'!$A$5:$A$1004,"&gt;="&amp;($A145-4),'05B. APONTAMENTO DIÁRIO'!$A$5:$A$1004,"&lt;="&amp;$A145))</f>
      </c>
      <c r="L145" s="226">
        <f>IF(OR($F145="",N($F145)=0,$K145=""),"",$K145/$F145)</f>
      </c>
      <c r="M145" s="218" t="n"/>
      <c r="N145" s="222">
        <f>IF($J145&lt;&gt;"SIM","",IF($M145&lt;&gt;"",$M145,IF(AND(ISNUMBER($L145),N($L145)&gt;=1),"SIM",IF($A145&lt;=DATA_GESTAO,"NÃO",""))))</f>
      </c>
      <c r="O145" s="218" t="n"/>
    </row>
    <row r="146">
      <c r="A146" s="220" t="n"/>
      <c r="B146" s="218" t="n"/>
      <c r="C146" s="218" t="n"/>
      <c r="D146" s="218" t="n"/>
      <c r="E146" s="298" t="n"/>
      <c r="F146" s="328" t="n"/>
      <c r="G146" s="218" t="n"/>
      <c r="H146" s="218" t="n"/>
      <c r="I146" s="222">
        <f>IF($D146="","",IF(COUNTIFS('05C. RESTRIÇÕES'!$B$5:$B$204,$B146,'05C. RESTRIÇÕES'!$C$5:$C$204,$D146,'05C. RESTRIÇÕES'!$H$5:$H$204,"ABERTA")&gt;0,"SIM","NÃO"))</f>
      </c>
      <c r="J146" s="218" t="n"/>
      <c r="K146" s="329">
        <f>IF(OR($D146="",$A146=""),"",SUMIFS('05B. APONTAMENTO DIÁRIO'!$F$5:$F$1004,'05B. APONTAMENTO DIÁRIO'!$B$5:$B$1004,$B146,'05B. APONTAMENTO DIÁRIO'!$C$5:$C$1004,$D146,'05B. APONTAMENTO DIÁRIO'!$G$5:$G$1004,$G146,'05B. APONTAMENTO DIÁRIO'!$A$5:$A$1004,"&gt;="&amp;($A146-4),'05B. APONTAMENTO DIÁRIO'!$A$5:$A$1004,"&lt;="&amp;$A146))</f>
      </c>
      <c r="L146" s="226">
        <f>IF(OR($F146="",N($F146)=0,$K146=""),"",$K146/$F146)</f>
      </c>
      <c r="M146" s="218" t="n"/>
      <c r="N146" s="222">
        <f>IF($J146&lt;&gt;"SIM","",IF($M146&lt;&gt;"",$M146,IF(AND(ISNUMBER($L146),N($L146)&gt;=1),"SIM",IF($A146&lt;=DATA_GESTAO,"NÃO",""))))</f>
      </c>
      <c r="O146" s="218" t="n"/>
    </row>
    <row r="147">
      <c r="A147" s="220" t="n"/>
      <c r="B147" s="218" t="n"/>
      <c r="C147" s="218" t="n"/>
      <c r="D147" s="218" t="n"/>
      <c r="E147" s="298" t="n"/>
      <c r="F147" s="328" t="n"/>
      <c r="G147" s="218" t="n"/>
      <c r="H147" s="218" t="n"/>
      <c r="I147" s="222">
        <f>IF($D147="","",IF(COUNTIFS('05C. RESTRIÇÕES'!$B$5:$B$204,$B147,'05C. RESTRIÇÕES'!$C$5:$C$204,$D147,'05C. RESTRIÇÕES'!$H$5:$H$204,"ABERTA")&gt;0,"SIM","NÃO"))</f>
      </c>
      <c r="J147" s="218" t="n"/>
      <c r="K147" s="329">
        <f>IF(OR($D147="",$A147=""),"",SUMIFS('05B. APONTAMENTO DIÁRIO'!$F$5:$F$1004,'05B. APONTAMENTO DIÁRIO'!$B$5:$B$1004,$B147,'05B. APONTAMENTO DIÁRIO'!$C$5:$C$1004,$D147,'05B. APONTAMENTO DIÁRIO'!$G$5:$G$1004,$G147,'05B. APONTAMENTO DIÁRIO'!$A$5:$A$1004,"&gt;="&amp;($A147-4),'05B. APONTAMENTO DIÁRIO'!$A$5:$A$1004,"&lt;="&amp;$A147))</f>
      </c>
      <c r="L147" s="226">
        <f>IF(OR($F147="",N($F147)=0,$K147=""),"",$K147/$F147)</f>
      </c>
      <c r="M147" s="218" t="n"/>
      <c r="N147" s="222">
        <f>IF($J147&lt;&gt;"SIM","",IF($M147&lt;&gt;"",$M147,IF(AND(ISNUMBER($L147),N($L147)&gt;=1),"SIM",IF($A147&lt;=DATA_GESTAO,"NÃO",""))))</f>
      </c>
      <c r="O147" s="218" t="n"/>
    </row>
    <row r="148">
      <c r="A148" s="220" t="n"/>
      <c r="B148" s="218" t="n"/>
      <c r="C148" s="218" t="n"/>
      <c r="D148" s="218" t="n"/>
      <c r="E148" s="298" t="n"/>
      <c r="F148" s="328" t="n"/>
      <c r="G148" s="218" t="n"/>
      <c r="H148" s="218" t="n"/>
      <c r="I148" s="222">
        <f>IF($D148="","",IF(COUNTIFS('05C. RESTRIÇÕES'!$B$5:$B$204,$B148,'05C. RESTRIÇÕES'!$C$5:$C$204,$D148,'05C. RESTRIÇÕES'!$H$5:$H$204,"ABERTA")&gt;0,"SIM","NÃO"))</f>
      </c>
      <c r="J148" s="218" t="n"/>
      <c r="K148" s="329">
        <f>IF(OR($D148="",$A148=""),"",SUMIFS('05B. APONTAMENTO DIÁRIO'!$F$5:$F$1004,'05B. APONTAMENTO DIÁRIO'!$B$5:$B$1004,$B148,'05B. APONTAMENTO DIÁRIO'!$C$5:$C$1004,$D148,'05B. APONTAMENTO DIÁRIO'!$G$5:$G$1004,$G148,'05B. APONTAMENTO DIÁRIO'!$A$5:$A$1004,"&gt;="&amp;($A148-4),'05B. APONTAMENTO DIÁRIO'!$A$5:$A$1004,"&lt;="&amp;$A148))</f>
      </c>
      <c r="L148" s="226">
        <f>IF(OR($F148="",N($F148)=0,$K148=""),"",$K148/$F148)</f>
      </c>
      <c r="M148" s="218" t="n"/>
      <c r="N148" s="222">
        <f>IF($J148&lt;&gt;"SIM","",IF($M148&lt;&gt;"",$M148,IF(AND(ISNUMBER($L148),N($L148)&gt;=1),"SIM",IF($A148&lt;=DATA_GESTAO,"NÃO",""))))</f>
      </c>
      <c r="O148" s="218" t="n"/>
    </row>
    <row r="149">
      <c r="A149" s="220" t="n"/>
      <c r="B149" s="218" t="n"/>
      <c r="C149" s="218" t="n"/>
      <c r="D149" s="218" t="n"/>
      <c r="E149" s="298" t="n"/>
      <c r="F149" s="328" t="n"/>
      <c r="G149" s="218" t="n"/>
      <c r="H149" s="218" t="n"/>
      <c r="I149" s="222">
        <f>IF($D149="","",IF(COUNTIFS('05C. RESTRIÇÕES'!$B$5:$B$204,$B149,'05C. RESTRIÇÕES'!$C$5:$C$204,$D149,'05C. RESTRIÇÕES'!$H$5:$H$204,"ABERTA")&gt;0,"SIM","NÃO"))</f>
      </c>
      <c r="J149" s="218" t="n"/>
      <c r="K149" s="329">
        <f>IF(OR($D149="",$A149=""),"",SUMIFS('05B. APONTAMENTO DIÁRIO'!$F$5:$F$1004,'05B. APONTAMENTO DIÁRIO'!$B$5:$B$1004,$B149,'05B. APONTAMENTO DIÁRIO'!$C$5:$C$1004,$D149,'05B. APONTAMENTO DIÁRIO'!$G$5:$G$1004,$G149,'05B. APONTAMENTO DIÁRIO'!$A$5:$A$1004,"&gt;="&amp;($A149-4),'05B. APONTAMENTO DIÁRIO'!$A$5:$A$1004,"&lt;="&amp;$A149))</f>
      </c>
      <c r="L149" s="226">
        <f>IF(OR($F149="",N($F149)=0,$K149=""),"",$K149/$F149)</f>
      </c>
      <c r="M149" s="218" t="n"/>
      <c r="N149" s="222">
        <f>IF($J149&lt;&gt;"SIM","",IF($M149&lt;&gt;"",$M149,IF(AND(ISNUMBER($L149),N($L149)&gt;=1),"SIM",IF($A149&lt;=DATA_GESTAO,"NÃO",""))))</f>
      </c>
      <c r="O149" s="218" t="n"/>
    </row>
    <row r="150">
      <c r="A150" s="220" t="n"/>
      <c r="B150" s="218" t="n"/>
      <c r="C150" s="218" t="n"/>
      <c r="D150" s="218" t="n"/>
      <c r="E150" s="298" t="n"/>
      <c r="F150" s="328" t="n"/>
      <c r="G150" s="218" t="n"/>
      <c r="H150" s="218" t="n"/>
      <c r="I150" s="222">
        <f>IF($D150="","",IF(COUNTIFS('05C. RESTRIÇÕES'!$B$5:$B$204,$B150,'05C. RESTRIÇÕES'!$C$5:$C$204,$D150,'05C. RESTRIÇÕES'!$H$5:$H$204,"ABERTA")&gt;0,"SIM","NÃO"))</f>
      </c>
      <c r="J150" s="218" t="n"/>
      <c r="K150" s="329">
        <f>IF(OR($D150="",$A150=""),"",SUMIFS('05B. APONTAMENTO DIÁRIO'!$F$5:$F$1004,'05B. APONTAMENTO DIÁRIO'!$B$5:$B$1004,$B150,'05B. APONTAMENTO DIÁRIO'!$C$5:$C$1004,$D150,'05B. APONTAMENTO DIÁRIO'!$G$5:$G$1004,$G150,'05B. APONTAMENTO DIÁRIO'!$A$5:$A$1004,"&gt;="&amp;($A150-4),'05B. APONTAMENTO DIÁRIO'!$A$5:$A$1004,"&lt;="&amp;$A150))</f>
      </c>
      <c r="L150" s="226">
        <f>IF(OR($F150="",N($F150)=0,$K150=""),"",$K150/$F150)</f>
      </c>
      <c r="M150" s="218" t="n"/>
      <c r="N150" s="222">
        <f>IF($J150&lt;&gt;"SIM","",IF($M150&lt;&gt;"",$M150,IF(AND(ISNUMBER($L150),N($L150)&gt;=1),"SIM",IF($A150&lt;=DATA_GESTAO,"NÃO",""))))</f>
      </c>
      <c r="O150" s="218" t="n"/>
    </row>
    <row r="151">
      <c r="A151" s="220" t="n"/>
      <c r="B151" s="218" t="n"/>
      <c r="C151" s="218" t="n"/>
      <c r="D151" s="218" t="n"/>
      <c r="E151" s="298" t="n"/>
      <c r="F151" s="328" t="n"/>
      <c r="G151" s="218" t="n"/>
      <c r="H151" s="218" t="n"/>
      <c r="I151" s="222">
        <f>IF($D151="","",IF(COUNTIFS('05C. RESTRIÇÕES'!$B$5:$B$204,$B151,'05C. RESTRIÇÕES'!$C$5:$C$204,$D151,'05C. RESTRIÇÕES'!$H$5:$H$204,"ABERTA")&gt;0,"SIM","NÃO"))</f>
      </c>
      <c r="J151" s="218" t="n"/>
      <c r="K151" s="329">
        <f>IF(OR($D151="",$A151=""),"",SUMIFS('05B. APONTAMENTO DIÁRIO'!$F$5:$F$1004,'05B. APONTAMENTO DIÁRIO'!$B$5:$B$1004,$B151,'05B. APONTAMENTO DIÁRIO'!$C$5:$C$1004,$D151,'05B. APONTAMENTO DIÁRIO'!$G$5:$G$1004,$G151,'05B. APONTAMENTO DIÁRIO'!$A$5:$A$1004,"&gt;="&amp;($A151-4),'05B. APONTAMENTO DIÁRIO'!$A$5:$A$1004,"&lt;="&amp;$A151))</f>
      </c>
      <c r="L151" s="226">
        <f>IF(OR($F151="",N($F151)=0,$K151=""),"",$K151/$F151)</f>
      </c>
      <c r="M151" s="218" t="n"/>
      <c r="N151" s="222">
        <f>IF($J151&lt;&gt;"SIM","",IF($M151&lt;&gt;"",$M151,IF(AND(ISNUMBER($L151),N($L151)&gt;=1),"SIM",IF($A151&lt;=DATA_GESTAO,"NÃO",""))))</f>
      </c>
      <c r="O151" s="218" t="n"/>
    </row>
    <row r="152">
      <c r="A152" s="220" t="n"/>
      <c r="B152" s="218" t="n"/>
      <c r="C152" s="218" t="n"/>
      <c r="D152" s="218" t="n"/>
      <c r="E152" s="298" t="n"/>
      <c r="F152" s="328" t="n"/>
      <c r="G152" s="218" t="n"/>
      <c r="H152" s="218" t="n"/>
      <c r="I152" s="222">
        <f>IF($D152="","",IF(COUNTIFS('05C. RESTRIÇÕES'!$B$5:$B$204,$B152,'05C. RESTRIÇÕES'!$C$5:$C$204,$D152,'05C. RESTRIÇÕES'!$H$5:$H$204,"ABERTA")&gt;0,"SIM","NÃO"))</f>
      </c>
      <c r="J152" s="218" t="n"/>
      <c r="K152" s="329">
        <f>IF(OR($D152="",$A152=""),"",SUMIFS('05B. APONTAMENTO DIÁRIO'!$F$5:$F$1004,'05B. APONTAMENTO DIÁRIO'!$B$5:$B$1004,$B152,'05B. APONTAMENTO DIÁRIO'!$C$5:$C$1004,$D152,'05B. APONTAMENTO DIÁRIO'!$G$5:$G$1004,$G152,'05B. APONTAMENTO DIÁRIO'!$A$5:$A$1004,"&gt;="&amp;($A152-4),'05B. APONTAMENTO DIÁRIO'!$A$5:$A$1004,"&lt;="&amp;$A152))</f>
      </c>
      <c r="L152" s="226">
        <f>IF(OR($F152="",N($F152)=0,$K152=""),"",$K152/$F152)</f>
      </c>
      <c r="M152" s="218" t="n"/>
      <c r="N152" s="222">
        <f>IF($J152&lt;&gt;"SIM","",IF($M152&lt;&gt;"",$M152,IF(AND(ISNUMBER($L152),N($L152)&gt;=1),"SIM",IF($A152&lt;=DATA_GESTAO,"NÃO",""))))</f>
      </c>
      <c r="O152" s="218" t="n"/>
    </row>
    <row r="153">
      <c r="A153" s="220" t="n"/>
      <c r="B153" s="218" t="n"/>
      <c r="C153" s="218" t="n"/>
      <c r="D153" s="218" t="n"/>
      <c r="E153" s="298" t="n"/>
      <c r="F153" s="328" t="n"/>
      <c r="G153" s="218" t="n"/>
      <c r="H153" s="218" t="n"/>
      <c r="I153" s="222">
        <f>IF($D153="","",IF(COUNTIFS('05C. RESTRIÇÕES'!$B$5:$B$204,$B153,'05C. RESTRIÇÕES'!$C$5:$C$204,$D153,'05C. RESTRIÇÕES'!$H$5:$H$204,"ABERTA")&gt;0,"SIM","NÃO"))</f>
      </c>
      <c r="J153" s="218" t="n"/>
      <c r="K153" s="329">
        <f>IF(OR($D153="",$A153=""),"",SUMIFS('05B. APONTAMENTO DIÁRIO'!$F$5:$F$1004,'05B. APONTAMENTO DIÁRIO'!$B$5:$B$1004,$B153,'05B. APONTAMENTO DIÁRIO'!$C$5:$C$1004,$D153,'05B. APONTAMENTO DIÁRIO'!$G$5:$G$1004,$G153,'05B. APONTAMENTO DIÁRIO'!$A$5:$A$1004,"&gt;="&amp;($A153-4),'05B. APONTAMENTO DIÁRIO'!$A$5:$A$1004,"&lt;="&amp;$A153))</f>
      </c>
      <c r="L153" s="226">
        <f>IF(OR($F153="",N($F153)=0,$K153=""),"",$K153/$F153)</f>
      </c>
      <c r="M153" s="218" t="n"/>
      <c r="N153" s="222">
        <f>IF($J153&lt;&gt;"SIM","",IF($M153&lt;&gt;"",$M153,IF(AND(ISNUMBER($L153),N($L153)&gt;=1),"SIM",IF($A153&lt;=DATA_GESTAO,"NÃO",""))))</f>
      </c>
      <c r="O153" s="218" t="n"/>
    </row>
    <row r="154">
      <c r="A154" s="220" t="n"/>
      <c r="B154" s="218" t="n"/>
      <c r="C154" s="218" t="n"/>
      <c r="D154" s="218" t="n"/>
      <c r="E154" s="298" t="n"/>
      <c r="F154" s="328" t="n"/>
      <c r="G154" s="218" t="n"/>
      <c r="H154" s="218" t="n"/>
      <c r="I154" s="222">
        <f>IF($D154="","",IF(COUNTIFS('05C. RESTRIÇÕES'!$B$5:$B$204,$B154,'05C. RESTRIÇÕES'!$C$5:$C$204,$D154,'05C. RESTRIÇÕES'!$H$5:$H$204,"ABERTA")&gt;0,"SIM","NÃO"))</f>
      </c>
      <c r="J154" s="218" t="n"/>
      <c r="K154" s="329">
        <f>IF(OR($D154="",$A154=""),"",SUMIFS('05B. APONTAMENTO DIÁRIO'!$F$5:$F$1004,'05B. APONTAMENTO DIÁRIO'!$B$5:$B$1004,$B154,'05B. APONTAMENTO DIÁRIO'!$C$5:$C$1004,$D154,'05B. APONTAMENTO DIÁRIO'!$G$5:$G$1004,$G154,'05B. APONTAMENTO DIÁRIO'!$A$5:$A$1004,"&gt;="&amp;($A154-4),'05B. APONTAMENTO DIÁRIO'!$A$5:$A$1004,"&lt;="&amp;$A154))</f>
      </c>
      <c r="L154" s="226">
        <f>IF(OR($F154="",N($F154)=0,$K154=""),"",$K154/$F154)</f>
      </c>
      <c r="M154" s="218" t="n"/>
      <c r="N154" s="222">
        <f>IF($J154&lt;&gt;"SIM","",IF($M154&lt;&gt;"",$M154,IF(AND(ISNUMBER($L154),N($L154)&gt;=1),"SIM",IF($A154&lt;=DATA_GESTAO,"NÃO",""))))</f>
      </c>
      <c r="O154" s="218" t="n"/>
    </row>
    <row r="155">
      <c r="A155" s="220" t="n"/>
      <c r="B155" s="218" t="n"/>
      <c r="C155" s="218" t="n"/>
      <c r="D155" s="218" t="n"/>
      <c r="E155" s="298" t="n"/>
      <c r="F155" s="328" t="n"/>
      <c r="G155" s="218" t="n"/>
      <c r="H155" s="218" t="n"/>
      <c r="I155" s="222">
        <f>IF($D155="","",IF(COUNTIFS('05C. RESTRIÇÕES'!$B$5:$B$204,$B155,'05C. RESTRIÇÕES'!$C$5:$C$204,$D155,'05C. RESTRIÇÕES'!$H$5:$H$204,"ABERTA")&gt;0,"SIM","NÃO"))</f>
      </c>
      <c r="J155" s="218" t="n"/>
      <c r="K155" s="329">
        <f>IF(OR($D155="",$A155=""),"",SUMIFS('05B. APONTAMENTO DIÁRIO'!$F$5:$F$1004,'05B. APONTAMENTO DIÁRIO'!$B$5:$B$1004,$B155,'05B. APONTAMENTO DIÁRIO'!$C$5:$C$1004,$D155,'05B. APONTAMENTO DIÁRIO'!$G$5:$G$1004,$G155,'05B. APONTAMENTO DIÁRIO'!$A$5:$A$1004,"&gt;="&amp;($A155-4),'05B. APONTAMENTO DIÁRIO'!$A$5:$A$1004,"&lt;="&amp;$A155))</f>
      </c>
      <c r="L155" s="226">
        <f>IF(OR($F155="",N($F155)=0,$K155=""),"",$K155/$F155)</f>
      </c>
      <c r="M155" s="218" t="n"/>
      <c r="N155" s="222">
        <f>IF($J155&lt;&gt;"SIM","",IF($M155&lt;&gt;"",$M155,IF(AND(ISNUMBER($L155),N($L155)&gt;=1),"SIM",IF($A155&lt;=DATA_GESTAO,"NÃO",""))))</f>
      </c>
      <c r="O155" s="218" t="n"/>
    </row>
    <row r="156">
      <c r="A156" s="220" t="n"/>
      <c r="B156" s="218" t="n"/>
      <c r="C156" s="218" t="n"/>
      <c r="D156" s="218" t="n"/>
      <c r="E156" s="298" t="n"/>
      <c r="F156" s="328" t="n"/>
      <c r="G156" s="218" t="n"/>
      <c r="H156" s="218" t="n"/>
      <c r="I156" s="222">
        <f>IF($D156="","",IF(COUNTIFS('05C. RESTRIÇÕES'!$B$5:$B$204,$B156,'05C. RESTRIÇÕES'!$C$5:$C$204,$D156,'05C. RESTRIÇÕES'!$H$5:$H$204,"ABERTA")&gt;0,"SIM","NÃO"))</f>
      </c>
      <c r="J156" s="218" t="n"/>
      <c r="K156" s="329">
        <f>IF(OR($D156="",$A156=""),"",SUMIFS('05B. APONTAMENTO DIÁRIO'!$F$5:$F$1004,'05B. APONTAMENTO DIÁRIO'!$B$5:$B$1004,$B156,'05B. APONTAMENTO DIÁRIO'!$C$5:$C$1004,$D156,'05B. APONTAMENTO DIÁRIO'!$G$5:$G$1004,$G156,'05B. APONTAMENTO DIÁRIO'!$A$5:$A$1004,"&gt;="&amp;($A156-4),'05B. APONTAMENTO DIÁRIO'!$A$5:$A$1004,"&lt;="&amp;$A156))</f>
      </c>
      <c r="L156" s="226">
        <f>IF(OR($F156="",N($F156)=0,$K156=""),"",$K156/$F156)</f>
      </c>
      <c r="M156" s="218" t="n"/>
      <c r="N156" s="222">
        <f>IF($J156&lt;&gt;"SIM","",IF($M156&lt;&gt;"",$M156,IF(AND(ISNUMBER($L156),N($L156)&gt;=1),"SIM",IF($A156&lt;=DATA_GESTAO,"NÃO",""))))</f>
      </c>
      <c r="O156" s="218" t="n"/>
    </row>
    <row r="157">
      <c r="A157" s="220" t="n"/>
      <c r="B157" s="218" t="n"/>
      <c r="C157" s="218" t="n"/>
      <c r="D157" s="218" t="n"/>
      <c r="E157" s="298" t="n"/>
      <c r="F157" s="328" t="n"/>
      <c r="G157" s="218" t="n"/>
      <c r="H157" s="218" t="n"/>
      <c r="I157" s="222">
        <f>IF($D157="","",IF(COUNTIFS('05C. RESTRIÇÕES'!$B$5:$B$204,$B157,'05C. RESTRIÇÕES'!$C$5:$C$204,$D157,'05C. RESTRIÇÕES'!$H$5:$H$204,"ABERTA")&gt;0,"SIM","NÃO"))</f>
      </c>
      <c r="J157" s="218" t="n"/>
      <c r="K157" s="329">
        <f>IF(OR($D157="",$A157=""),"",SUMIFS('05B. APONTAMENTO DIÁRIO'!$F$5:$F$1004,'05B. APONTAMENTO DIÁRIO'!$B$5:$B$1004,$B157,'05B. APONTAMENTO DIÁRIO'!$C$5:$C$1004,$D157,'05B. APONTAMENTO DIÁRIO'!$G$5:$G$1004,$G157,'05B. APONTAMENTO DIÁRIO'!$A$5:$A$1004,"&gt;="&amp;($A157-4),'05B. APONTAMENTO DIÁRIO'!$A$5:$A$1004,"&lt;="&amp;$A157))</f>
      </c>
      <c r="L157" s="226">
        <f>IF(OR($F157="",N($F157)=0,$K157=""),"",$K157/$F157)</f>
      </c>
      <c r="M157" s="218" t="n"/>
      <c r="N157" s="222">
        <f>IF($J157&lt;&gt;"SIM","",IF($M157&lt;&gt;"",$M157,IF(AND(ISNUMBER($L157),N($L157)&gt;=1),"SIM",IF($A157&lt;=DATA_GESTAO,"NÃO",""))))</f>
      </c>
      <c r="O157" s="218" t="n"/>
    </row>
    <row r="158">
      <c r="A158" s="220" t="n"/>
      <c r="B158" s="218" t="n"/>
      <c r="C158" s="218" t="n"/>
      <c r="D158" s="218" t="n"/>
      <c r="E158" s="298" t="n"/>
      <c r="F158" s="328" t="n"/>
      <c r="G158" s="218" t="n"/>
      <c r="H158" s="218" t="n"/>
      <c r="I158" s="222">
        <f>IF($D158="","",IF(COUNTIFS('05C. RESTRIÇÕES'!$B$5:$B$204,$B158,'05C. RESTRIÇÕES'!$C$5:$C$204,$D158,'05C. RESTRIÇÕES'!$H$5:$H$204,"ABERTA")&gt;0,"SIM","NÃO"))</f>
      </c>
      <c r="J158" s="218" t="n"/>
      <c r="K158" s="329">
        <f>IF(OR($D158="",$A158=""),"",SUMIFS('05B. APONTAMENTO DIÁRIO'!$F$5:$F$1004,'05B. APONTAMENTO DIÁRIO'!$B$5:$B$1004,$B158,'05B. APONTAMENTO DIÁRIO'!$C$5:$C$1004,$D158,'05B. APONTAMENTO DIÁRIO'!$G$5:$G$1004,$G158,'05B. APONTAMENTO DIÁRIO'!$A$5:$A$1004,"&gt;="&amp;($A158-4),'05B. APONTAMENTO DIÁRIO'!$A$5:$A$1004,"&lt;="&amp;$A158))</f>
      </c>
      <c r="L158" s="226">
        <f>IF(OR($F158="",N($F158)=0,$K158=""),"",$K158/$F158)</f>
      </c>
      <c r="M158" s="218" t="n"/>
      <c r="N158" s="222">
        <f>IF($J158&lt;&gt;"SIM","",IF($M158&lt;&gt;"",$M158,IF(AND(ISNUMBER($L158),N($L158)&gt;=1),"SIM",IF($A158&lt;=DATA_GESTAO,"NÃO",""))))</f>
      </c>
      <c r="O158" s="218" t="n"/>
    </row>
    <row r="159">
      <c r="A159" s="220" t="n"/>
      <c r="B159" s="218" t="n"/>
      <c r="C159" s="218" t="n"/>
      <c r="D159" s="218" t="n"/>
      <c r="E159" s="298" t="n"/>
      <c r="F159" s="328" t="n"/>
      <c r="G159" s="218" t="n"/>
      <c r="H159" s="218" t="n"/>
      <c r="I159" s="222">
        <f>IF($D159="","",IF(COUNTIFS('05C. RESTRIÇÕES'!$B$5:$B$204,$B159,'05C. RESTRIÇÕES'!$C$5:$C$204,$D159,'05C. RESTRIÇÕES'!$H$5:$H$204,"ABERTA")&gt;0,"SIM","NÃO"))</f>
      </c>
      <c r="J159" s="218" t="n"/>
      <c r="K159" s="329">
        <f>IF(OR($D159="",$A159=""),"",SUMIFS('05B. APONTAMENTO DIÁRIO'!$F$5:$F$1004,'05B. APONTAMENTO DIÁRIO'!$B$5:$B$1004,$B159,'05B. APONTAMENTO DIÁRIO'!$C$5:$C$1004,$D159,'05B. APONTAMENTO DIÁRIO'!$G$5:$G$1004,$G159,'05B. APONTAMENTO DIÁRIO'!$A$5:$A$1004,"&gt;="&amp;($A159-4),'05B. APONTAMENTO DIÁRIO'!$A$5:$A$1004,"&lt;="&amp;$A159))</f>
      </c>
      <c r="L159" s="226">
        <f>IF(OR($F159="",N($F159)=0,$K159=""),"",$K159/$F159)</f>
      </c>
      <c r="M159" s="218" t="n"/>
      <c r="N159" s="222">
        <f>IF($J159&lt;&gt;"SIM","",IF($M159&lt;&gt;"",$M159,IF(AND(ISNUMBER($L159),N($L159)&gt;=1),"SIM",IF($A159&lt;=DATA_GESTAO,"NÃO",""))))</f>
      </c>
      <c r="O159" s="218" t="n"/>
    </row>
    <row r="160">
      <c r="A160" s="220" t="n"/>
      <c r="B160" s="218" t="n"/>
      <c r="C160" s="218" t="n"/>
      <c r="D160" s="218" t="n"/>
      <c r="E160" s="298" t="n"/>
      <c r="F160" s="328" t="n"/>
      <c r="G160" s="218" t="n"/>
      <c r="H160" s="218" t="n"/>
      <c r="I160" s="222">
        <f>IF($D160="","",IF(COUNTIFS('05C. RESTRIÇÕES'!$B$5:$B$204,$B160,'05C. RESTRIÇÕES'!$C$5:$C$204,$D160,'05C. RESTRIÇÕES'!$H$5:$H$204,"ABERTA")&gt;0,"SIM","NÃO"))</f>
      </c>
      <c r="J160" s="218" t="n"/>
      <c r="K160" s="329">
        <f>IF(OR($D160="",$A160=""),"",SUMIFS('05B. APONTAMENTO DIÁRIO'!$F$5:$F$1004,'05B. APONTAMENTO DIÁRIO'!$B$5:$B$1004,$B160,'05B. APONTAMENTO DIÁRIO'!$C$5:$C$1004,$D160,'05B. APONTAMENTO DIÁRIO'!$G$5:$G$1004,$G160,'05B. APONTAMENTO DIÁRIO'!$A$5:$A$1004,"&gt;="&amp;($A160-4),'05B. APONTAMENTO DIÁRIO'!$A$5:$A$1004,"&lt;="&amp;$A160))</f>
      </c>
      <c r="L160" s="226">
        <f>IF(OR($F160="",N($F160)=0,$K160=""),"",$K160/$F160)</f>
      </c>
      <c r="M160" s="218" t="n"/>
      <c r="N160" s="222">
        <f>IF($J160&lt;&gt;"SIM","",IF($M160&lt;&gt;"",$M160,IF(AND(ISNUMBER($L160),N($L160)&gt;=1),"SIM",IF($A160&lt;=DATA_GESTAO,"NÃO",""))))</f>
      </c>
      <c r="O160" s="218" t="n"/>
    </row>
    <row r="161">
      <c r="A161" s="220" t="n"/>
      <c r="B161" s="218" t="n"/>
      <c r="C161" s="218" t="n"/>
      <c r="D161" s="218" t="n"/>
      <c r="E161" s="298" t="n"/>
      <c r="F161" s="328" t="n"/>
      <c r="G161" s="218" t="n"/>
      <c r="H161" s="218" t="n"/>
      <c r="I161" s="222">
        <f>IF($D161="","",IF(COUNTIFS('05C. RESTRIÇÕES'!$B$5:$B$204,$B161,'05C. RESTRIÇÕES'!$C$5:$C$204,$D161,'05C. RESTRIÇÕES'!$H$5:$H$204,"ABERTA")&gt;0,"SIM","NÃO"))</f>
      </c>
      <c r="J161" s="218" t="n"/>
      <c r="K161" s="329">
        <f>IF(OR($D161="",$A161=""),"",SUMIFS('05B. APONTAMENTO DIÁRIO'!$F$5:$F$1004,'05B. APONTAMENTO DIÁRIO'!$B$5:$B$1004,$B161,'05B. APONTAMENTO DIÁRIO'!$C$5:$C$1004,$D161,'05B. APONTAMENTO DIÁRIO'!$G$5:$G$1004,$G161,'05B. APONTAMENTO DIÁRIO'!$A$5:$A$1004,"&gt;="&amp;($A161-4),'05B. APONTAMENTO DIÁRIO'!$A$5:$A$1004,"&lt;="&amp;$A161))</f>
      </c>
      <c r="L161" s="226">
        <f>IF(OR($F161="",N($F161)=0,$K161=""),"",$K161/$F161)</f>
      </c>
      <c r="M161" s="218" t="n"/>
      <c r="N161" s="222">
        <f>IF($J161&lt;&gt;"SIM","",IF($M161&lt;&gt;"",$M161,IF(AND(ISNUMBER($L161),N($L161)&gt;=1),"SIM",IF($A161&lt;=DATA_GESTAO,"NÃO",""))))</f>
      </c>
      <c r="O161" s="218" t="n"/>
    </row>
    <row r="162">
      <c r="A162" s="220" t="n"/>
      <c r="B162" s="218" t="n"/>
      <c r="C162" s="218" t="n"/>
      <c r="D162" s="218" t="n"/>
      <c r="E162" s="298" t="n"/>
      <c r="F162" s="328" t="n"/>
      <c r="G162" s="218" t="n"/>
      <c r="H162" s="218" t="n"/>
      <c r="I162" s="222">
        <f>IF($D162="","",IF(COUNTIFS('05C. RESTRIÇÕES'!$B$5:$B$204,$B162,'05C. RESTRIÇÕES'!$C$5:$C$204,$D162,'05C. RESTRIÇÕES'!$H$5:$H$204,"ABERTA")&gt;0,"SIM","NÃO"))</f>
      </c>
      <c r="J162" s="218" t="n"/>
      <c r="K162" s="329">
        <f>IF(OR($D162="",$A162=""),"",SUMIFS('05B. APONTAMENTO DIÁRIO'!$F$5:$F$1004,'05B. APONTAMENTO DIÁRIO'!$B$5:$B$1004,$B162,'05B. APONTAMENTO DIÁRIO'!$C$5:$C$1004,$D162,'05B. APONTAMENTO DIÁRIO'!$G$5:$G$1004,$G162,'05B. APONTAMENTO DIÁRIO'!$A$5:$A$1004,"&gt;="&amp;($A162-4),'05B. APONTAMENTO DIÁRIO'!$A$5:$A$1004,"&lt;="&amp;$A162))</f>
      </c>
      <c r="L162" s="226">
        <f>IF(OR($F162="",N($F162)=0,$K162=""),"",$K162/$F162)</f>
      </c>
      <c r="M162" s="218" t="n"/>
      <c r="N162" s="222">
        <f>IF($J162&lt;&gt;"SIM","",IF($M162&lt;&gt;"",$M162,IF(AND(ISNUMBER($L162),N($L162)&gt;=1),"SIM",IF($A162&lt;=DATA_GESTAO,"NÃO",""))))</f>
      </c>
      <c r="O162" s="218" t="n"/>
    </row>
    <row r="163">
      <c r="A163" s="220" t="n"/>
      <c r="B163" s="218" t="n"/>
      <c r="C163" s="218" t="n"/>
      <c r="D163" s="218" t="n"/>
      <c r="E163" s="298" t="n"/>
      <c r="F163" s="328" t="n"/>
      <c r="G163" s="218" t="n"/>
      <c r="H163" s="218" t="n"/>
      <c r="I163" s="222">
        <f>IF($D163="","",IF(COUNTIFS('05C. RESTRIÇÕES'!$B$5:$B$204,$B163,'05C. RESTRIÇÕES'!$C$5:$C$204,$D163,'05C. RESTRIÇÕES'!$H$5:$H$204,"ABERTA")&gt;0,"SIM","NÃO"))</f>
      </c>
      <c r="J163" s="218" t="n"/>
      <c r="K163" s="329">
        <f>IF(OR($D163="",$A163=""),"",SUMIFS('05B. APONTAMENTO DIÁRIO'!$F$5:$F$1004,'05B. APONTAMENTO DIÁRIO'!$B$5:$B$1004,$B163,'05B. APONTAMENTO DIÁRIO'!$C$5:$C$1004,$D163,'05B. APONTAMENTO DIÁRIO'!$G$5:$G$1004,$G163,'05B. APONTAMENTO DIÁRIO'!$A$5:$A$1004,"&gt;="&amp;($A163-4),'05B. APONTAMENTO DIÁRIO'!$A$5:$A$1004,"&lt;="&amp;$A163))</f>
      </c>
      <c r="L163" s="226">
        <f>IF(OR($F163="",N($F163)=0,$K163=""),"",$K163/$F163)</f>
      </c>
      <c r="M163" s="218" t="n"/>
      <c r="N163" s="222">
        <f>IF($J163&lt;&gt;"SIM","",IF($M163&lt;&gt;"",$M163,IF(AND(ISNUMBER($L163),N($L163)&gt;=1),"SIM",IF($A163&lt;=DATA_GESTAO,"NÃO",""))))</f>
      </c>
      <c r="O163" s="218" t="n"/>
    </row>
    <row r="164">
      <c r="A164" s="220" t="n"/>
      <c r="B164" s="218" t="n"/>
      <c r="C164" s="218" t="n"/>
      <c r="D164" s="218" t="n"/>
      <c r="E164" s="298" t="n"/>
      <c r="F164" s="328" t="n"/>
      <c r="G164" s="218" t="n"/>
      <c r="H164" s="218" t="n"/>
      <c r="I164" s="222">
        <f>IF($D164="","",IF(COUNTIFS('05C. RESTRIÇÕES'!$B$5:$B$204,$B164,'05C. RESTRIÇÕES'!$C$5:$C$204,$D164,'05C. RESTRIÇÕES'!$H$5:$H$204,"ABERTA")&gt;0,"SIM","NÃO"))</f>
      </c>
      <c r="J164" s="218" t="n"/>
      <c r="K164" s="329">
        <f>IF(OR($D164="",$A164=""),"",SUMIFS('05B. APONTAMENTO DIÁRIO'!$F$5:$F$1004,'05B. APONTAMENTO DIÁRIO'!$B$5:$B$1004,$B164,'05B. APONTAMENTO DIÁRIO'!$C$5:$C$1004,$D164,'05B. APONTAMENTO DIÁRIO'!$G$5:$G$1004,$G164,'05B. APONTAMENTO DIÁRIO'!$A$5:$A$1004,"&gt;="&amp;($A164-4),'05B. APONTAMENTO DIÁRIO'!$A$5:$A$1004,"&lt;="&amp;$A164))</f>
      </c>
      <c r="L164" s="226">
        <f>IF(OR($F164="",N($F164)=0,$K164=""),"",$K164/$F164)</f>
      </c>
      <c r="M164" s="218" t="n"/>
      <c r="N164" s="222">
        <f>IF($J164&lt;&gt;"SIM","",IF($M164&lt;&gt;"",$M164,IF(AND(ISNUMBER($L164),N($L164)&gt;=1),"SIM",IF($A164&lt;=DATA_GESTAO,"NÃO",""))))</f>
      </c>
      <c r="O164" s="218" t="n"/>
    </row>
    <row r="165">
      <c r="A165" s="220" t="n"/>
      <c r="B165" s="218" t="n"/>
      <c r="C165" s="218" t="n"/>
      <c r="D165" s="218" t="n"/>
      <c r="E165" s="298" t="n"/>
      <c r="F165" s="328" t="n"/>
      <c r="G165" s="218" t="n"/>
      <c r="H165" s="218" t="n"/>
      <c r="I165" s="222">
        <f>IF($D165="","",IF(COUNTIFS('05C. RESTRIÇÕES'!$B$5:$B$204,$B165,'05C. RESTRIÇÕES'!$C$5:$C$204,$D165,'05C. RESTRIÇÕES'!$H$5:$H$204,"ABERTA")&gt;0,"SIM","NÃO"))</f>
      </c>
      <c r="J165" s="218" t="n"/>
      <c r="K165" s="329">
        <f>IF(OR($D165="",$A165=""),"",SUMIFS('05B. APONTAMENTO DIÁRIO'!$F$5:$F$1004,'05B. APONTAMENTO DIÁRIO'!$B$5:$B$1004,$B165,'05B. APONTAMENTO DIÁRIO'!$C$5:$C$1004,$D165,'05B. APONTAMENTO DIÁRIO'!$G$5:$G$1004,$G165,'05B. APONTAMENTO DIÁRIO'!$A$5:$A$1004,"&gt;="&amp;($A165-4),'05B. APONTAMENTO DIÁRIO'!$A$5:$A$1004,"&lt;="&amp;$A165))</f>
      </c>
      <c r="L165" s="226">
        <f>IF(OR($F165="",N($F165)=0,$K165=""),"",$K165/$F165)</f>
      </c>
      <c r="M165" s="218" t="n"/>
      <c r="N165" s="222">
        <f>IF($J165&lt;&gt;"SIM","",IF($M165&lt;&gt;"",$M165,IF(AND(ISNUMBER($L165),N($L165)&gt;=1),"SIM",IF($A165&lt;=DATA_GESTAO,"NÃO",""))))</f>
      </c>
      <c r="O165" s="218" t="n"/>
    </row>
    <row r="166">
      <c r="A166" s="220" t="n"/>
      <c r="B166" s="218" t="n"/>
      <c r="C166" s="218" t="n"/>
      <c r="D166" s="218" t="n"/>
      <c r="E166" s="298" t="n"/>
      <c r="F166" s="328" t="n"/>
      <c r="G166" s="218" t="n"/>
      <c r="H166" s="218" t="n"/>
      <c r="I166" s="222">
        <f>IF($D166="","",IF(COUNTIFS('05C. RESTRIÇÕES'!$B$5:$B$204,$B166,'05C. RESTRIÇÕES'!$C$5:$C$204,$D166,'05C. RESTRIÇÕES'!$H$5:$H$204,"ABERTA")&gt;0,"SIM","NÃO"))</f>
      </c>
      <c r="J166" s="218" t="n"/>
      <c r="K166" s="329">
        <f>IF(OR($D166="",$A166=""),"",SUMIFS('05B. APONTAMENTO DIÁRIO'!$F$5:$F$1004,'05B. APONTAMENTO DIÁRIO'!$B$5:$B$1004,$B166,'05B. APONTAMENTO DIÁRIO'!$C$5:$C$1004,$D166,'05B. APONTAMENTO DIÁRIO'!$G$5:$G$1004,$G166,'05B. APONTAMENTO DIÁRIO'!$A$5:$A$1004,"&gt;="&amp;($A166-4),'05B. APONTAMENTO DIÁRIO'!$A$5:$A$1004,"&lt;="&amp;$A166))</f>
      </c>
      <c r="L166" s="226">
        <f>IF(OR($F166="",N($F166)=0,$K166=""),"",$K166/$F166)</f>
      </c>
      <c r="M166" s="218" t="n"/>
      <c r="N166" s="222">
        <f>IF($J166&lt;&gt;"SIM","",IF($M166&lt;&gt;"",$M166,IF(AND(ISNUMBER($L166),N($L166)&gt;=1),"SIM",IF($A166&lt;=DATA_GESTAO,"NÃO",""))))</f>
      </c>
      <c r="O166" s="218" t="n"/>
    </row>
    <row r="167">
      <c r="A167" s="220" t="n"/>
      <c r="B167" s="218" t="n"/>
      <c r="C167" s="218" t="n"/>
      <c r="D167" s="218" t="n"/>
      <c r="E167" s="298" t="n"/>
      <c r="F167" s="328" t="n"/>
      <c r="G167" s="218" t="n"/>
      <c r="H167" s="218" t="n"/>
      <c r="I167" s="222">
        <f>IF($D167="","",IF(COUNTIFS('05C. RESTRIÇÕES'!$B$5:$B$204,$B167,'05C. RESTRIÇÕES'!$C$5:$C$204,$D167,'05C. RESTRIÇÕES'!$H$5:$H$204,"ABERTA")&gt;0,"SIM","NÃO"))</f>
      </c>
      <c r="J167" s="218" t="n"/>
      <c r="K167" s="329">
        <f>IF(OR($D167="",$A167=""),"",SUMIFS('05B. APONTAMENTO DIÁRIO'!$F$5:$F$1004,'05B. APONTAMENTO DIÁRIO'!$B$5:$B$1004,$B167,'05B. APONTAMENTO DIÁRIO'!$C$5:$C$1004,$D167,'05B. APONTAMENTO DIÁRIO'!$G$5:$G$1004,$G167,'05B. APONTAMENTO DIÁRIO'!$A$5:$A$1004,"&gt;="&amp;($A167-4),'05B. APONTAMENTO DIÁRIO'!$A$5:$A$1004,"&lt;="&amp;$A167))</f>
      </c>
      <c r="L167" s="226">
        <f>IF(OR($F167="",N($F167)=0,$K167=""),"",$K167/$F167)</f>
      </c>
      <c r="M167" s="218" t="n"/>
      <c r="N167" s="222">
        <f>IF($J167&lt;&gt;"SIM","",IF($M167&lt;&gt;"",$M167,IF(AND(ISNUMBER($L167),N($L167)&gt;=1),"SIM",IF($A167&lt;=DATA_GESTAO,"NÃO",""))))</f>
      </c>
      <c r="O167" s="218" t="n"/>
    </row>
    <row r="168">
      <c r="A168" s="220" t="n"/>
      <c r="B168" s="218" t="n"/>
      <c r="C168" s="218" t="n"/>
      <c r="D168" s="218" t="n"/>
      <c r="E168" s="298" t="n"/>
      <c r="F168" s="328" t="n"/>
      <c r="G168" s="218" t="n"/>
      <c r="H168" s="218" t="n"/>
      <c r="I168" s="222">
        <f>IF($D168="","",IF(COUNTIFS('05C. RESTRIÇÕES'!$B$5:$B$204,$B168,'05C. RESTRIÇÕES'!$C$5:$C$204,$D168,'05C. RESTRIÇÕES'!$H$5:$H$204,"ABERTA")&gt;0,"SIM","NÃO"))</f>
      </c>
      <c r="J168" s="218" t="n"/>
      <c r="K168" s="329">
        <f>IF(OR($D168="",$A168=""),"",SUMIFS('05B. APONTAMENTO DIÁRIO'!$F$5:$F$1004,'05B. APONTAMENTO DIÁRIO'!$B$5:$B$1004,$B168,'05B. APONTAMENTO DIÁRIO'!$C$5:$C$1004,$D168,'05B. APONTAMENTO DIÁRIO'!$G$5:$G$1004,$G168,'05B. APONTAMENTO DIÁRIO'!$A$5:$A$1004,"&gt;="&amp;($A168-4),'05B. APONTAMENTO DIÁRIO'!$A$5:$A$1004,"&lt;="&amp;$A168))</f>
      </c>
      <c r="L168" s="226">
        <f>IF(OR($F168="",N($F168)=0,$K168=""),"",$K168/$F168)</f>
      </c>
      <c r="M168" s="218" t="n"/>
      <c r="N168" s="222">
        <f>IF($J168&lt;&gt;"SIM","",IF($M168&lt;&gt;"",$M168,IF(AND(ISNUMBER($L168),N($L168)&gt;=1),"SIM",IF($A168&lt;=DATA_GESTAO,"NÃO",""))))</f>
      </c>
      <c r="O168" s="218" t="n"/>
    </row>
    <row r="169">
      <c r="A169" s="220" t="n"/>
      <c r="B169" s="218" t="n"/>
      <c r="C169" s="218" t="n"/>
      <c r="D169" s="218" t="n"/>
      <c r="E169" s="298" t="n"/>
      <c r="F169" s="328" t="n"/>
      <c r="G169" s="218" t="n"/>
      <c r="H169" s="218" t="n"/>
      <c r="I169" s="222">
        <f>IF($D169="","",IF(COUNTIFS('05C. RESTRIÇÕES'!$B$5:$B$204,$B169,'05C. RESTRIÇÕES'!$C$5:$C$204,$D169,'05C. RESTRIÇÕES'!$H$5:$H$204,"ABERTA")&gt;0,"SIM","NÃO"))</f>
      </c>
      <c r="J169" s="218" t="n"/>
      <c r="K169" s="329">
        <f>IF(OR($D169="",$A169=""),"",SUMIFS('05B. APONTAMENTO DIÁRIO'!$F$5:$F$1004,'05B. APONTAMENTO DIÁRIO'!$B$5:$B$1004,$B169,'05B. APONTAMENTO DIÁRIO'!$C$5:$C$1004,$D169,'05B. APONTAMENTO DIÁRIO'!$G$5:$G$1004,$G169,'05B. APONTAMENTO DIÁRIO'!$A$5:$A$1004,"&gt;="&amp;($A169-4),'05B. APONTAMENTO DIÁRIO'!$A$5:$A$1004,"&lt;="&amp;$A169))</f>
      </c>
      <c r="L169" s="226">
        <f>IF(OR($F169="",N($F169)=0,$K169=""),"",$K169/$F169)</f>
      </c>
      <c r="M169" s="218" t="n"/>
      <c r="N169" s="222">
        <f>IF($J169&lt;&gt;"SIM","",IF($M169&lt;&gt;"",$M169,IF(AND(ISNUMBER($L169),N($L169)&gt;=1),"SIM",IF($A169&lt;=DATA_GESTAO,"NÃO",""))))</f>
      </c>
      <c r="O169" s="218" t="n"/>
    </row>
    <row r="170">
      <c r="A170" s="220" t="n"/>
      <c r="B170" s="218" t="n"/>
      <c r="C170" s="218" t="n"/>
      <c r="D170" s="218" t="n"/>
      <c r="E170" s="298" t="n"/>
      <c r="F170" s="328" t="n"/>
      <c r="G170" s="218" t="n"/>
      <c r="H170" s="218" t="n"/>
      <c r="I170" s="222">
        <f>IF($D170="","",IF(COUNTIFS('05C. RESTRIÇÕES'!$B$5:$B$204,$B170,'05C. RESTRIÇÕES'!$C$5:$C$204,$D170,'05C. RESTRIÇÕES'!$H$5:$H$204,"ABERTA")&gt;0,"SIM","NÃO"))</f>
      </c>
      <c r="J170" s="218" t="n"/>
      <c r="K170" s="329">
        <f>IF(OR($D170="",$A170=""),"",SUMIFS('05B. APONTAMENTO DIÁRIO'!$F$5:$F$1004,'05B. APONTAMENTO DIÁRIO'!$B$5:$B$1004,$B170,'05B. APONTAMENTO DIÁRIO'!$C$5:$C$1004,$D170,'05B. APONTAMENTO DIÁRIO'!$G$5:$G$1004,$G170,'05B. APONTAMENTO DIÁRIO'!$A$5:$A$1004,"&gt;="&amp;($A170-4),'05B. APONTAMENTO DIÁRIO'!$A$5:$A$1004,"&lt;="&amp;$A170))</f>
      </c>
      <c r="L170" s="226">
        <f>IF(OR($F170="",N($F170)=0,$K170=""),"",$K170/$F170)</f>
      </c>
      <c r="M170" s="218" t="n"/>
      <c r="N170" s="222">
        <f>IF($J170&lt;&gt;"SIM","",IF($M170&lt;&gt;"",$M170,IF(AND(ISNUMBER($L170),N($L170)&gt;=1),"SIM",IF($A170&lt;=DATA_GESTAO,"NÃO",""))))</f>
      </c>
      <c r="O170" s="218" t="n"/>
    </row>
    <row r="171">
      <c r="A171" s="220" t="n"/>
      <c r="B171" s="218" t="n"/>
      <c r="C171" s="218" t="n"/>
      <c r="D171" s="218" t="n"/>
      <c r="E171" s="298" t="n"/>
      <c r="F171" s="328" t="n"/>
      <c r="G171" s="218" t="n"/>
      <c r="H171" s="218" t="n"/>
      <c r="I171" s="222">
        <f>IF($D171="","",IF(COUNTIFS('05C. RESTRIÇÕES'!$B$5:$B$204,$B171,'05C. RESTRIÇÕES'!$C$5:$C$204,$D171,'05C. RESTRIÇÕES'!$H$5:$H$204,"ABERTA")&gt;0,"SIM","NÃO"))</f>
      </c>
      <c r="J171" s="218" t="n"/>
      <c r="K171" s="329">
        <f>IF(OR($D171="",$A171=""),"",SUMIFS('05B. APONTAMENTO DIÁRIO'!$F$5:$F$1004,'05B. APONTAMENTO DIÁRIO'!$B$5:$B$1004,$B171,'05B. APONTAMENTO DIÁRIO'!$C$5:$C$1004,$D171,'05B. APONTAMENTO DIÁRIO'!$G$5:$G$1004,$G171,'05B. APONTAMENTO DIÁRIO'!$A$5:$A$1004,"&gt;="&amp;($A171-4),'05B. APONTAMENTO DIÁRIO'!$A$5:$A$1004,"&lt;="&amp;$A171))</f>
      </c>
      <c r="L171" s="226">
        <f>IF(OR($F171="",N($F171)=0,$K171=""),"",$K171/$F171)</f>
      </c>
      <c r="M171" s="218" t="n"/>
      <c r="N171" s="222">
        <f>IF($J171&lt;&gt;"SIM","",IF($M171&lt;&gt;"",$M171,IF(AND(ISNUMBER($L171),N($L171)&gt;=1),"SIM",IF($A171&lt;=DATA_GESTAO,"NÃO",""))))</f>
      </c>
      <c r="O171" s="218" t="n"/>
    </row>
    <row r="172">
      <c r="A172" s="220" t="n"/>
      <c r="B172" s="218" t="n"/>
      <c r="C172" s="218" t="n"/>
      <c r="D172" s="218" t="n"/>
      <c r="E172" s="298" t="n"/>
      <c r="F172" s="328" t="n"/>
      <c r="G172" s="218" t="n"/>
      <c r="H172" s="218" t="n"/>
      <c r="I172" s="222">
        <f>IF($D172="","",IF(COUNTIFS('05C. RESTRIÇÕES'!$B$5:$B$204,$B172,'05C. RESTRIÇÕES'!$C$5:$C$204,$D172,'05C. RESTRIÇÕES'!$H$5:$H$204,"ABERTA")&gt;0,"SIM","NÃO"))</f>
      </c>
      <c r="J172" s="218" t="n"/>
      <c r="K172" s="329">
        <f>IF(OR($D172="",$A172=""),"",SUMIFS('05B. APONTAMENTO DIÁRIO'!$F$5:$F$1004,'05B. APONTAMENTO DIÁRIO'!$B$5:$B$1004,$B172,'05B. APONTAMENTO DIÁRIO'!$C$5:$C$1004,$D172,'05B. APONTAMENTO DIÁRIO'!$G$5:$G$1004,$G172,'05B. APONTAMENTO DIÁRIO'!$A$5:$A$1004,"&gt;="&amp;($A172-4),'05B. APONTAMENTO DIÁRIO'!$A$5:$A$1004,"&lt;="&amp;$A172))</f>
      </c>
      <c r="L172" s="226">
        <f>IF(OR($F172="",N($F172)=0,$K172=""),"",$K172/$F172)</f>
      </c>
      <c r="M172" s="218" t="n"/>
      <c r="N172" s="222">
        <f>IF($J172&lt;&gt;"SIM","",IF($M172&lt;&gt;"",$M172,IF(AND(ISNUMBER($L172),N($L172)&gt;=1),"SIM",IF($A172&lt;=DATA_GESTAO,"NÃO",""))))</f>
      </c>
      <c r="O172" s="218" t="n"/>
    </row>
    <row r="173">
      <c r="A173" s="220" t="n"/>
      <c r="B173" s="218" t="n"/>
      <c r="C173" s="218" t="n"/>
      <c r="D173" s="218" t="n"/>
      <c r="E173" s="298" t="n"/>
      <c r="F173" s="328" t="n"/>
      <c r="G173" s="218" t="n"/>
      <c r="H173" s="218" t="n"/>
      <c r="I173" s="222">
        <f>IF($D173="","",IF(COUNTIFS('05C. RESTRIÇÕES'!$B$5:$B$204,$B173,'05C. RESTRIÇÕES'!$C$5:$C$204,$D173,'05C. RESTRIÇÕES'!$H$5:$H$204,"ABERTA")&gt;0,"SIM","NÃO"))</f>
      </c>
      <c r="J173" s="218" t="n"/>
      <c r="K173" s="329">
        <f>IF(OR($D173="",$A173=""),"",SUMIFS('05B. APONTAMENTO DIÁRIO'!$F$5:$F$1004,'05B. APONTAMENTO DIÁRIO'!$B$5:$B$1004,$B173,'05B. APONTAMENTO DIÁRIO'!$C$5:$C$1004,$D173,'05B. APONTAMENTO DIÁRIO'!$G$5:$G$1004,$G173,'05B. APONTAMENTO DIÁRIO'!$A$5:$A$1004,"&gt;="&amp;($A173-4),'05B. APONTAMENTO DIÁRIO'!$A$5:$A$1004,"&lt;="&amp;$A173))</f>
      </c>
      <c r="L173" s="226">
        <f>IF(OR($F173="",N($F173)=0,$K173=""),"",$K173/$F173)</f>
      </c>
      <c r="M173" s="218" t="n"/>
      <c r="N173" s="222">
        <f>IF($J173&lt;&gt;"SIM","",IF($M173&lt;&gt;"",$M173,IF(AND(ISNUMBER($L173),N($L173)&gt;=1),"SIM",IF($A173&lt;=DATA_GESTAO,"NÃO",""))))</f>
      </c>
      <c r="O173" s="218" t="n"/>
    </row>
    <row r="174">
      <c r="A174" s="220" t="n"/>
      <c r="B174" s="218" t="n"/>
      <c r="C174" s="218" t="n"/>
      <c r="D174" s="218" t="n"/>
      <c r="E174" s="298" t="n"/>
      <c r="F174" s="328" t="n"/>
      <c r="G174" s="218" t="n"/>
      <c r="H174" s="218" t="n"/>
      <c r="I174" s="222">
        <f>IF($D174="","",IF(COUNTIFS('05C. RESTRIÇÕES'!$B$5:$B$204,$B174,'05C. RESTRIÇÕES'!$C$5:$C$204,$D174,'05C. RESTRIÇÕES'!$H$5:$H$204,"ABERTA")&gt;0,"SIM","NÃO"))</f>
      </c>
      <c r="J174" s="218" t="n"/>
      <c r="K174" s="329">
        <f>IF(OR($D174="",$A174=""),"",SUMIFS('05B. APONTAMENTO DIÁRIO'!$F$5:$F$1004,'05B. APONTAMENTO DIÁRIO'!$B$5:$B$1004,$B174,'05B. APONTAMENTO DIÁRIO'!$C$5:$C$1004,$D174,'05B. APONTAMENTO DIÁRIO'!$G$5:$G$1004,$G174,'05B. APONTAMENTO DIÁRIO'!$A$5:$A$1004,"&gt;="&amp;($A174-4),'05B. APONTAMENTO DIÁRIO'!$A$5:$A$1004,"&lt;="&amp;$A174))</f>
      </c>
      <c r="L174" s="226">
        <f>IF(OR($F174="",N($F174)=0,$K174=""),"",$K174/$F174)</f>
      </c>
      <c r="M174" s="218" t="n"/>
      <c r="N174" s="222">
        <f>IF($J174&lt;&gt;"SIM","",IF($M174&lt;&gt;"",$M174,IF(AND(ISNUMBER($L174),N($L174)&gt;=1),"SIM",IF($A174&lt;=DATA_GESTAO,"NÃO",""))))</f>
      </c>
      <c r="O174" s="218" t="n"/>
    </row>
    <row r="175">
      <c r="A175" s="220" t="n"/>
      <c r="B175" s="218" t="n"/>
      <c r="C175" s="218" t="n"/>
      <c r="D175" s="218" t="n"/>
      <c r="E175" s="298" t="n"/>
      <c r="F175" s="328" t="n"/>
      <c r="G175" s="218" t="n"/>
      <c r="H175" s="218" t="n"/>
      <c r="I175" s="222">
        <f>IF($D175="","",IF(COUNTIFS('05C. RESTRIÇÕES'!$B$5:$B$204,$B175,'05C. RESTRIÇÕES'!$C$5:$C$204,$D175,'05C. RESTRIÇÕES'!$H$5:$H$204,"ABERTA")&gt;0,"SIM","NÃO"))</f>
      </c>
      <c r="J175" s="218" t="n"/>
      <c r="K175" s="329">
        <f>IF(OR($D175="",$A175=""),"",SUMIFS('05B. APONTAMENTO DIÁRIO'!$F$5:$F$1004,'05B. APONTAMENTO DIÁRIO'!$B$5:$B$1004,$B175,'05B. APONTAMENTO DIÁRIO'!$C$5:$C$1004,$D175,'05B. APONTAMENTO DIÁRIO'!$G$5:$G$1004,$G175,'05B. APONTAMENTO DIÁRIO'!$A$5:$A$1004,"&gt;="&amp;($A175-4),'05B. APONTAMENTO DIÁRIO'!$A$5:$A$1004,"&lt;="&amp;$A175))</f>
      </c>
      <c r="L175" s="226">
        <f>IF(OR($F175="",N($F175)=0,$K175=""),"",$K175/$F175)</f>
      </c>
      <c r="M175" s="218" t="n"/>
      <c r="N175" s="222">
        <f>IF($J175&lt;&gt;"SIM","",IF($M175&lt;&gt;"",$M175,IF(AND(ISNUMBER($L175),N($L175)&gt;=1),"SIM",IF($A175&lt;=DATA_GESTAO,"NÃO",""))))</f>
      </c>
      <c r="O175" s="218" t="n"/>
    </row>
    <row r="176">
      <c r="A176" s="220" t="n"/>
      <c r="B176" s="218" t="n"/>
      <c r="C176" s="218" t="n"/>
      <c r="D176" s="218" t="n"/>
      <c r="E176" s="298" t="n"/>
      <c r="F176" s="328" t="n"/>
      <c r="G176" s="218" t="n"/>
      <c r="H176" s="218" t="n"/>
      <c r="I176" s="222">
        <f>IF($D176="","",IF(COUNTIFS('05C. RESTRIÇÕES'!$B$5:$B$204,$B176,'05C. RESTRIÇÕES'!$C$5:$C$204,$D176,'05C. RESTRIÇÕES'!$H$5:$H$204,"ABERTA")&gt;0,"SIM","NÃO"))</f>
      </c>
      <c r="J176" s="218" t="n"/>
      <c r="K176" s="329">
        <f>IF(OR($D176="",$A176=""),"",SUMIFS('05B. APONTAMENTO DIÁRIO'!$F$5:$F$1004,'05B. APONTAMENTO DIÁRIO'!$B$5:$B$1004,$B176,'05B. APONTAMENTO DIÁRIO'!$C$5:$C$1004,$D176,'05B. APONTAMENTO DIÁRIO'!$G$5:$G$1004,$G176,'05B. APONTAMENTO DIÁRIO'!$A$5:$A$1004,"&gt;="&amp;($A176-4),'05B. APONTAMENTO DIÁRIO'!$A$5:$A$1004,"&lt;="&amp;$A176))</f>
      </c>
      <c r="L176" s="226">
        <f>IF(OR($F176="",N($F176)=0,$K176=""),"",$K176/$F176)</f>
      </c>
      <c r="M176" s="218" t="n"/>
      <c r="N176" s="222">
        <f>IF($J176&lt;&gt;"SIM","",IF($M176&lt;&gt;"",$M176,IF(AND(ISNUMBER($L176),N($L176)&gt;=1),"SIM",IF($A176&lt;=DATA_GESTAO,"NÃO",""))))</f>
      </c>
      <c r="O176" s="218" t="n"/>
    </row>
    <row r="177">
      <c r="A177" s="220" t="n"/>
      <c r="B177" s="218" t="n"/>
      <c r="C177" s="218" t="n"/>
      <c r="D177" s="218" t="n"/>
      <c r="E177" s="298" t="n"/>
      <c r="F177" s="328" t="n"/>
      <c r="G177" s="218" t="n"/>
      <c r="H177" s="218" t="n"/>
      <c r="I177" s="222">
        <f>IF($D177="","",IF(COUNTIFS('05C. RESTRIÇÕES'!$B$5:$B$204,$B177,'05C. RESTRIÇÕES'!$C$5:$C$204,$D177,'05C. RESTRIÇÕES'!$H$5:$H$204,"ABERTA")&gt;0,"SIM","NÃO"))</f>
      </c>
      <c r="J177" s="218" t="n"/>
      <c r="K177" s="329">
        <f>IF(OR($D177="",$A177=""),"",SUMIFS('05B. APONTAMENTO DIÁRIO'!$F$5:$F$1004,'05B. APONTAMENTO DIÁRIO'!$B$5:$B$1004,$B177,'05B. APONTAMENTO DIÁRIO'!$C$5:$C$1004,$D177,'05B. APONTAMENTO DIÁRIO'!$G$5:$G$1004,$G177,'05B. APONTAMENTO DIÁRIO'!$A$5:$A$1004,"&gt;="&amp;($A177-4),'05B. APONTAMENTO DIÁRIO'!$A$5:$A$1004,"&lt;="&amp;$A177))</f>
      </c>
      <c r="L177" s="226">
        <f>IF(OR($F177="",N($F177)=0,$K177=""),"",$K177/$F177)</f>
      </c>
      <c r="M177" s="218" t="n"/>
      <c r="N177" s="222">
        <f>IF($J177&lt;&gt;"SIM","",IF($M177&lt;&gt;"",$M177,IF(AND(ISNUMBER($L177),N($L177)&gt;=1),"SIM",IF($A177&lt;=DATA_GESTAO,"NÃO",""))))</f>
      </c>
      <c r="O177" s="218" t="n"/>
    </row>
    <row r="178">
      <c r="A178" s="220" t="n"/>
      <c r="B178" s="218" t="n"/>
      <c r="C178" s="218" t="n"/>
      <c r="D178" s="218" t="n"/>
      <c r="E178" s="298" t="n"/>
      <c r="F178" s="328" t="n"/>
      <c r="G178" s="218" t="n"/>
      <c r="H178" s="218" t="n"/>
      <c r="I178" s="222">
        <f>IF($D178="","",IF(COUNTIFS('05C. RESTRIÇÕES'!$B$5:$B$204,$B178,'05C. RESTRIÇÕES'!$C$5:$C$204,$D178,'05C. RESTRIÇÕES'!$H$5:$H$204,"ABERTA")&gt;0,"SIM","NÃO"))</f>
      </c>
      <c r="J178" s="218" t="n"/>
      <c r="K178" s="329">
        <f>IF(OR($D178="",$A178=""),"",SUMIFS('05B. APONTAMENTO DIÁRIO'!$F$5:$F$1004,'05B. APONTAMENTO DIÁRIO'!$B$5:$B$1004,$B178,'05B. APONTAMENTO DIÁRIO'!$C$5:$C$1004,$D178,'05B. APONTAMENTO DIÁRIO'!$G$5:$G$1004,$G178,'05B. APONTAMENTO DIÁRIO'!$A$5:$A$1004,"&gt;="&amp;($A178-4),'05B. APONTAMENTO DIÁRIO'!$A$5:$A$1004,"&lt;="&amp;$A178))</f>
      </c>
      <c r="L178" s="226">
        <f>IF(OR($F178="",N($F178)=0,$K178=""),"",$K178/$F178)</f>
      </c>
      <c r="M178" s="218" t="n"/>
      <c r="N178" s="222">
        <f>IF($J178&lt;&gt;"SIM","",IF($M178&lt;&gt;"",$M178,IF(AND(ISNUMBER($L178),N($L178)&gt;=1),"SIM",IF($A178&lt;=DATA_GESTAO,"NÃO",""))))</f>
      </c>
      <c r="O178" s="218" t="n"/>
    </row>
    <row r="179">
      <c r="A179" s="220" t="n"/>
      <c r="B179" s="218" t="n"/>
      <c r="C179" s="218" t="n"/>
      <c r="D179" s="218" t="n"/>
      <c r="E179" s="298" t="n"/>
      <c r="F179" s="328" t="n"/>
      <c r="G179" s="218" t="n"/>
      <c r="H179" s="218" t="n"/>
      <c r="I179" s="222">
        <f>IF($D179="","",IF(COUNTIFS('05C. RESTRIÇÕES'!$B$5:$B$204,$B179,'05C. RESTRIÇÕES'!$C$5:$C$204,$D179,'05C. RESTRIÇÕES'!$H$5:$H$204,"ABERTA")&gt;0,"SIM","NÃO"))</f>
      </c>
      <c r="J179" s="218" t="n"/>
      <c r="K179" s="329">
        <f>IF(OR($D179="",$A179=""),"",SUMIFS('05B. APONTAMENTO DIÁRIO'!$F$5:$F$1004,'05B. APONTAMENTO DIÁRIO'!$B$5:$B$1004,$B179,'05B. APONTAMENTO DIÁRIO'!$C$5:$C$1004,$D179,'05B. APONTAMENTO DIÁRIO'!$G$5:$G$1004,$G179,'05B. APONTAMENTO DIÁRIO'!$A$5:$A$1004,"&gt;="&amp;($A179-4),'05B. APONTAMENTO DIÁRIO'!$A$5:$A$1004,"&lt;="&amp;$A179))</f>
      </c>
      <c r="L179" s="226">
        <f>IF(OR($F179="",N($F179)=0,$K179=""),"",$K179/$F179)</f>
      </c>
      <c r="M179" s="218" t="n"/>
      <c r="N179" s="222">
        <f>IF($J179&lt;&gt;"SIM","",IF($M179&lt;&gt;"",$M179,IF(AND(ISNUMBER($L179),N($L179)&gt;=1),"SIM",IF($A179&lt;=DATA_GESTAO,"NÃO",""))))</f>
      </c>
      <c r="O179" s="218" t="n"/>
    </row>
    <row r="180">
      <c r="A180" s="220" t="n"/>
      <c r="B180" s="218" t="n"/>
      <c r="C180" s="218" t="n"/>
      <c r="D180" s="218" t="n"/>
      <c r="E180" s="298" t="n"/>
      <c r="F180" s="328" t="n"/>
      <c r="G180" s="218" t="n"/>
      <c r="H180" s="218" t="n"/>
      <c r="I180" s="222">
        <f>IF($D180="","",IF(COUNTIFS('05C. RESTRIÇÕES'!$B$5:$B$204,$B180,'05C. RESTRIÇÕES'!$C$5:$C$204,$D180,'05C. RESTRIÇÕES'!$H$5:$H$204,"ABERTA")&gt;0,"SIM","NÃO"))</f>
      </c>
      <c r="J180" s="218" t="n"/>
      <c r="K180" s="329">
        <f>IF(OR($D180="",$A180=""),"",SUMIFS('05B. APONTAMENTO DIÁRIO'!$F$5:$F$1004,'05B. APONTAMENTO DIÁRIO'!$B$5:$B$1004,$B180,'05B. APONTAMENTO DIÁRIO'!$C$5:$C$1004,$D180,'05B. APONTAMENTO DIÁRIO'!$G$5:$G$1004,$G180,'05B. APONTAMENTO DIÁRIO'!$A$5:$A$1004,"&gt;="&amp;($A180-4),'05B. APONTAMENTO DIÁRIO'!$A$5:$A$1004,"&lt;="&amp;$A180))</f>
      </c>
      <c r="L180" s="226">
        <f>IF(OR($F180="",N($F180)=0,$K180=""),"",$K180/$F180)</f>
      </c>
      <c r="M180" s="218" t="n"/>
      <c r="N180" s="222">
        <f>IF($J180&lt;&gt;"SIM","",IF($M180&lt;&gt;"",$M180,IF(AND(ISNUMBER($L180),N($L180)&gt;=1),"SIM",IF($A180&lt;=DATA_GESTAO,"NÃO",""))))</f>
      </c>
      <c r="O180" s="218" t="n"/>
    </row>
    <row r="181">
      <c r="A181" s="220" t="n"/>
      <c r="B181" s="218" t="n"/>
      <c r="C181" s="218" t="n"/>
      <c r="D181" s="218" t="n"/>
      <c r="E181" s="298" t="n"/>
      <c r="F181" s="328" t="n"/>
      <c r="G181" s="218" t="n"/>
      <c r="H181" s="218" t="n"/>
      <c r="I181" s="222">
        <f>IF($D181="","",IF(COUNTIFS('05C. RESTRIÇÕES'!$B$5:$B$204,$B181,'05C. RESTRIÇÕES'!$C$5:$C$204,$D181,'05C. RESTRIÇÕES'!$H$5:$H$204,"ABERTA")&gt;0,"SIM","NÃO"))</f>
      </c>
      <c r="J181" s="218" t="n"/>
      <c r="K181" s="329">
        <f>IF(OR($D181="",$A181=""),"",SUMIFS('05B. APONTAMENTO DIÁRIO'!$F$5:$F$1004,'05B. APONTAMENTO DIÁRIO'!$B$5:$B$1004,$B181,'05B. APONTAMENTO DIÁRIO'!$C$5:$C$1004,$D181,'05B. APONTAMENTO DIÁRIO'!$G$5:$G$1004,$G181,'05B. APONTAMENTO DIÁRIO'!$A$5:$A$1004,"&gt;="&amp;($A181-4),'05B. APONTAMENTO DIÁRIO'!$A$5:$A$1004,"&lt;="&amp;$A181))</f>
      </c>
      <c r="L181" s="226">
        <f>IF(OR($F181="",N($F181)=0,$K181=""),"",$K181/$F181)</f>
      </c>
      <c r="M181" s="218" t="n"/>
      <c r="N181" s="222">
        <f>IF($J181&lt;&gt;"SIM","",IF($M181&lt;&gt;"",$M181,IF(AND(ISNUMBER($L181),N($L181)&gt;=1),"SIM",IF($A181&lt;=DATA_GESTAO,"NÃO",""))))</f>
      </c>
      <c r="O181" s="218" t="n"/>
    </row>
    <row r="182">
      <c r="A182" s="220" t="n"/>
      <c r="B182" s="218" t="n"/>
      <c r="C182" s="218" t="n"/>
      <c r="D182" s="218" t="n"/>
      <c r="E182" s="298" t="n"/>
      <c r="F182" s="328" t="n"/>
      <c r="G182" s="218" t="n"/>
      <c r="H182" s="218" t="n"/>
      <c r="I182" s="222">
        <f>IF($D182="","",IF(COUNTIFS('05C. RESTRIÇÕES'!$B$5:$B$204,$B182,'05C. RESTRIÇÕES'!$C$5:$C$204,$D182,'05C. RESTRIÇÕES'!$H$5:$H$204,"ABERTA")&gt;0,"SIM","NÃO"))</f>
      </c>
      <c r="J182" s="218" t="n"/>
      <c r="K182" s="329">
        <f>IF(OR($D182="",$A182=""),"",SUMIFS('05B. APONTAMENTO DIÁRIO'!$F$5:$F$1004,'05B. APONTAMENTO DIÁRIO'!$B$5:$B$1004,$B182,'05B. APONTAMENTO DIÁRIO'!$C$5:$C$1004,$D182,'05B. APONTAMENTO DIÁRIO'!$G$5:$G$1004,$G182,'05B. APONTAMENTO DIÁRIO'!$A$5:$A$1004,"&gt;="&amp;($A182-4),'05B. APONTAMENTO DIÁRIO'!$A$5:$A$1004,"&lt;="&amp;$A182))</f>
      </c>
      <c r="L182" s="226">
        <f>IF(OR($F182="",N($F182)=0,$K182=""),"",$K182/$F182)</f>
      </c>
      <c r="M182" s="218" t="n"/>
      <c r="N182" s="222">
        <f>IF($J182&lt;&gt;"SIM","",IF($M182&lt;&gt;"",$M182,IF(AND(ISNUMBER($L182),N($L182)&gt;=1),"SIM",IF($A182&lt;=DATA_GESTAO,"NÃO",""))))</f>
      </c>
      <c r="O182" s="218" t="n"/>
    </row>
    <row r="183">
      <c r="A183" s="220" t="n"/>
      <c r="B183" s="218" t="n"/>
      <c r="C183" s="218" t="n"/>
      <c r="D183" s="218" t="n"/>
      <c r="E183" s="298" t="n"/>
      <c r="F183" s="328" t="n"/>
      <c r="G183" s="218" t="n"/>
      <c r="H183" s="218" t="n"/>
      <c r="I183" s="222">
        <f>IF($D183="","",IF(COUNTIFS('05C. RESTRIÇÕES'!$B$5:$B$204,$B183,'05C. RESTRIÇÕES'!$C$5:$C$204,$D183,'05C. RESTRIÇÕES'!$H$5:$H$204,"ABERTA")&gt;0,"SIM","NÃO"))</f>
      </c>
      <c r="J183" s="218" t="n"/>
      <c r="K183" s="329">
        <f>IF(OR($D183="",$A183=""),"",SUMIFS('05B. APONTAMENTO DIÁRIO'!$F$5:$F$1004,'05B. APONTAMENTO DIÁRIO'!$B$5:$B$1004,$B183,'05B. APONTAMENTO DIÁRIO'!$C$5:$C$1004,$D183,'05B. APONTAMENTO DIÁRIO'!$G$5:$G$1004,$G183,'05B. APONTAMENTO DIÁRIO'!$A$5:$A$1004,"&gt;="&amp;($A183-4),'05B. APONTAMENTO DIÁRIO'!$A$5:$A$1004,"&lt;="&amp;$A183))</f>
      </c>
      <c r="L183" s="226">
        <f>IF(OR($F183="",N($F183)=0,$K183=""),"",$K183/$F183)</f>
      </c>
      <c r="M183" s="218" t="n"/>
      <c r="N183" s="222">
        <f>IF($J183&lt;&gt;"SIM","",IF($M183&lt;&gt;"",$M183,IF(AND(ISNUMBER($L183),N($L183)&gt;=1),"SIM",IF($A183&lt;=DATA_GESTAO,"NÃO",""))))</f>
      </c>
      <c r="O183" s="218" t="n"/>
    </row>
    <row r="184">
      <c r="A184" s="220" t="n"/>
      <c r="B184" s="218" t="n"/>
      <c r="C184" s="218" t="n"/>
      <c r="D184" s="218" t="n"/>
      <c r="E184" s="298" t="n"/>
      <c r="F184" s="328" t="n"/>
      <c r="G184" s="218" t="n"/>
      <c r="H184" s="218" t="n"/>
      <c r="I184" s="222">
        <f>IF($D184="","",IF(COUNTIFS('05C. RESTRIÇÕES'!$B$5:$B$204,$B184,'05C. RESTRIÇÕES'!$C$5:$C$204,$D184,'05C. RESTRIÇÕES'!$H$5:$H$204,"ABERTA")&gt;0,"SIM","NÃO"))</f>
      </c>
      <c r="J184" s="218" t="n"/>
      <c r="K184" s="329">
        <f>IF(OR($D184="",$A184=""),"",SUMIFS('05B. APONTAMENTO DIÁRIO'!$F$5:$F$1004,'05B. APONTAMENTO DIÁRIO'!$B$5:$B$1004,$B184,'05B. APONTAMENTO DIÁRIO'!$C$5:$C$1004,$D184,'05B. APONTAMENTO DIÁRIO'!$G$5:$G$1004,$G184,'05B. APONTAMENTO DIÁRIO'!$A$5:$A$1004,"&gt;="&amp;($A184-4),'05B. APONTAMENTO DIÁRIO'!$A$5:$A$1004,"&lt;="&amp;$A184))</f>
      </c>
      <c r="L184" s="226">
        <f>IF(OR($F184="",N($F184)=0,$K184=""),"",$K184/$F184)</f>
      </c>
      <c r="M184" s="218" t="n"/>
      <c r="N184" s="222">
        <f>IF($J184&lt;&gt;"SIM","",IF($M184&lt;&gt;"",$M184,IF(AND(ISNUMBER($L184),N($L184)&gt;=1),"SIM",IF($A184&lt;=DATA_GESTAO,"NÃO",""))))</f>
      </c>
      <c r="O184" s="218" t="n"/>
    </row>
    <row r="185">
      <c r="A185" s="220" t="n"/>
      <c r="B185" s="218" t="n"/>
      <c r="C185" s="218" t="n"/>
      <c r="D185" s="218" t="n"/>
      <c r="E185" s="298" t="n"/>
      <c r="F185" s="328" t="n"/>
      <c r="G185" s="218" t="n"/>
      <c r="H185" s="218" t="n"/>
      <c r="I185" s="222">
        <f>IF($D185="","",IF(COUNTIFS('05C. RESTRIÇÕES'!$B$5:$B$204,$B185,'05C. RESTRIÇÕES'!$C$5:$C$204,$D185,'05C. RESTRIÇÕES'!$H$5:$H$204,"ABERTA")&gt;0,"SIM","NÃO"))</f>
      </c>
      <c r="J185" s="218" t="n"/>
      <c r="K185" s="329">
        <f>IF(OR($D185="",$A185=""),"",SUMIFS('05B. APONTAMENTO DIÁRIO'!$F$5:$F$1004,'05B. APONTAMENTO DIÁRIO'!$B$5:$B$1004,$B185,'05B. APONTAMENTO DIÁRIO'!$C$5:$C$1004,$D185,'05B. APONTAMENTO DIÁRIO'!$G$5:$G$1004,$G185,'05B. APONTAMENTO DIÁRIO'!$A$5:$A$1004,"&gt;="&amp;($A185-4),'05B. APONTAMENTO DIÁRIO'!$A$5:$A$1004,"&lt;="&amp;$A185))</f>
      </c>
      <c r="L185" s="226">
        <f>IF(OR($F185="",N($F185)=0,$K185=""),"",$K185/$F185)</f>
      </c>
      <c r="M185" s="218" t="n"/>
      <c r="N185" s="222">
        <f>IF($J185&lt;&gt;"SIM","",IF($M185&lt;&gt;"",$M185,IF(AND(ISNUMBER($L185),N($L185)&gt;=1),"SIM",IF($A185&lt;=DATA_GESTAO,"NÃO",""))))</f>
      </c>
      <c r="O185" s="218" t="n"/>
    </row>
    <row r="186">
      <c r="A186" s="220" t="n"/>
      <c r="B186" s="218" t="n"/>
      <c r="C186" s="218" t="n"/>
      <c r="D186" s="218" t="n"/>
      <c r="E186" s="298" t="n"/>
      <c r="F186" s="328" t="n"/>
      <c r="G186" s="218" t="n"/>
      <c r="H186" s="218" t="n"/>
      <c r="I186" s="222">
        <f>IF($D186="","",IF(COUNTIFS('05C. RESTRIÇÕES'!$B$5:$B$204,$B186,'05C. RESTRIÇÕES'!$C$5:$C$204,$D186,'05C. RESTRIÇÕES'!$H$5:$H$204,"ABERTA")&gt;0,"SIM","NÃO"))</f>
      </c>
      <c r="J186" s="218" t="n"/>
      <c r="K186" s="329">
        <f>IF(OR($D186="",$A186=""),"",SUMIFS('05B. APONTAMENTO DIÁRIO'!$F$5:$F$1004,'05B. APONTAMENTO DIÁRIO'!$B$5:$B$1004,$B186,'05B. APONTAMENTO DIÁRIO'!$C$5:$C$1004,$D186,'05B. APONTAMENTO DIÁRIO'!$G$5:$G$1004,$G186,'05B. APONTAMENTO DIÁRIO'!$A$5:$A$1004,"&gt;="&amp;($A186-4),'05B. APONTAMENTO DIÁRIO'!$A$5:$A$1004,"&lt;="&amp;$A186))</f>
      </c>
      <c r="L186" s="226">
        <f>IF(OR($F186="",N($F186)=0,$K186=""),"",$K186/$F186)</f>
      </c>
      <c r="M186" s="218" t="n"/>
      <c r="N186" s="222">
        <f>IF($J186&lt;&gt;"SIM","",IF($M186&lt;&gt;"",$M186,IF(AND(ISNUMBER($L186),N($L186)&gt;=1),"SIM",IF($A186&lt;=DATA_GESTAO,"NÃO",""))))</f>
      </c>
      <c r="O186" s="218" t="n"/>
    </row>
    <row r="187">
      <c r="A187" s="220" t="n"/>
      <c r="B187" s="218" t="n"/>
      <c r="C187" s="218" t="n"/>
      <c r="D187" s="218" t="n"/>
      <c r="E187" s="298" t="n"/>
      <c r="F187" s="328" t="n"/>
      <c r="G187" s="218" t="n"/>
      <c r="H187" s="218" t="n"/>
      <c r="I187" s="222">
        <f>IF($D187="","",IF(COUNTIFS('05C. RESTRIÇÕES'!$B$5:$B$204,$B187,'05C. RESTRIÇÕES'!$C$5:$C$204,$D187,'05C. RESTRIÇÕES'!$H$5:$H$204,"ABERTA")&gt;0,"SIM","NÃO"))</f>
      </c>
      <c r="J187" s="218" t="n"/>
      <c r="K187" s="329">
        <f>IF(OR($D187="",$A187=""),"",SUMIFS('05B. APONTAMENTO DIÁRIO'!$F$5:$F$1004,'05B. APONTAMENTO DIÁRIO'!$B$5:$B$1004,$B187,'05B. APONTAMENTO DIÁRIO'!$C$5:$C$1004,$D187,'05B. APONTAMENTO DIÁRIO'!$G$5:$G$1004,$G187,'05B. APONTAMENTO DIÁRIO'!$A$5:$A$1004,"&gt;="&amp;($A187-4),'05B. APONTAMENTO DIÁRIO'!$A$5:$A$1004,"&lt;="&amp;$A187))</f>
      </c>
      <c r="L187" s="226">
        <f>IF(OR($F187="",N($F187)=0,$K187=""),"",$K187/$F187)</f>
      </c>
      <c r="M187" s="218" t="n"/>
      <c r="N187" s="222">
        <f>IF($J187&lt;&gt;"SIM","",IF($M187&lt;&gt;"",$M187,IF(AND(ISNUMBER($L187),N($L187)&gt;=1),"SIM",IF($A187&lt;=DATA_GESTAO,"NÃO",""))))</f>
      </c>
      <c r="O187" s="218" t="n"/>
    </row>
    <row r="188">
      <c r="A188" s="220" t="n"/>
      <c r="B188" s="218" t="n"/>
      <c r="C188" s="218" t="n"/>
      <c r="D188" s="218" t="n"/>
      <c r="E188" s="298" t="n"/>
      <c r="F188" s="328" t="n"/>
      <c r="G188" s="218" t="n"/>
      <c r="H188" s="218" t="n"/>
      <c r="I188" s="222">
        <f>IF($D188="","",IF(COUNTIFS('05C. RESTRIÇÕES'!$B$5:$B$204,$B188,'05C. RESTRIÇÕES'!$C$5:$C$204,$D188,'05C. RESTRIÇÕES'!$H$5:$H$204,"ABERTA")&gt;0,"SIM","NÃO"))</f>
      </c>
      <c r="J188" s="218" t="n"/>
      <c r="K188" s="329">
        <f>IF(OR($D188="",$A188=""),"",SUMIFS('05B. APONTAMENTO DIÁRIO'!$F$5:$F$1004,'05B. APONTAMENTO DIÁRIO'!$B$5:$B$1004,$B188,'05B. APONTAMENTO DIÁRIO'!$C$5:$C$1004,$D188,'05B. APONTAMENTO DIÁRIO'!$G$5:$G$1004,$G188,'05B. APONTAMENTO DIÁRIO'!$A$5:$A$1004,"&gt;="&amp;($A188-4),'05B. APONTAMENTO DIÁRIO'!$A$5:$A$1004,"&lt;="&amp;$A188))</f>
      </c>
      <c r="L188" s="226">
        <f>IF(OR($F188="",N($F188)=0,$K188=""),"",$K188/$F188)</f>
      </c>
      <c r="M188" s="218" t="n"/>
      <c r="N188" s="222">
        <f>IF($J188&lt;&gt;"SIM","",IF($M188&lt;&gt;"",$M188,IF(AND(ISNUMBER($L188),N($L188)&gt;=1),"SIM",IF($A188&lt;=DATA_GESTAO,"NÃO",""))))</f>
      </c>
      <c r="O188" s="218" t="n"/>
    </row>
    <row r="189">
      <c r="A189" s="220" t="n"/>
      <c r="B189" s="218" t="n"/>
      <c r="C189" s="218" t="n"/>
      <c r="D189" s="218" t="n"/>
      <c r="E189" s="298" t="n"/>
      <c r="F189" s="328" t="n"/>
      <c r="G189" s="218" t="n"/>
      <c r="H189" s="218" t="n"/>
      <c r="I189" s="222">
        <f>IF($D189="","",IF(COUNTIFS('05C. RESTRIÇÕES'!$B$5:$B$204,$B189,'05C. RESTRIÇÕES'!$C$5:$C$204,$D189,'05C. RESTRIÇÕES'!$H$5:$H$204,"ABERTA")&gt;0,"SIM","NÃO"))</f>
      </c>
      <c r="J189" s="218" t="n"/>
      <c r="K189" s="329">
        <f>IF(OR($D189="",$A189=""),"",SUMIFS('05B. APONTAMENTO DIÁRIO'!$F$5:$F$1004,'05B. APONTAMENTO DIÁRIO'!$B$5:$B$1004,$B189,'05B. APONTAMENTO DIÁRIO'!$C$5:$C$1004,$D189,'05B. APONTAMENTO DIÁRIO'!$G$5:$G$1004,$G189,'05B. APONTAMENTO DIÁRIO'!$A$5:$A$1004,"&gt;="&amp;($A189-4),'05B. APONTAMENTO DIÁRIO'!$A$5:$A$1004,"&lt;="&amp;$A189))</f>
      </c>
      <c r="L189" s="226">
        <f>IF(OR($F189="",N($F189)=0,$K189=""),"",$K189/$F189)</f>
      </c>
      <c r="M189" s="218" t="n"/>
      <c r="N189" s="222">
        <f>IF($J189&lt;&gt;"SIM","",IF($M189&lt;&gt;"",$M189,IF(AND(ISNUMBER($L189),N($L189)&gt;=1),"SIM",IF($A189&lt;=DATA_GESTAO,"NÃO",""))))</f>
      </c>
      <c r="O189" s="218" t="n"/>
    </row>
    <row r="190">
      <c r="A190" s="220" t="n"/>
      <c r="B190" s="218" t="n"/>
      <c r="C190" s="218" t="n"/>
      <c r="D190" s="218" t="n"/>
      <c r="E190" s="298" t="n"/>
      <c r="F190" s="328" t="n"/>
      <c r="G190" s="218" t="n"/>
      <c r="H190" s="218" t="n"/>
      <c r="I190" s="222">
        <f>IF($D190="","",IF(COUNTIFS('05C. RESTRIÇÕES'!$B$5:$B$204,$B190,'05C. RESTRIÇÕES'!$C$5:$C$204,$D190,'05C. RESTRIÇÕES'!$H$5:$H$204,"ABERTA")&gt;0,"SIM","NÃO"))</f>
      </c>
      <c r="J190" s="218" t="n"/>
      <c r="K190" s="329">
        <f>IF(OR($D190="",$A190=""),"",SUMIFS('05B. APONTAMENTO DIÁRIO'!$F$5:$F$1004,'05B. APONTAMENTO DIÁRIO'!$B$5:$B$1004,$B190,'05B. APONTAMENTO DIÁRIO'!$C$5:$C$1004,$D190,'05B. APONTAMENTO DIÁRIO'!$G$5:$G$1004,$G190,'05B. APONTAMENTO DIÁRIO'!$A$5:$A$1004,"&gt;="&amp;($A190-4),'05B. APONTAMENTO DIÁRIO'!$A$5:$A$1004,"&lt;="&amp;$A190))</f>
      </c>
      <c r="L190" s="226">
        <f>IF(OR($F190="",N($F190)=0,$K190=""),"",$K190/$F190)</f>
      </c>
      <c r="M190" s="218" t="n"/>
      <c r="N190" s="222">
        <f>IF($J190&lt;&gt;"SIM","",IF($M190&lt;&gt;"",$M190,IF(AND(ISNUMBER($L190),N($L190)&gt;=1),"SIM",IF($A190&lt;=DATA_GESTAO,"NÃO",""))))</f>
      </c>
      <c r="O190" s="218" t="n"/>
    </row>
    <row r="191">
      <c r="A191" s="220" t="n"/>
      <c r="B191" s="218" t="n"/>
      <c r="C191" s="218" t="n"/>
      <c r="D191" s="218" t="n"/>
      <c r="E191" s="298" t="n"/>
      <c r="F191" s="328" t="n"/>
      <c r="G191" s="218" t="n"/>
      <c r="H191" s="218" t="n"/>
      <c r="I191" s="222">
        <f>IF($D191="","",IF(COUNTIFS('05C. RESTRIÇÕES'!$B$5:$B$204,$B191,'05C. RESTRIÇÕES'!$C$5:$C$204,$D191,'05C. RESTRIÇÕES'!$H$5:$H$204,"ABERTA")&gt;0,"SIM","NÃO"))</f>
      </c>
      <c r="J191" s="218" t="n"/>
      <c r="K191" s="329">
        <f>IF(OR($D191="",$A191=""),"",SUMIFS('05B. APONTAMENTO DIÁRIO'!$F$5:$F$1004,'05B. APONTAMENTO DIÁRIO'!$B$5:$B$1004,$B191,'05B. APONTAMENTO DIÁRIO'!$C$5:$C$1004,$D191,'05B. APONTAMENTO DIÁRIO'!$G$5:$G$1004,$G191,'05B. APONTAMENTO DIÁRIO'!$A$5:$A$1004,"&gt;="&amp;($A191-4),'05B. APONTAMENTO DIÁRIO'!$A$5:$A$1004,"&lt;="&amp;$A191))</f>
      </c>
      <c r="L191" s="226">
        <f>IF(OR($F191="",N($F191)=0,$K191=""),"",$K191/$F191)</f>
      </c>
      <c r="M191" s="218" t="n"/>
      <c r="N191" s="222">
        <f>IF($J191&lt;&gt;"SIM","",IF($M191&lt;&gt;"",$M191,IF(AND(ISNUMBER($L191),N($L191)&gt;=1),"SIM",IF($A191&lt;=DATA_GESTAO,"NÃO",""))))</f>
      </c>
      <c r="O191" s="218" t="n"/>
    </row>
    <row r="192">
      <c r="A192" s="220" t="n"/>
      <c r="B192" s="218" t="n"/>
      <c r="C192" s="218" t="n"/>
      <c r="D192" s="218" t="n"/>
      <c r="E192" s="298" t="n"/>
      <c r="F192" s="328" t="n"/>
      <c r="G192" s="218" t="n"/>
      <c r="H192" s="218" t="n"/>
      <c r="I192" s="222">
        <f>IF($D192="","",IF(COUNTIFS('05C. RESTRIÇÕES'!$B$5:$B$204,$B192,'05C. RESTRIÇÕES'!$C$5:$C$204,$D192,'05C. RESTRIÇÕES'!$H$5:$H$204,"ABERTA")&gt;0,"SIM","NÃO"))</f>
      </c>
      <c r="J192" s="218" t="n"/>
      <c r="K192" s="329">
        <f>IF(OR($D192="",$A192=""),"",SUMIFS('05B. APONTAMENTO DIÁRIO'!$F$5:$F$1004,'05B. APONTAMENTO DIÁRIO'!$B$5:$B$1004,$B192,'05B. APONTAMENTO DIÁRIO'!$C$5:$C$1004,$D192,'05B. APONTAMENTO DIÁRIO'!$G$5:$G$1004,$G192,'05B. APONTAMENTO DIÁRIO'!$A$5:$A$1004,"&gt;="&amp;($A192-4),'05B. APONTAMENTO DIÁRIO'!$A$5:$A$1004,"&lt;="&amp;$A192))</f>
      </c>
      <c r="L192" s="226">
        <f>IF(OR($F192="",N($F192)=0,$K192=""),"",$K192/$F192)</f>
      </c>
      <c r="M192" s="218" t="n"/>
      <c r="N192" s="222">
        <f>IF($J192&lt;&gt;"SIM","",IF($M192&lt;&gt;"",$M192,IF(AND(ISNUMBER($L192),N($L192)&gt;=1),"SIM",IF($A192&lt;=DATA_GESTAO,"NÃO",""))))</f>
      </c>
      <c r="O192" s="218" t="n"/>
    </row>
    <row r="193">
      <c r="A193" s="220" t="n"/>
      <c r="B193" s="218" t="n"/>
      <c r="C193" s="218" t="n"/>
      <c r="D193" s="218" t="n"/>
      <c r="E193" s="298" t="n"/>
      <c r="F193" s="328" t="n"/>
      <c r="G193" s="218" t="n"/>
      <c r="H193" s="218" t="n"/>
      <c r="I193" s="222">
        <f>IF($D193="","",IF(COUNTIFS('05C. RESTRIÇÕES'!$B$5:$B$204,$B193,'05C. RESTRIÇÕES'!$C$5:$C$204,$D193,'05C. RESTRIÇÕES'!$H$5:$H$204,"ABERTA")&gt;0,"SIM","NÃO"))</f>
      </c>
      <c r="J193" s="218" t="n"/>
      <c r="K193" s="329">
        <f>IF(OR($D193="",$A193=""),"",SUMIFS('05B. APONTAMENTO DIÁRIO'!$F$5:$F$1004,'05B. APONTAMENTO DIÁRIO'!$B$5:$B$1004,$B193,'05B. APONTAMENTO DIÁRIO'!$C$5:$C$1004,$D193,'05B. APONTAMENTO DIÁRIO'!$G$5:$G$1004,$G193,'05B. APONTAMENTO DIÁRIO'!$A$5:$A$1004,"&gt;="&amp;($A193-4),'05B. APONTAMENTO DIÁRIO'!$A$5:$A$1004,"&lt;="&amp;$A193))</f>
      </c>
      <c r="L193" s="226">
        <f>IF(OR($F193="",N($F193)=0,$K193=""),"",$K193/$F193)</f>
      </c>
      <c r="M193" s="218" t="n"/>
      <c r="N193" s="222">
        <f>IF($J193&lt;&gt;"SIM","",IF($M193&lt;&gt;"",$M193,IF(AND(ISNUMBER($L193),N($L193)&gt;=1),"SIM",IF($A193&lt;=DATA_GESTAO,"NÃO",""))))</f>
      </c>
      <c r="O193" s="218" t="n"/>
    </row>
    <row r="194">
      <c r="A194" s="220" t="n"/>
      <c r="B194" s="218" t="n"/>
      <c r="C194" s="218" t="n"/>
      <c r="D194" s="218" t="n"/>
      <c r="E194" s="298" t="n"/>
      <c r="F194" s="328" t="n"/>
      <c r="G194" s="218" t="n"/>
      <c r="H194" s="218" t="n"/>
      <c r="I194" s="222">
        <f>IF($D194="","",IF(COUNTIFS('05C. RESTRIÇÕES'!$B$5:$B$204,$B194,'05C. RESTRIÇÕES'!$C$5:$C$204,$D194,'05C. RESTRIÇÕES'!$H$5:$H$204,"ABERTA")&gt;0,"SIM","NÃO"))</f>
      </c>
      <c r="J194" s="218" t="n"/>
      <c r="K194" s="329">
        <f>IF(OR($D194="",$A194=""),"",SUMIFS('05B. APONTAMENTO DIÁRIO'!$F$5:$F$1004,'05B. APONTAMENTO DIÁRIO'!$B$5:$B$1004,$B194,'05B. APONTAMENTO DIÁRIO'!$C$5:$C$1004,$D194,'05B. APONTAMENTO DIÁRIO'!$G$5:$G$1004,$G194,'05B. APONTAMENTO DIÁRIO'!$A$5:$A$1004,"&gt;="&amp;($A194-4),'05B. APONTAMENTO DIÁRIO'!$A$5:$A$1004,"&lt;="&amp;$A194))</f>
      </c>
      <c r="L194" s="226">
        <f>IF(OR($F194="",N($F194)=0,$K194=""),"",$K194/$F194)</f>
      </c>
      <c r="M194" s="218" t="n"/>
      <c r="N194" s="222">
        <f>IF($J194&lt;&gt;"SIM","",IF($M194&lt;&gt;"",$M194,IF(AND(ISNUMBER($L194),N($L194)&gt;=1),"SIM",IF($A194&lt;=DATA_GESTAO,"NÃO",""))))</f>
      </c>
      <c r="O194" s="218" t="n"/>
    </row>
    <row r="195">
      <c r="A195" s="220" t="n"/>
      <c r="B195" s="218" t="n"/>
      <c r="C195" s="218" t="n"/>
      <c r="D195" s="218" t="n"/>
      <c r="E195" s="298" t="n"/>
      <c r="F195" s="328" t="n"/>
      <c r="G195" s="218" t="n"/>
      <c r="H195" s="218" t="n"/>
      <c r="I195" s="222">
        <f>IF($D195="","",IF(COUNTIFS('05C. RESTRIÇÕES'!$B$5:$B$204,$B195,'05C. RESTRIÇÕES'!$C$5:$C$204,$D195,'05C. RESTRIÇÕES'!$H$5:$H$204,"ABERTA")&gt;0,"SIM","NÃO"))</f>
      </c>
      <c r="J195" s="218" t="n"/>
      <c r="K195" s="329">
        <f>IF(OR($D195="",$A195=""),"",SUMIFS('05B. APONTAMENTO DIÁRIO'!$F$5:$F$1004,'05B. APONTAMENTO DIÁRIO'!$B$5:$B$1004,$B195,'05B. APONTAMENTO DIÁRIO'!$C$5:$C$1004,$D195,'05B. APONTAMENTO DIÁRIO'!$G$5:$G$1004,$G195,'05B. APONTAMENTO DIÁRIO'!$A$5:$A$1004,"&gt;="&amp;($A195-4),'05B. APONTAMENTO DIÁRIO'!$A$5:$A$1004,"&lt;="&amp;$A195))</f>
      </c>
      <c r="L195" s="226">
        <f>IF(OR($F195="",N($F195)=0,$K195=""),"",$K195/$F195)</f>
      </c>
      <c r="M195" s="218" t="n"/>
      <c r="N195" s="222">
        <f>IF($J195&lt;&gt;"SIM","",IF($M195&lt;&gt;"",$M195,IF(AND(ISNUMBER($L195),N($L195)&gt;=1),"SIM",IF($A195&lt;=DATA_GESTAO,"NÃO",""))))</f>
      </c>
      <c r="O195" s="218" t="n"/>
    </row>
    <row r="196">
      <c r="A196" s="220" t="n"/>
      <c r="B196" s="218" t="n"/>
      <c r="C196" s="218" t="n"/>
      <c r="D196" s="218" t="n"/>
      <c r="E196" s="298" t="n"/>
      <c r="F196" s="328" t="n"/>
      <c r="G196" s="218" t="n"/>
      <c r="H196" s="218" t="n"/>
      <c r="I196" s="222">
        <f>IF($D196="","",IF(COUNTIFS('05C. RESTRIÇÕES'!$B$5:$B$204,$B196,'05C. RESTRIÇÕES'!$C$5:$C$204,$D196,'05C. RESTRIÇÕES'!$H$5:$H$204,"ABERTA")&gt;0,"SIM","NÃO"))</f>
      </c>
      <c r="J196" s="218" t="n"/>
      <c r="K196" s="329">
        <f>IF(OR($D196="",$A196=""),"",SUMIFS('05B. APONTAMENTO DIÁRIO'!$F$5:$F$1004,'05B. APONTAMENTO DIÁRIO'!$B$5:$B$1004,$B196,'05B. APONTAMENTO DIÁRIO'!$C$5:$C$1004,$D196,'05B. APONTAMENTO DIÁRIO'!$G$5:$G$1004,$G196,'05B. APONTAMENTO DIÁRIO'!$A$5:$A$1004,"&gt;="&amp;($A196-4),'05B. APONTAMENTO DIÁRIO'!$A$5:$A$1004,"&lt;="&amp;$A196))</f>
      </c>
      <c r="L196" s="226">
        <f>IF(OR($F196="",N($F196)=0,$K196=""),"",$K196/$F196)</f>
      </c>
      <c r="M196" s="218" t="n"/>
      <c r="N196" s="222">
        <f>IF($J196&lt;&gt;"SIM","",IF($M196&lt;&gt;"",$M196,IF(AND(ISNUMBER($L196),N($L196)&gt;=1),"SIM",IF($A196&lt;=DATA_GESTAO,"NÃO",""))))</f>
      </c>
      <c r="O196" s="218" t="n"/>
    </row>
    <row r="197">
      <c r="A197" s="220" t="n"/>
      <c r="B197" s="218" t="n"/>
      <c r="C197" s="218" t="n"/>
      <c r="D197" s="218" t="n"/>
      <c r="E197" s="298" t="n"/>
      <c r="F197" s="328" t="n"/>
      <c r="G197" s="218" t="n"/>
      <c r="H197" s="218" t="n"/>
      <c r="I197" s="222">
        <f>IF($D197="","",IF(COUNTIFS('05C. RESTRIÇÕES'!$B$5:$B$204,$B197,'05C. RESTRIÇÕES'!$C$5:$C$204,$D197,'05C. RESTRIÇÕES'!$H$5:$H$204,"ABERTA")&gt;0,"SIM","NÃO"))</f>
      </c>
      <c r="J197" s="218" t="n"/>
      <c r="K197" s="329">
        <f>IF(OR($D197="",$A197=""),"",SUMIFS('05B. APONTAMENTO DIÁRIO'!$F$5:$F$1004,'05B. APONTAMENTO DIÁRIO'!$B$5:$B$1004,$B197,'05B. APONTAMENTO DIÁRIO'!$C$5:$C$1004,$D197,'05B. APONTAMENTO DIÁRIO'!$G$5:$G$1004,$G197,'05B. APONTAMENTO DIÁRIO'!$A$5:$A$1004,"&gt;="&amp;($A197-4),'05B. APONTAMENTO DIÁRIO'!$A$5:$A$1004,"&lt;="&amp;$A197))</f>
      </c>
      <c r="L197" s="226">
        <f>IF(OR($F197="",N($F197)=0,$K197=""),"",$K197/$F197)</f>
      </c>
      <c r="M197" s="218" t="n"/>
      <c r="N197" s="222">
        <f>IF($J197&lt;&gt;"SIM","",IF($M197&lt;&gt;"",$M197,IF(AND(ISNUMBER($L197),N($L197)&gt;=1),"SIM",IF($A197&lt;=DATA_GESTAO,"NÃO",""))))</f>
      </c>
      <c r="O197" s="218" t="n"/>
    </row>
    <row r="198">
      <c r="A198" s="220" t="n"/>
      <c r="B198" s="218" t="n"/>
      <c r="C198" s="218" t="n"/>
      <c r="D198" s="218" t="n"/>
      <c r="E198" s="298" t="n"/>
      <c r="F198" s="328" t="n"/>
      <c r="G198" s="218" t="n"/>
      <c r="H198" s="218" t="n"/>
      <c r="I198" s="222">
        <f>IF($D198="","",IF(COUNTIFS('05C. RESTRIÇÕES'!$B$5:$B$204,$B198,'05C. RESTRIÇÕES'!$C$5:$C$204,$D198,'05C. RESTRIÇÕES'!$H$5:$H$204,"ABERTA")&gt;0,"SIM","NÃO"))</f>
      </c>
      <c r="J198" s="218" t="n"/>
      <c r="K198" s="329">
        <f>IF(OR($D198="",$A198=""),"",SUMIFS('05B. APONTAMENTO DIÁRIO'!$F$5:$F$1004,'05B. APONTAMENTO DIÁRIO'!$B$5:$B$1004,$B198,'05B. APONTAMENTO DIÁRIO'!$C$5:$C$1004,$D198,'05B. APONTAMENTO DIÁRIO'!$G$5:$G$1004,$G198,'05B. APONTAMENTO DIÁRIO'!$A$5:$A$1004,"&gt;="&amp;($A198-4),'05B. APONTAMENTO DIÁRIO'!$A$5:$A$1004,"&lt;="&amp;$A198))</f>
      </c>
      <c r="L198" s="226">
        <f>IF(OR($F198="",N($F198)=0,$K198=""),"",$K198/$F198)</f>
      </c>
      <c r="M198" s="218" t="n"/>
      <c r="N198" s="222">
        <f>IF($J198&lt;&gt;"SIM","",IF($M198&lt;&gt;"",$M198,IF(AND(ISNUMBER($L198),N($L198)&gt;=1),"SIM",IF($A198&lt;=DATA_GESTAO,"NÃO",""))))</f>
      </c>
      <c r="O198" s="218" t="n"/>
    </row>
    <row r="199">
      <c r="A199" s="220" t="n"/>
      <c r="B199" s="218" t="n"/>
      <c r="C199" s="218" t="n"/>
      <c r="D199" s="218" t="n"/>
      <c r="E199" s="298" t="n"/>
      <c r="F199" s="328" t="n"/>
      <c r="G199" s="218" t="n"/>
      <c r="H199" s="218" t="n"/>
      <c r="I199" s="222">
        <f>IF($D199="","",IF(COUNTIFS('05C. RESTRIÇÕES'!$B$5:$B$204,$B199,'05C. RESTRIÇÕES'!$C$5:$C$204,$D199,'05C. RESTRIÇÕES'!$H$5:$H$204,"ABERTA")&gt;0,"SIM","NÃO"))</f>
      </c>
      <c r="J199" s="218" t="n"/>
      <c r="K199" s="329">
        <f>IF(OR($D199="",$A199=""),"",SUMIFS('05B. APONTAMENTO DIÁRIO'!$F$5:$F$1004,'05B. APONTAMENTO DIÁRIO'!$B$5:$B$1004,$B199,'05B. APONTAMENTO DIÁRIO'!$C$5:$C$1004,$D199,'05B. APONTAMENTO DIÁRIO'!$G$5:$G$1004,$G199,'05B. APONTAMENTO DIÁRIO'!$A$5:$A$1004,"&gt;="&amp;($A199-4),'05B. APONTAMENTO DIÁRIO'!$A$5:$A$1004,"&lt;="&amp;$A199))</f>
      </c>
      <c r="L199" s="226">
        <f>IF(OR($F199="",N($F199)=0,$K199=""),"",$K199/$F199)</f>
      </c>
      <c r="M199" s="218" t="n"/>
      <c r="N199" s="222">
        <f>IF($J199&lt;&gt;"SIM","",IF($M199&lt;&gt;"",$M199,IF(AND(ISNUMBER($L199),N($L199)&gt;=1),"SIM",IF($A199&lt;=DATA_GESTAO,"NÃO",""))))</f>
      </c>
      <c r="O199" s="218" t="n"/>
    </row>
    <row r="200">
      <c r="A200" s="220" t="n"/>
      <c r="B200" s="218" t="n"/>
      <c r="C200" s="218" t="n"/>
      <c r="D200" s="218" t="n"/>
      <c r="E200" s="298" t="n"/>
      <c r="F200" s="328" t="n"/>
      <c r="G200" s="218" t="n"/>
      <c r="H200" s="218" t="n"/>
      <c r="I200" s="222">
        <f>IF($D200="","",IF(COUNTIFS('05C. RESTRIÇÕES'!$B$5:$B$204,$B200,'05C. RESTRIÇÕES'!$C$5:$C$204,$D200,'05C. RESTRIÇÕES'!$H$5:$H$204,"ABERTA")&gt;0,"SIM","NÃO"))</f>
      </c>
      <c r="J200" s="218" t="n"/>
      <c r="K200" s="329">
        <f>IF(OR($D200="",$A200=""),"",SUMIFS('05B. APONTAMENTO DIÁRIO'!$F$5:$F$1004,'05B. APONTAMENTO DIÁRIO'!$B$5:$B$1004,$B200,'05B. APONTAMENTO DIÁRIO'!$C$5:$C$1004,$D200,'05B. APONTAMENTO DIÁRIO'!$G$5:$G$1004,$G200,'05B. APONTAMENTO DIÁRIO'!$A$5:$A$1004,"&gt;="&amp;($A200-4),'05B. APONTAMENTO DIÁRIO'!$A$5:$A$1004,"&lt;="&amp;$A200))</f>
      </c>
      <c r="L200" s="226">
        <f>IF(OR($F200="",N($F200)=0,$K200=""),"",$K200/$F200)</f>
      </c>
      <c r="M200" s="218" t="n"/>
      <c r="N200" s="222">
        <f>IF($J200&lt;&gt;"SIM","",IF($M200&lt;&gt;"",$M200,IF(AND(ISNUMBER($L200),N($L200)&gt;=1),"SIM",IF($A200&lt;=DATA_GESTAO,"NÃO",""))))</f>
      </c>
      <c r="O200" s="218" t="n"/>
    </row>
    <row r="201">
      <c r="A201" s="220" t="n"/>
      <c r="B201" s="218" t="n"/>
      <c r="C201" s="218" t="n"/>
      <c r="D201" s="218" t="n"/>
      <c r="E201" s="298" t="n"/>
      <c r="F201" s="328" t="n"/>
      <c r="G201" s="218" t="n"/>
      <c r="H201" s="218" t="n"/>
      <c r="I201" s="222">
        <f>IF($D201="","",IF(COUNTIFS('05C. RESTRIÇÕES'!$B$5:$B$204,$B201,'05C. RESTRIÇÕES'!$C$5:$C$204,$D201,'05C. RESTRIÇÕES'!$H$5:$H$204,"ABERTA")&gt;0,"SIM","NÃO"))</f>
      </c>
      <c r="J201" s="218" t="n"/>
      <c r="K201" s="329">
        <f>IF(OR($D201="",$A201=""),"",SUMIFS('05B. APONTAMENTO DIÁRIO'!$F$5:$F$1004,'05B. APONTAMENTO DIÁRIO'!$B$5:$B$1004,$B201,'05B. APONTAMENTO DIÁRIO'!$C$5:$C$1004,$D201,'05B. APONTAMENTO DIÁRIO'!$G$5:$G$1004,$G201,'05B. APONTAMENTO DIÁRIO'!$A$5:$A$1004,"&gt;="&amp;($A201-4),'05B. APONTAMENTO DIÁRIO'!$A$5:$A$1004,"&lt;="&amp;$A201))</f>
      </c>
      <c r="L201" s="226">
        <f>IF(OR($F201="",N($F201)=0,$K201=""),"",$K201/$F201)</f>
      </c>
      <c r="M201" s="218" t="n"/>
      <c r="N201" s="222">
        <f>IF($J201&lt;&gt;"SIM","",IF($M201&lt;&gt;"",$M201,IF(AND(ISNUMBER($L201),N($L201)&gt;=1),"SIM",IF($A201&lt;=DATA_GESTAO,"NÃO",""))))</f>
      </c>
      <c r="O201" s="218" t="n"/>
    </row>
    <row r="202">
      <c r="A202" s="220" t="n"/>
      <c r="B202" s="218" t="n"/>
      <c r="C202" s="218" t="n"/>
      <c r="D202" s="218" t="n"/>
      <c r="E202" s="298" t="n"/>
      <c r="F202" s="328" t="n"/>
      <c r="G202" s="218" t="n"/>
      <c r="H202" s="218" t="n"/>
      <c r="I202" s="222">
        <f>IF($D202="","",IF(COUNTIFS('05C. RESTRIÇÕES'!$B$5:$B$204,$B202,'05C. RESTRIÇÕES'!$C$5:$C$204,$D202,'05C. RESTRIÇÕES'!$H$5:$H$204,"ABERTA")&gt;0,"SIM","NÃO"))</f>
      </c>
      <c r="J202" s="218" t="n"/>
      <c r="K202" s="329">
        <f>IF(OR($D202="",$A202=""),"",SUMIFS('05B. APONTAMENTO DIÁRIO'!$F$5:$F$1004,'05B. APONTAMENTO DIÁRIO'!$B$5:$B$1004,$B202,'05B. APONTAMENTO DIÁRIO'!$C$5:$C$1004,$D202,'05B. APONTAMENTO DIÁRIO'!$G$5:$G$1004,$G202,'05B. APONTAMENTO DIÁRIO'!$A$5:$A$1004,"&gt;="&amp;($A202-4),'05B. APONTAMENTO DIÁRIO'!$A$5:$A$1004,"&lt;="&amp;$A202))</f>
      </c>
      <c r="L202" s="226">
        <f>IF(OR($F202="",N($F202)=0,$K202=""),"",$K202/$F202)</f>
      </c>
      <c r="M202" s="218" t="n"/>
      <c r="N202" s="222">
        <f>IF($J202&lt;&gt;"SIM","",IF($M202&lt;&gt;"",$M202,IF(AND(ISNUMBER($L202),N($L202)&gt;=1),"SIM",IF($A202&lt;=DATA_GESTAO,"NÃO",""))))</f>
      </c>
      <c r="O202" s="218" t="n"/>
    </row>
    <row r="203">
      <c r="A203" s="220" t="n"/>
      <c r="B203" s="218" t="n"/>
      <c r="C203" s="218" t="n"/>
      <c r="D203" s="218" t="n"/>
      <c r="E203" s="298" t="n"/>
      <c r="F203" s="328" t="n"/>
      <c r="G203" s="218" t="n"/>
      <c r="H203" s="218" t="n"/>
      <c r="I203" s="222">
        <f>IF($D203="","",IF(COUNTIFS('05C. RESTRIÇÕES'!$B$5:$B$204,$B203,'05C. RESTRIÇÕES'!$C$5:$C$204,$D203,'05C. RESTRIÇÕES'!$H$5:$H$204,"ABERTA")&gt;0,"SIM","NÃO"))</f>
      </c>
      <c r="J203" s="218" t="n"/>
      <c r="K203" s="329">
        <f>IF(OR($D203="",$A203=""),"",SUMIFS('05B. APONTAMENTO DIÁRIO'!$F$5:$F$1004,'05B. APONTAMENTO DIÁRIO'!$B$5:$B$1004,$B203,'05B. APONTAMENTO DIÁRIO'!$C$5:$C$1004,$D203,'05B. APONTAMENTO DIÁRIO'!$G$5:$G$1004,$G203,'05B. APONTAMENTO DIÁRIO'!$A$5:$A$1004,"&gt;="&amp;($A203-4),'05B. APONTAMENTO DIÁRIO'!$A$5:$A$1004,"&lt;="&amp;$A203))</f>
      </c>
      <c r="L203" s="226">
        <f>IF(OR($F203="",N($F203)=0,$K203=""),"",$K203/$F203)</f>
      </c>
      <c r="M203" s="218" t="n"/>
      <c r="N203" s="222">
        <f>IF($J203&lt;&gt;"SIM","",IF($M203&lt;&gt;"",$M203,IF(AND(ISNUMBER($L203),N($L203)&gt;=1),"SIM",IF($A203&lt;=DATA_GESTAO,"NÃO",""))))</f>
      </c>
      <c r="O203" s="218" t="n"/>
    </row>
    <row r="204">
      <c r="A204" s="220" t="n"/>
      <c r="B204" s="218" t="n"/>
      <c r="C204" s="218" t="n"/>
      <c r="D204" s="218" t="n"/>
      <c r="E204" s="298" t="n"/>
      <c r="F204" s="328" t="n"/>
      <c r="G204" s="218" t="n"/>
      <c r="H204" s="218" t="n"/>
      <c r="I204" s="222">
        <f>IF($D204="","",IF(COUNTIFS('05C. RESTRIÇÕES'!$B$5:$B$204,$B204,'05C. RESTRIÇÕES'!$C$5:$C$204,$D204,'05C. RESTRIÇÕES'!$H$5:$H$204,"ABERTA")&gt;0,"SIM","NÃO"))</f>
      </c>
      <c r="J204" s="218" t="n"/>
      <c r="K204" s="329">
        <f>IF(OR($D204="",$A204=""),"",SUMIFS('05B. APONTAMENTO DIÁRIO'!$F$5:$F$1004,'05B. APONTAMENTO DIÁRIO'!$B$5:$B$1004,$B204,'05B. APONTAMENTO DIÁRIO'!$C$5:$C$1004,$D204,'05B. APONTAMENTO DIÁRIO'!$G$5:$G$1004,$G204,'05B. APONTAMENTO DIÁRIO'!$A$5:$A$1004,"&gt;="&amp;($A204-4),'05B. APONTAMENTO DIÁRIO'!$A$5:$A$1004,"&lt;="&amp;$A204))</f>
      </c>
      <c r="L204" s="226">
        <f>IF(OR($F204="",N($F204)=0,$K204=""),"",$K204/$F204)</f>
      </c>
      <c r="M204" s="218" t="n"/>
      <c r="N204" s="222">
        <f>IF($J204&lt;&gt;"SIM","",IF($M204&lt;&gt;"",$M204,IF(AND(ISNUMBER($L204),N($L204)&gt;=1),"SIM",IF($A204&lt;=DATA_GESTAO,"NÃO",""))))</f>
      </c>
      <c r="O204" s="218" t="n"/>
    </row>
  </sheetData>
  <conditionalFormatting sqref="I5:I204">
    <cfRule type="cellIs" priority="1" operator="equal" dxfId="23">
      <formula>"SIM"</formula>
    </cfRule>
  </conditionalFormatting>
  <conditionalFormatting sqref="N5:N204">
    <cfRule type="cellIs" priority="2" operator="equal" dxfId="24">
      <formula>"SIM"</formula>
    </cfRule>
    <cfRule type="cellIs" priority="3" operator="equal" dxfId="23">
      <formula>"NÃO"</formula>
    </cfRule>
  </conditionalFormatting>
  <conditionalFormatting sqref="J5:J204">
    <cfRule type="expression" priority="4" dxfId="23">
      <formula>AND($J5="SIM",$I5="SIM")</formula>
    </cfRule>
  </conditionalFormatting>
  <dataValidations count="5">
    <dataValidation sqref="B5:B204" showDropDown="0" showInputMessage="0" showErrorMessage="0" allowBlank="1" type="list">
      <formula1>"342,343,281"</formula1>
    </dataValidation>
    <dataValidation sqref="M5:M204" showDropDown="0" showInputMessage="0" showErrorMessage="0" allowBlank="1" type="list">
      <formula1>"SIM,NÃO"</formula1>
    </dataValidation>
    <dataValidation sqref="D5:D204" showDropDown="0" showInputMessage="0" showErrorMessage="0" allowBlank="1" type="list">
      <formula1>LISTA_FRENTES</formula1>
    </dataValidation>
    <dataValidation sqref="O5:O204" showDropDown="0" showInputMessage="0" showErrorMessage="0" allowBlank="1" type="list">
      <formula1>LISTA_CAUSAS</formula1>
    </dataValidation>
    <dataValidation sqref="J5:J204" showDropDown="0" showInputMessage="1" showErrorMessage="1" allowBlank="1" errorTitle="Frente travada" error="SIM só quando a coluna I = NÃO (frente sem restrição aberta na 05C). Digite SIM ou NÃO." promptTitle="Confirmada?" prompt="Digite SIM ou NÃO. SIM só quando a coluna I = NÃO." type="custom" errorStyle="stop">
      <formula1>OR($J5="NÃO",AND($J5="SIM",$I5="NÃO"))</formula1>
    </dataValidation>
  </dataValidations>
  <hyperlinks>
    <hyperlink ref="O1" location="'00A. MENU'!A1" display="◀ MENU"/>
  </hyperlinks>
  <pageMargins left="0.75" right="0.75" top="1" bottom="1" header="0.5" footer="0.5"/>
</worksheet>
</file>

<file path=xl/worksheets/sheet19.xml><?xml version="1.0" encoding="utf-8"?>
<worksheet xmlns="http://schemas.openxmlformats.org/spreadsheetml/2006/main">
  <sheetPr>
    <tabColor rgb="FF70AD47"/>
    <outlinePr summaryBelow="1" summaryRight="1"/>
    <pageSetUpPr/>
  </sheetPr>
  <dimension ref="A1:P1004"/>
  <sheetViews>
    <sheetView showGridLines="0" workbookViewId="0">
      <pane ySplit="4" topLeftCell="A5" activePane="bottomLeft" state="frozen"/>
      <selection pane="bottomLeft" activeCell="A1" sqref="A1"/>
    </sheetView>
  </sheetViews>
  <sheetFormatPr baseColWidth="8" defaultRowHeight="15"/>
  <cols>
    <col width="10" customWidth="1" style="71" min="1" max="1"/>
    <col width="7" customWidth="1" style="71" min="2" max="2"/>
    <col width="11" customWidth="1" style="71" min="3" max="3"/>
    <col width="20" customWidth="1" style="71" min="4" max="4"/>
    <col width="40" customWidth="1" style="71" min="5" max="5"/>
    <col width="11" customWidth="1" style="71" min="6" max="6"/>
    <col width="6" customWidth="1" style="71" min="7" max="7"/>
    <col width="10" customWidth="1" style="71" min="8" max="8"/>
    <col width="10" customWidth="1" style="71" min="9" max="9"/>
    <col width="16" customWidth="1" style="71" min="10" max="10"/>
    <col width="8" customWidth="1" style="71" min="11" max="11"/>
    <col width="18" customWidth="1" style="71" min="12" max="12"/>
    <col width="9" customWidth="1" style="71" min="13" max="13"/>
    <col width="36" customWidth="1" style="71" min="14" max="14"/>
    <col width="8" customWidth="1" style="71" min="15" max="15"/>
    <col width="10" customWidth="1" style="71" min="16" max="16"/>
  </cols>
  <sheetData>
    <row r="1" ht="30" customHeight="1" s="71">
      <c r="A1" s="1" t="inlineStr">
        <is>
          <t>05B. APONTAMENTO DIÁRIO — uma linha por frente por dia (342, 343 e 281)</t>
        </is>
      </c>
      <c r="B1" s="2" t="n"/>
      <c r="C1" s="2" t="n"/>
      <c r="D1" s="2" t="n"/>
      <c r="E1" s="2" t="n"/>
      <c r="F1" s="2" t="n"/>
      <c r="G1" s="2" t="n"/>
      <c r="H1" s="2" t="n"/>
      <c r="I1" s="2" t="n"/>
      <c r="J1" s="2" t="n"/>
      <c r="K1" s="2" t="n"/>
      <c r="L1" s="2" t="n"/>
      <c r="M1" s="2" t="n"/>
      <c r="N1" s="2" t="n"/>
      <c r="O1" s="2" t="n"/>
      <c r="P1" s="277" t="inlineStr">
        <is>
          <t>◀ MENU</t>
        </is>
      </c>
    </row>
    <row r="2"/>
    <row r="3"/>
    <row r="4" ht="42" customHeight="1" s="71">
      <c r="A4" s="215" t="inlineStr">
        <is>
          <t>Data</t>
        </is>
      </c>
      <c r="B4" s="215" t="inlineStr">
        <is>
          <t>Obra</t>
        </is>
      </c>
      <c r="C4" s="215" t="inlineStr">
        <is>
          <t>Frente / evento (código)</t>
        </is>
      </c>
      <c r="D4" s="215" t="inlineStr">
        <is>
          <t>Encarregado ou equipe</t>
        </is>
      </c>
      <c r="E4" s="215" t="inlineStr">
        <is>
          <t>Serviço executado</t>
        </is>
      </c>
      <c r="F4" s="215" t="inlineStr">
        <is>
          <t>Quantidade</t>
        </is>
      </c>
      <c r="G4" s="215" t="inlineStr">
        <is>
          <t>Un</t>
        </is>
      </c>
      <c r="H4" s="215" t="inlineStr">
        <is>
          <t>Pessoas presentes</t>
        </is>
      </c>
      <c r="I4" s="215" t="inlineStr">
        <is>
          <t>Horas trabalhadas</t>
        </is>
      </c>
      <c r="J4" s="215" t="inlineStr">
        <is>
          <t>Terreno / clima</t>
        </is>
      </c>
      <c r="K4" s="215" t="inlineStr">
        <is>
          <t>Parou?</t>
        </is>
      </c>
      <c r="L4" s="215" t="inlineStr">
        <is>
          <t>Motivo da parada</t>
        </is>
      </c>
      <c r="M4" s="215" t="inlineStr">
        <is>
          <t>Horas paradas</t>
        </is>
      </c>
      <c r="N4" s="215" t="inlineStr">
        <is>
          <t>Observação / foto</t>
        </is>
      </c>
      <c r="O4" s="215" t="inlineStr">
        <is>
          <t>Dia útil?</t>
        </is>
      </c>
      <c r="P4" s="215" t="inlineStr">
        <is>
          <t>Semana (sexta)</t>
        </is>
      </c>
    </row>
    <row r="5">
      <c r="A5" s="220" t="n"/>
      <c r="B5" s="218" t="n"/>
      <c r="C5" s="218" t="n"/>
      <c r="D5" s="218" t="n"/>
      <c r="E5" s="218" t="n"/>
      <c r="F5" s="328" t="n"/>
      <c r="G5" s="218" t="n"/>
      <c r="H5" s="218" t="n"/>
      <c r="I5" s="218" t="n"/>
      <c r="J5" s="218" t="n"/>
      <c r="K5" s="218" t="n"/>
      <c r="L5" s="218" t="n"/>
      <c r="M5" s="218" t="n"/>
      <c r="N5" s="218" t="n"/>
      <c r="O5" s="222">
        <f>IF($A5="","",IF(IF($B5="343",NETWORKDAYS($A5,$A5,FERIADOS_343),IF($B5="281",NETWORKDAYS($A5,$A5,FERIADOS_281),NETWORKDAYS($A5,$A5,FERIADOS_342)))=1,"SIM","NÃO"))</f>
      </c>
      <c r="P5" s="232">
        <f>IF($A5="","",$A5-WEEKDAY($A5,2)+5)</f>
      </c>
    </row>
    <row r="6">
      <c r="A6" s="220" t="n"/>
      <c r="B6" s="218" t="n"/>
      <c r="C6" s="218" t="n"/>
      <c r="D6" s="218" t="n"/>
      <c r="E6" s="218" t="n"/>
      <c r="F6" s="328" t="n"/>
      <c r="G6" s="218" t="n"/>
      <c r="H6" s="218" t="n"/>
      <c r="I6" s="218" t="n"/>
      <c r="J6" s="218" t="n"/>
      <c r="K6" s="218" t="n"/>
      <c r="L6" s="218" t="n"/>
      <c r="M6" s="218" t="n"/>
      <c r="N6" s="218" t="n"/>
      <c r="O6" s="222">
        <f>IF($A6="","",IF(IF($B6="343",NETWORKDAYS($A6,$A6,FERIADOS_343),IF($B6="281",NETWORKDAYS($A6,$A6,FERIADOS_281),NETWORKDAYS($A6,$A6,FERIADOS_342)))=1,"SIM","NÃO"))</f>
      </c>
      <c r="P6" s="232">
        <f>IF($A6="","",$A6-WEEKDAY($A6,2)+5)</f>
      </c>
    </row>
    <row r="7">
      <c r="A7" s="220" t="n"/>
      <c r="B7" s="218" t="n"/>
      <c r="C7" s="218" t="n"/>
      <c r="D7" s="218" t="n"/>
      <c r="E7" s="218" t="n"/>
      <c r="F7" s="328" t="n"/>
      <c r="G7" s="218" t="n"/>
      <c r="H7" s="218" t="n"/>
      <c r="I7" s="218" t="n"/>
      <c r="J7" s="218" t="n"/>
      <c r="K7" s="218" t="n"/>
      <c r="L7" s="218" t="n"/>
      <c r="M7" s="218" t="n"/>
      <c r="N7" s="218" t="n"/>
      <c r="O7" s="222">
        <f>IF($A7="","",IF(IF($B7="343",NETWORKDAYS($A7,$A7,FERIADOS_343),IF($B7="281",NETWORKDAYS($A7,$A7,FERIADOS_281),NETWORKDAYS($A7,$A7,FERIADOS_342)))=1,"SIM","NÃO"))</f>
      </c>
      <c r="P7" s="232">
        <f>IF($A7="","",$A7-WEEKDAY($A7,2)+5)</f>
      </c>
    </row>
    <row r="8">
      <c r="A8" s="220" t="n"/>
      <c r="B8" s="218" t="n"/>
      <c r="C8" s="218" t="n"/>
      <c r="D8" s="218" t="n"/>
      <c r="E8" s="218" t="n"/>
      <c r="F8" s="328" t="n"/>
      <c r="G8" s="218" t="n"/>
      <c r="H8" s="218" t="n"/>
      <c r="I8" s="218" t="n"/>
      <c r="J8" s="218" t="n"/>
      <c r="K8" s="218" t="n"/>
      <c r="L8" s="218" t="n"/>
      <c r="M8" s="218" t="n"/>
      <c r="N8" s="218" t="n"/>
      <c r="O8" s="222">
        <f>IF($A8="","",IF(IF($B8="343",NETWORKDAYS($A8,$A8,FERIADOS_343),IF($B8="281",NETWORKDAYS($A8,$A8,FERIADOS_281),NETWORKDAYS($A8,$A8,FERIADOS_342)))=1,"SIM","NÃO"))</f>
      </c>
      <c r="P8" s="232">
        <f>IF($A8="","",$A8-WEEKDAY($A8,2)+5)</f>
      </c>
    </row>
    <row r="9">
      <c r="A9" s="220" t="n"/>
      <c r="B9" s="218" t="n"/>
      <c r="C9" s="218" t="n"/>
      <c r="D9" s="218" t="n"/>
      <c r="E9" s="218" t="n"/>
      <c r="F9" s="328" t="n"/>
      <c r="G9" s="218" t="n"/>
      <c r="H9" s="218" t="n"/>
      <c r="I9" s="218" t="n"/>
      <c r="J9" s="218" t="n"/>
      <c r="K9" s="218" t="n"/>
      <c r="L9" s="218" t="n"/>
      <c r="M9" s="218" t="n"/>
      <c r="N9" s="218" t="n"/>
      <c r="O9" s="222">
        <f>IF($A9="","",IF(IF($B9="343",NETWORKDAYS($A9,$A9,FERIADOS_343),IF($B9="281",NETWORKDAYS($A9,$A9,FERIADOS_281),NETWORKDAYS($A9,$A9,FERIADOS_342)))=1,"SIM","NÃO"))</f>
      </c>
      <c r="P9" s="232">
        <f>IF($A9="","",$A9-WEEKDAY($A9,2)+5)</f>
      </c>
    </row>
    <row r="10">
      <c r="A10" s="220" t="n"/>
      <c r="B10" s="218" t="n"/>
      <c r="C10" s="218" t="n"/>
      <c r="D10" s="218" t="n"/>
      <c r="E10" s="218" t="n"/>
      <c r="F10" s="328" t="n"/>
      <c r="G10" s="218" t="n"/>
      <c r="H10" s="218" t="n"/>
      <c r="I10" s="218" t="n"/>
      <c r="J10" s="218" t="n"/>
      <c r="K10" s="218" t="n"/>
      <c r="L10" s="218" t="n"/>
      <c r="M10" s="218" t="n"/>
      <c r="N10" s="218" t="n"/>
      <c r="O10" s="222">
        <f>IF($A10="","",IF(IF($B10="343",NETWORKDAYS($A10,$A10,FERIADOS_343),IF($B10="281",NETWORKDAYS($A10,$A10,FERIADOS_281),NETWORKDAYS($A10,$A10,FERIADOS_342)))=1,"SIM","NÃO"))</f>
      </c>
      <c r="P10" s="232">
        <f>IF($A10="","",$A10-WEEKDAY($A10,2)+5)</f>
      </c>
    </row>
    <row r="11">
      <c r="A11" s="220" t="n"/>
      <c r="B11" s="218" t="n"/>
      <c r="C11" s="218" t="n"/>
      <c r="D11" s="218" t="n"/>
      <c r="E11" s="218" t="n"/>
      <c r="F11" s="328" t="n"/>
      <c r="G11" s="218" t="n"/>
      <c r="H11" s="218" t="n"/>
      <c r="I11" s="218" t="n"/>
      <c r="J11" s="218" t="n"/>
      <c r="K11" s="218" t="n"/>
      <c r="L11" s="218" t="n"/>
      <c r="M11" s="218" t="n"/>
      <c r="N11" s="218" t="n"/>
      <c r="O11" s="222">
        <f>IF($A11="","",IF(IF($B11="343",NETWORKDAYS($A11,$A11,FERIADOS_343),IF($B11="281",NETWORKDAYS($A11,$A11,FERIADOS_281),NETWORKDAYS($A11,$A11,FERIADOS_342)))=1,"SIM","NÃO"))</f>
      </c>
      <c r="P11" s="232">
        <f>IF($A11="","",$A11-WEEKDAY($A11,2)+5)</f>
      </c>
    </row>
    <row r="12">
      <c r="A12" s="220" t="n"/>
      <c r="B12" s="218" t="n"/>
      <c r="C12" s="218" t="n"/>
      <c r="D12" s="218" t="n"/>
      <c r="E12" s="218" t="n"/>
      <c r="F12" s="328" t="n"/>
      <c r="G12" s="218" t="n"/>
      <c r="H12" s="218" t="n"/>
      <c r="I12" s="218" t="n"/>
      <c r="J12" s="218" t="n"/>
      <c r="K12" s="218" t="n"/>
      <c r="L12" s="218" t="n"/>
      <c r="M12" s="218" t="n"/>
      <c r="N12" s="218" t="n"/>
      <c r="O12" s="222">
        <f>IF($A12="","",IF(IF($B12="343",NETWORKDAYS($A12,$A12,FERIADOS_343),IF($B12="281",NETWORKDAYS($A12,$A12,FERIADOS_281),NETWORKDAYS($A12,$A12,FERIADOS_342)))=1,"SIM","NÃO"))</f>
      </c>
      <c r="P12" s="232">
        <f>IF($A12="","",$A12-WEEKDAY($A12,2)+5)</f>
      </c>
    </row>
    <row r="13">
      <c r="A13" s="220" t="n"/>
      <c r="B13" s="218" t="n"/>
      <c r="C13" s="218" t="n"/>
      <c r="D13" s="218" t="n"/>
      <c r="E13" s="218" t="n"/>
      <c r="F13" s="328" t="n"/>
      <c r="G13" s="218" t="n"/>
      <c r="H13" s="218" t="n"/>
      <c r="I13" s="218" t="n"/>
      <c r="J13" s="218" t="n"/>
      <c r="K13" s="218" t="n"/>
      <c r="L13" s="218" t="n"/>
      <c r="M13" s="218" t="n"/>
      <c r="N13" s="218" t="n"/>
      <c r="O13" s="222">
        <f>IF($A13="","",IF(IF($B13="343",NETWORKDAYS($A13,$A13,FERIADOS_343),IF($B13="281",NETWORKDAYS($A13,$A13,FERIADOS_281),NETWORKDAYS($A13,$A13,FERIADOS_342)))=1,"SIM","NÃO"))</f>
      </c>
      <c r="P13" s="232">
        <f>IF($A13="","",$A13-WEEKDAY($A13,2)+5)</f>
      </c>
    </row>
    <row r="14">
      <c r="A14" s="220" t="n"/>
      <c r="B14" s="218" t="n"/>
      <c r="C14" s="218" t="n"/>
      <c r="D14" s="218" t="n"/>
      <c r="E14" s="218" t="n"/>
      <c r="F14" s="328" t="n"/>
      <c r="G14" s="218" t="n"/>
      <c r="H14" s="218" t="n"/>
      <c r="I14" s="218" t="n"/>
      <c r="J14" s="218" t="n"/>
      <c r="K14" s="218" t="n"/>
      <c r="L14" s="218" t="n"/>
      <c r="M14" s="218" t="n"/>
      <c r="N14" s="218" t="n"/>
      <c r="O14" s="222">
        <f>IF($A14="","",IF(IF($B14="343",NETWORKDAYS($A14,$A14,FERIADOS_343),IF($B14="281",NETWORKDAYS($A14,$A14,FERIADOS_281),NETWORKDAYS($A14,$A14,FERIADOS_342)))=1,"SIM","NÃO"))</f>
      </c>
      <c r="P14" s="232">
        <f>IF($A14="","",$A14-WEEKDAY($A14,2)+5)</f>
      </c>
    </row>
    <row r="15">
      <c r="A15" s="220" t="n"/>
      <c r="B15" s="218" t="n"/>
      <c r="C15" s="218" t="n"/>
      <c r="D15" s="218" t="n"/>
      <c r="E15" s="218" t="n"/>
      <c r="F15" s="328" t="n"/>
      <c r="G15" s="218" t="n"/>
      <c r="H15" s="218" t="n"/>
      <c r="I15" s="218" t="n"/>
      <c r="J15" s="218" t="n"/>
      <c r="K15" s="218" t="n"/>
      <c r="L15" s="218" t="n"/>
      <c r="M15" s="218" t="n"/>
      <c r="N15" s="218" t="n"/>
      <c r="O15" s="222">
        <f>IF($A15="","",IF(IF($B15="343",NETWORKDAYS($A15,$A15,FERIADOS_343),IF($B15="281",NETWORKDAYS($A15,$A15,FERIADOS_281),NETWORKDAYS($A15,$A15,FERIADOS_342)))=1,"SIM","NÃO"))</f>
      </c>
      <c r="P15" s="232">
        <f>IF($A15="","",$A15-WEEKDAY($A15,2)+5)</f>
      </c>
    </row>
    <row r="16">
      <c r="A16" s="220" t="n"/>
      <c r="B16" s="218" t="n"/>
      <c r="C16" s="218" t="n"/>
      <c r="D16" s="218" t="n"/>
      <c r="E16" s="218" t="n"/>
      <c r="F16" s="328" t="n"/>
      <c r="G16" s="218" t="n"/>
      <c r="H16" s="218" t="n"/>
      <c r="I16" s="218" t="n"/>
      <c r="J16" s="218" t="n"/>
      <c r="K16" s="218" t="n"/>
      <c r="L16" s="218" t="n"/>
      <c r="M16" s="218" t="n"/>
      <c r="N16" s="218" t="n"/>
      <c r="O16" s="222">
        <f>IF($A16="","",IF(IF($B16="343",NETWORKDAYS($A16,$A16,FERIADOS_343),IF($B16="281",NETWORKDAYS($A16,$A16,FERIADOS_281),NETWORKDAYS($A16,$A16,FERIADOS_342)))=1,"SIM","NÃO"))</f>
      </c>
      <c r="P16" s="232">
        <f>IF($A16="","",$A16-WEEKDAY($A16,2)+5)</f>
      </c>
    </row>
    <row r="17">
      <c r="A17" s="220" t="n"/>
      <c r="B17" s="218" t="n"/>
      <c r="C17" s="218" t="n"/>
      <c r="D17" s="218" t="n"/>
      <c r="E17" s="218" t="n"/>
      <c r="F17" s="328" t="n"/>
      <c r="G17" s="218" t="n"/>
      <c r="H17" s="218" t="n"/>
      <c r="I17" s="218" t="n"/>
      <c r="J17" s="218" t="n"/>
      <c r="K17" s="218" t="n"/>
      <c r="L17" s="218" t="n"/>
      <c r="M17" s="218" t="n"/>
      <c r="N17" s="218" t="n"/>
      <c r="O17" s="222">
        <f>IF($A17="","",IF(IF($B17="343",NETWORKDAYS($A17,$A17,FERIADOS_343),IF($B17="281",NETWORKDAYS($A17,$A17,FERIADOS_281),NETWORKDAYS($A17,$A17,FERIADOS_342)))=1,"SIM","NÃO"))</f>
      </c>
      <c r="P17" s="232">
        <f>IF($A17="","",$A17-WEEKDAY($A17,2)+5)</f>
      </c>
    </row>
    <row r="18">
      <c r="A18" s="220" t="n"/>
      <c r="B18" s="218" t="n"/>
      <c r="C18" s="218" t="n"/>
      <c r="D18" s="218" t="n"/>
      <c r="E18" s="218" t="n"/>
      <c r="F18" s="328" t="n"/>
      <c r="G18" s="218" t="n"/>
      <c r="H18" s="218" t="n"/>
      <c r="I18" s="218" t="n"/>
      <c r="J18" s="218" t="n"/>
      <c r="K18" s="218" t="n"/>
      <c r="L18" s="218" t="n"/>
      <c r="M18" s="218" t="n"/>
      <c r="N18" s="218" t="n"/>
      <c r="O18" s="222">
        <f>IF($A18="","",IF(IF($B18="343",NETWORKDAYS($A18,$A18,FERIADOS_343),IF($B18="281",NETWORKDAYS($A18,$A18,FERIADOS_281),NETWORKDAYS($A18,$A18,FERIADOS_342)))=1,"SIM","NÃO"))</f>
      </c>
      <c r="P18" s="232">
        <f>IF($A18="","",$A18-WEEKDAY($A18,2)+5)</f>
      </c>
    </row>
    <row r="19">
      <c r="A19" s="220" t="n"/>
      <c r="B19" s="218" t="n"/>
      <c r="C19" s="218" t="n"/>
      <c r="D19" s="218" t="n"/>
      <c r="E19" s="218" t="n"/>
      <c r="F19" s="328" t="n"/>
      <c r="G19" s="218" t="n"/>
      <c r="H19" s="218" t="n"/>
      <c r="I19" s="218" t="n"/>
      <c r="J19" s="218" t="n"/>
      <c r="K19" s="218" t="n"/>
      <c r="L19" s="218" t="n"/>
      <c r="M19" s="218" t="n"/>
      <c r="N19" s="218" t="n"/>
      <c r="O19" s="222">
        <f>IF($A19="","",IF(IF($B19="343",NETWORKDAYS($A19,$A19,FERIADOS_343),IF($B19="281",NETWORKDAYS($A19,$A19,FERIADOS_281),NETWORKDAYS($A19,$A19,FERIADOS_342)))=1,"SIM","NÃO"))</f>
      </c>
      <c r="P19" s="232">
        <f>IF($A19="","",$A19-WEEKDAY($A19,2)+5)</f>
      </c>
    </row>
    <row r="20">
      <c r="A20" s="220" t="n"/>
      <c r="B20" s="218" t="n"/>
      <c r="C20" s="218" t="n"/>
      <c r="D20" s="218" t="n"/>
      <c r="E20" s="218" t="n"/>
      <c r="F20" s="328" t="n"/>
      <c r="G20" s="218" t="n"/>
      <c r="H20" s="218" t="n"/>
      <c r="I20" s="218" t="n"/>
      <c r="J20" s="218" t="n"/>
      <c r="K20" s="218" t="n"/>
      <c r="L20" s="218" t="n"/>
      <c r="M20" s="218" t="n"/>
      <c r="N20" s="218" t="n"/>
      <c r="O20" s="222">
        <f>IF($A20="","",IF(IF($B20="343",NETWORKDAYS($A20,$A20,FERIADOS_343),IF($B20="281",NETWORKDAYS($A20,$A20,FERIADOS_281),NETWORKDAYS($A20,$A20,FERIADOS_342)))=1,"SIM","NÃO"))</f>
      </c>
      <c r="P20" s="232">
        <f>IF($A20="","",$A20-WEEKDAY($A20,2)+5)</f>
      </c>
    </row>
    <row r="21">
      <c r="A21" s="220" t="n"/>
      <c r="B21" s="218" t="n"/>
      <c r="C21" s="218" t="n"/>
      <c r="D21" s="218" t="n"/>
      <c r="E21" s="218" t="n"/>
      <c r="F21" s="328" t="n"/>
      <c r="G21" s="218" t="n"/>
      <c r="H21" s="218" t="n"/>
      <c r="I21" s="218" t="n"/>
      <c r="J21" s="218" t="n"/>
      <c r="K21" s="218" t="n"/>
      <c r="L21" s="218" t="n"/>
      <c r="M21" s="218" t="n"/>
      <c r="N21" s="218" t="n"/>
      <c r="O21" s="222">
        <f>IF($A21="","",IF(IF($B21="343",NETWORKDAYS($A21,$A21,FERIADOS_343),IF($B21="281",NETWORKDAYS($A21,$A21,FERIADOS_281),NETWORKDAYS($A21,$A21,FERIADOS_342)))=1,"SIM","NÃO"))</f>
      </c>
      <c r="P21" s="232">
        <f>IF($A21="","",$A21-WEEKDAY($A21,2)+5)</f>
      </c>
    </row>
    <row r="22">
      <c r="A22" s="220" t="n"/>
      <c r="B22" s="218" t="n"/>
      <c r="C22" s="218" t="n"/>
      <c r="D22" s="218" t="n"/>
      <c r="E22" s="218" t="n"/>
      <c r="F22" s="328" t="n"/>
      <c r="G22" s="218" t="n"/>
      <c r="H22" s="218" t="n"/>
      <c r="I22" s="218" t="n"/>
      <c r="J22" s="218" t="n"/>
      <c r="K22" s="218" t="n"/>
      <c r="L22" s="218" t="n"/>
      <c r="M22" s="218" t="n"/>
      <c r="N22" s="218" t="n"/>
      <c r="O22" s="222">
        <f>IF($A22="","",IF(IF($B22="343",NETWORKDAYS($A22,$A22,FERIADOS_343),IF($B22="281",NETWORKDAYS($A22,$A22,FERIADOS_281),NETWORKDAYS($A22,$A22,FERIADOS_342)))=1,"SIM","NÃO"))</f>
      </c>
      <c r="P22" s="232">
        <f>IF($A22="","",$A22-WEEKDAY($A22,2)+5)</f>
      </c>
    </row>
    <row r="23">
      <c r="A23" s="220" t="n"/>
      <c r="B23" s="218" t="n"/>
      <c r="C23" s="218" t="n"/>
      <c r="D23" s="218" t="n"/>
      <c r="E23" s="218" t="n"/>
      <c r="F23" s="328" t="n"/>
      <c r="G23" s="218" t="n"/>
      <c r="H23" s="218" t="n"/>
      <c r="I23" s="218" t="n"/>
      <c r="J23" s="218" t="n"/>
      <c r="K23" s="218" t="n"/>
      <c r="L23" s="218" t="n"/>
      <c r="M23" s="218" t="n"/>
      <c r="N23" s="218" t="n"/>
      <c r="O23" s="222">
        <f>IF($A23="","",IF(IF($B23="343",NETWORKDAYS($A23,$A23,FERIADOS_343),IF($B23="281",NETWORKDAYS($A23,$A23,FERIADOS_281),NETWORKDAYS($A23,$A23,FERIADOS_342)))=1,"SIM","NÃO"))</f>
      </c>
      <c r="P23" s="232">
        <f>IF($A23="","",$A23-WEEKDAY($A23,2)+5)</f>
      </c>
    </row>
    <row r="24">
      <c r="A24" s="220" t="n"/>
      <c r="B24" s="218" t="n"/>
      <c r="C24" s="218" t="n"/>
      <c r="D24" s="218" t="n"/>
      <c r="E24" s="218" t="n"/>
      <c r="F24" s="328" t="n"/>
      <c r="G24" s="218" t="n"/>
      <c r="H24" s="218" t="n"/>
      <c r="I24" s="218" t="n"/>
      <c r="J24" s="218" t="n"/>
      <c r="K24" s="218" t="n"/>
      <c r="L24" s="218" t="n"/>
      <c r="M24" s="218" t="n"/>
      <c r="N24" s="218" t="n"/>
      <c r="O24" s="222">
        <f>IF($A24="","",IF(IF($B24="343",NETWORKDAYS($A24,$A24,FERIADOS_343),IF($B24="281",NETWORKDAYS($A24,$A24,FERIADOS_281),NETWORKDAYS($A24,$A24,FERIADOS_342)))=1,"SIM","NÃO"))</f>
      </c>
      <c r="P24" s="232">
        <f>IF($A24="","",$A24-WEEKDAY($A24,2)+5)</f>
      </c>
    </row>
    <row r="25">
      <c r="A25" s="220" t="n"/>
      <c r="B25" s="218" t="n"/>
      <c r="C25" s="218" t="n"/>
      <c r="D25" s="218" t="n"/>
      <c r="E25" s="218" t="n"/>
      <c r="F25" s="328" t="n"/>
      <c r="G25" s="218" t="n"/>
      <c r="H25" s="218" t="n"/>
      <c r="I25" s="218" t="n"/>
      <c r="J25" s="218" t="n"/>
      <c r="K25" s="218" t="n"/>
      <c r="L25" s="218" t="n"/>
      <c r="M25" s="218" t="n"/>
      <c r="N25" s="218" t="n"/>
      <c r="O25" s="222">
        <f>IF($A25="","",IF(IF($B25="343",NETWORKDAYS($A25,$A25,FERIADOS_343),IF($B25="281",NETWORKDAYS($A25,$A25,FERIADOS_281),NETWORKDAYS($A25,$A25,FERIADOS_342)))=1,"SIM","NÃO"))</f>
      </c>
      <c r="P25" s="232">
        <f>IF($A25="","",$A25-WEEKDAY($A25,2)+5)</f>
      </c>
    </row>
    <row r="26">
      <c r="A26" s="220" t="n"/>
      <c r="B26" s="218" t="n"/>
      <c r="C26" s="218" t="n"/>
      <c r="D26" s="218" t="n"/>
      <c r="E26" s="218" t="n"/>
      <c r="F26" s="328" t="n"/>
      <c r="G26" s="218" t="n"/>
      <c r="H26" s="218" t="n"/>
      <c r="I26" s="218" t="n"/>
      <c r="J26" s="218" t="n"/>
      <c r="K26" s="218" t="n"/>
      <c r="L26" s="218" t="n"/>
      <c r="M26" s="218" t="n"/>
      <c r="N26" s="218" t="n"/>
      <c r="O26" s="222">
        <f>IF($A26="","",IF(IF($B26="343",NETWORKDAYS($A26,$A26,FERIADOS_343),IF($B26="281",NETWORKDAYS($A26,$A26,FERIADOS_281),NETWORKDAYS($A26,$A26,FERIADOS_342)))=1,"SIM","NÃO"))</f>
      </c>
      <c r="P26" s="232">
        <f>IF($A26="","",$A26-WEEKDAY($A26,2)+5)</f>
      </c>
    </row>
    <row r="27">
      <c r="A27" s="220" t="n"/>
      <c r="B27" s="218" t="n"/>
      <c r="C27" s="218" t="n"/>
      <c r="D27" s="218" t="n"/>
      <c r="E27" s="218" t="n"/>
      <c r="F27" s="328" t="n"/>
      <c r="G27" s="218" t="n"/>
      <c r="H27" s="218" t="n"/>
      <c r="I27" s="218" t="n"/>
      <c r="J27" s="218" t="n"/>
      <c r="K27" s="218" t="n"/>
      <c r="L27" s="218" t="n"/>
      <c r="M27" s="218" t="n"/>
      <c r="N27" s="218" t="n"/>
      <c r="O27" s="222">
        <f>IF($A27="","",IF(IF($B27="343",NETWORKDAYS($A27,$A27,FERIADOS_343),IF($B27="281",NETWORKDAYS($A27,$A27,FERIADOS_281),NETWORKDAYS($A27,$A27,FERIADOS_342)))=1,"SIM","NÃO"))</f>
      </c>
      <c r="P27" s="232">
        <f>IF($A27="","",$A27-WEEKDAY($A27,2)+5)</f>
      </c>
    </row>
    <row r="28">
      <c r="A28" s="220" t="n"/>
      <c r="B28" s="218" t="n"/>
      <c r="C28" s="218" t="n"/>
      <c r="D28" s="218" t="n"/>
      <c r="E28" s="218" t="n"/>
      <c r="F28" s="328" t="n"/>
      <c r="G28" s="218" t="n"/>
      <c r="H28" s="218" t="n"/>
      <c r="I28" s="218" t="n"/>
      <c r="J28" s="218" t="n"/>
      <c r="K28" s="218" t="n"/>
      <c r="L28" s="218" t="n"/>
      <c r="M28" s="218" t="n"/>
      <c r="N28" s="218" t="n"/>
      <c r="O28" s="222">
        <f>IF($A28="","",IF(IF($B28="343",NETWORKDAYS($A28,$A28,FERIADOS_343),IF($B28="281",NETWORKDAYS($A28,$A28,FERIADOS_281),NETWORKDAYS($A28,$A28,FERIADOS_342)))=1,"SIM","NÃO"))</f>
      </c>
      <c r="P28" s="232">
        <f>IF($A28="","",$A28-WEEKDAY($A28,2)+5)</f>
      </c>
    </row>
    <row r="29">
      <c r="A29" s="220" t="n"/>
      <c r="B29" s="218" t="n"/>
      <c r="C29" s="218" t="n"/>
      <c r="D29" s="218" t="n"/>
      <c r="E29" s="218" t="n"/>
      <c r="F29" s="328" t="n"/>
      <c r="G29" s="218" t="n"/>
      <c r="H29" s="218" t="n"/>
      <c r="I29" s="218" t="n"/>
      <c r="J29" s="218" t="n"/>
      <c r="K29" s="218" t="n"/>
      <c r="L29" s="218" t="n"/>
      <c r="M29" s="218" t="n"/>
      <c r="N29" s="218" t="n"/>
      <c r="O29" s="222">
        <f>IF($A29="","",IF(IF($B29="343",NETWORKDAYS($A29,$A29,FERIADOS_343),IF($B29="281",NETWORKDAYS($A29,$A29,FERIADOS_281),NETWORKDAYS($A29,$A29,FERIADOS_342)))=1,"SIM","NÃO"))</f>
      </c>
      <c r="P29" s="232">
        <f>IF($A29="","",$A29-WEEKDAY($A29,2)+5)</f>
      </c>
    </row>
    <row r="30">
      <c r="A30" s="220" t="n"/>
      <c r="B30" s="218" t="n"/>
      <c r="C30" s="218" t="n"/>
      <c r="D30" s="218" t="n"/>
      <c r="E30" s="218" t="n"/>
      <c r="F30" s="328" t="n"/>
      <c r="G30" s="218" t="n"/>
      <c r="H30" s="218" t="n"/>
      <c r="I30" s="218" t="n"/>
      <c r="J30" s="218" t="n"/>
      <c r="K30" s="218" t="n"/>
      <c r="L30" s="218" t="n"/>
      <c r="M30" s="218" t="n"/>
      <c r="N30" s="218" t="n"/>
      <c r="O30" s="222">
        <f>IF($A30="","",IF(IF($B30="343",NETWORKDAYS($A30,$A30,FERIADOS_343),IF($B30="281",NETWORKDAYS($A30,$A30,FERIADOS_281),NETWORKDAYS($A30,$A30,FERIADOS_342)))=1,"SIM","NÃO"))</f>
      </c>
      <c r="P30" s="232">
        <f>IF($A30="","",$A30-WEEKDAY($A30,2)+5)</f>
      </c>
    </row>
    <row r="31">
      <c r="A31" s="220" t="n"/>
      <c r="B31" s="218" t="n"/>
      <c r="C31" s="218" t="n"/>
      <c r="D31" s="218" t="n"/>
      <c r="E31" s="218" t="n"/>
      <c r="F31" s="328" t="n"/>
      <c r="G31" s="218" t="n"/>
      <c r="H31" s="218" t="n"/>
      <c r="I31" s="218" t="n"/>
      <c r="J31" s="218" t="n"/>
      <c r="K31" s="218" t="n"/>
      <c r="L31" s="218" t="n"/>
      <c r="M31" s="218" t="n"/>
      <c r="N31" s="218" t="n"/>
      <c r="O31" s="222">
        <f>IF($A31="","",IF(IF($B31="343",NETWORKDAYS($A31,$A31,FERIADOS_343),IF($B31="281",NETWORKDAYS($A31,$A31,FERIADOS_281),NETWORKDAYS($A31,$A31,FERIADOS_342)))=1,"SIM","NÃO"))</f>
      </c>
      <c r="P31" s="232">
        <f>IF($A31="","",$A31-WEEKDAY($A31,2)+5)</f>
      </c>
    </row>
    <row r="32">
      <c r="A32" s="220" t="n"/>
      <c r="B32" s="218" t="n"/>
      <c r="C32" s="218" t="n"/>
      <c r="D32" s="218" t="n"/>
      <c r="E32" s="218" t="n"/>
      <c r="F32" s="328" t="n"/>
      <c r="G32" s="218" t="n"/>
      <c r="H32" s="218" t="n"/>
      <c r="I32" s="218" t="n"/>
      <c r="J32" s="218" t="n"/>
      <c r="K32" s="218" t="n"/>
      <c r="L32" s="218" t="n"/>
      <c r="M32" s="218" t="n"/>
      <c r="N32" s="218" t="n"/>
      <c r="O32" s="222">
        <f>IF($A32="","",IF(IF($B32="343",NETWORKDAYS($A32,$A32,FERIADOS_343),IF($B32="281",NETWORKDAYS($A32,$A32,FERIADOS_281),NETWORKDAYS($A32,$A32,FERIADOS_342)))=1,"SIM","NÃO"))</f>
      </c>
      <c r="P32" s="232">
        <f>IF($A32="","",$A32-WEEKDAY($A32,2)+5)</f>
      </c>
    </row>
    <row r="33">
      <c r="A33" s="220" t="n"/>
      <c r="B33" s="218" t="n"/>
      <c r="C33" s="218" t="n"/>
      <c r="D33" s="218" t="n"/>
      <c r="E33" s="218" t="n"/>
      <c r="F33" s="328" t="n"/>
      <c r="G33" s="218" t="n"/>
      <c r="H33" s="218" t="n"/>
      <c r="I33" s="218" t="n"/>
      <c r="J33" s="218" t="n"/>
      <c r="K33" s="218" t="n"/>
      <c r="L33" s="218" t="n"/>
      <c r="M33" s="218" t="n"/>
      <c r="N33" s="218" t="n"/>
      <c r="O33" s="222">
        <f>IF($A33="","",IF(IF($B33="343",NETWORKDAYS($A33,$A33,FERIADOS_343),IF($B33="281",NETWORKDAYS($A33,$A33,FERIADOS_281),NETWORKDAYS($A33,$A33,FERIADOS_342)))=1,"SIM","NÃO"))</f>
      </c>
      <c r="P33" s="232">
        <f>IF($A33="","",$A33-WEEKDAY($A33,2)+5)</f>
      </c>
    </row>
    <row r="34">
      <c r="A34" s="220" t="n"/>
      <c r="B34" s="218" t="n"/>
      <c r="C34" s="218" t="n"/>
      <c r="D34" s="218" t="n"/>
      <c r="E34" s="218" t="n"/>
      <c r="F34" s="328" t="n"/>
      <c r="G34" s="218" t="n"/>
      <c r="H34" s="218" t="n"/>
      <c r="I34" s="218" t="n"/>
      <c r="J34" s="218" t="n"/>
      <c r="K34" s="218" t="n"/>
      <c r="L34" s="218" t="n"/>
      <c r="M34" s="218" t="n"/>
      <c r="N34" s="218" t="n"/>
      <c r="O34" s="222">
        <f>IF($A34="","",IF(IF($B34="343",NETWORKDAYS($A34,$A34,FERIADOS_343),IF($B34="281",NETWORKDAYS($A34,$A34,FERIADOS_281),NETWORKDAYS($A34,$A34,FERIADOS_342)))=1,"SIM","NÃO"))</f>
      </c>
      <c r="P34" s="232">
        <f>IF($A34="","",$A34-WEEKDAY($A34,2)+5)</f>
      </c>
    </row>
    <row r="35">
      <c r="A35" s="220" t="n"/>
      <c r="B35" s="218" t="n"/>
      <c r="C35" s="218" t="n"/>
      <c r="D35" s="218" t="n"/>
      <c r="E35" s="218" t="n"/>
      <c r="F35" s="328" t="n"/>
      <c r="G35" s="218" t="n"/>
      <c r="H35" s="218" t="n"/>
      <c r="I35" s="218" t="n"/>
      <c r="J35" s="218" t="n"/>
      <c r="K35" s="218" t="n"/>
      <c r="L35" s="218" t="n"/>
      <c r="M35" s="218" t="n"/>
      <c r="N35" s="218" t="n"/>
      <c r="O35" s="222">
        <f>IF($A35="","",IF(IF($B35="343",NETWORKDAYS($A35,$A35,FERIADOS_343),IF($B35="281",NETWORKDAYS($A35,$A35,FERIADOS_281),NETWORKDAYS($A35,$A35,FERIADOS_342)))=1,"SIM","NÃO"))</f>
      </c>
      <c r="P35" s="232">
        <f>IF($A35="","",$A35-WEEKDAY($A35,2)+5)</f>
      </c>
    </row>
    <row r="36">
      <c r="A36" s="220" t="n"/>
      <c r="B36" s="218" t="n"/>
      <c r="C36" s="218" t="n"/>
      <c r="D36" s="218" t="n"/>
      <c r="E36" s="218" t="n"/>
      <c r="F36" s="328" t="n"/>
      <c r="G36" s="218" t="n"/>
      <c r="H36" s="218" t="n"/>
      <c r="I36" s="218" t="n"/>
      <c r="J36" s="218" t="n"/>
      <c r="K36" s="218" t="n"/>
      <c r="L36" s="218" t="n"/>
      <c r="M36" s="218" t="n"/>
      <c r="N36" s="218" t="n"/>
      <c r="O36" s="222">
        <f>IF($A36="","",IF(IF($B36="343",NETWORKDAYS($A36,$A36,FERIADOS_343),IF($B36="281",NETWORKDAYS($A36,$A36,FERIADOS_281),NETWORKDAYS($A36,$A36,FERIADOS_342)))=1,"SIM","NÃO"))</f>
      </c>
      <c r="P36" s="232">
        <f>IF($A36="","",$A36-WEEKDAY($A36,2)+5)</f>
      </c>
    </row>
    <row r="37">
      <c r="A37" s="220" t="n"/>
      <c r="B37" s="218" t="n"/>
      <c r="C37" s="218" t="n"/>
      <c r="D37" s="218" t="n"/>
      <c r="E37" s="218" t="n"/>
      <c r="F37" s="328" t="n"/>
      <c r="G37" s="218" t="n"/>
      <c r="H37" s="218" t="n"/>
      <c r="I37" s="218" t="n"/>
      <c r="J37" s="218" t="n"/>
      <c r="K37" s="218" t="n"/>
      <c r="L37" s="218" t="n"/>
      <c r="M37" s="218" t="n"/>
      <c r="N37" s="218" t="n"/>
      <c r="O37" s="222">
        <f>IF($A37="","",IF(IF($B37="343",NETWORKDAYS($A37,$A37,FERIADOS_343),IF($B37="281",NETWORKDAYS($A37,$A37,FERIADOS_281),NETWORKDAYS($A37,$A37,FERIADOS_342)))=1,"SIM","NÃO"))</f>
      </c>
      <c r="P37" s="232">
        <f>IF($A37="","",$A37-WEEKDAY($A37,2)+5)</f>
      </c>
    </row>
    <row r="38">
      <c r="A38" s="220" t="n"/>
      <c r="B38" s="218" t="n"/>
      <c r="C38" s="218" t="n"/>
      <c r="D38" s="218" t="n"/>
      <c r="E38" s="218" t="n"/>
      <c r="F38" s="328" t="n"/>
      <c r="G38" s="218" t="n"/>
      <c r="H38" s="218" t="n"/>
      <c r="I38" s="218" t="n"/>
      <c r="J38" s="218" t="n"/>
      <c r="K38" s="218" t="n"/>
      <c r="L38" s="218" t="n"/>
      <c r="M38" s="218" t="n"/>
      <c r="N38" s="218" t="n"/>
      <c r="O38" s="222">
        <f>IF($A38="","",IF(IF($B38="343",NETWORKDAYS($A38,$A38,FERIADOS_343),IF($B38="281",NETWORKDAYS($A38,$A38,FERIADOS_281),NETWORKDAYS($A38,$A38,FERIADOS_342)))=1,"SIM","NÃO"))</f>
      </c>
      <c r="P38" s="232">
        <f>IF($A38="","",$A38-WEEKDAY($A38,2)+5)</f>
      </c>
    </row>
    <row r="39">
      <c r="A39" s="220" t="n"/>
      <c r="B39" s="218" t="n"/>
      <c r="C39" s="218" t="n"/>
      <c r="D39" s="218" t="n"/>
      <c r="E39" s="218" t="n"/>
      <c r="F39" s="328" t="n"/>
      <c r="G39" s="218" t="n"/>
      <c r="H39" s="218" t="n"/>
      <c r="I39" s="218" t="n"/>
      <c r="J39" s="218" t="n"/>
      <c r="K39" s="218" t="n"/>
      <c r="L39" s="218" t="n"/>
      <c r="M39" s="218" t="n"/>
      <c r="N39" s="218" t="n"/>
      <c r="O39" s="222">
        <f>IF($A39="","",IF(IF($B39="343",NETWORKDAYS($A39,$A39,FERIADOS_343),IF($B39="281",NETWORKDAYS($A39,$A39,FERIADOS_281),NETWORKDAYS($A39,$A39,FERIADOS_342)))=1,"SIM","NÃO"))</f>
      </c>
      <c r="P39" s="232">
        <f>IF($A39="","",$A39-WEEKDAY($A39,2)+5)</f>
      </c>
    </row>
    <row r="40">
      <c r="A40" s="220" t="n"/>
      <c r="B40" s="218" t="n"/>
      <c r="C40" s="218" t="n"/>
      <c r="D40" s="218" t="n"/>
      <c r="E40" s="218" t="n"/>
      <c r="F40" s="328" t="n"/>
      <c r="G40" s="218" t="n"/>
      <c r="H40" s="218" t="n"/>
      <c r="I40" s="218" t="n"/>
      <c r="J40" s="218" t="n"/>
      <c r="K40" s="218" t="n"/>
      <c r="L40" s="218" t="n"/>
      <c r="M40" s="218" t="n"/>
      <c r="N40" s="218" t="n"/>
      <c r="O40" s="222">
        <f>IF($A40="","",IF(IF($B40="343",NETWORKDAYS($A40,$A40,FERIADOS_343),IF($B40="281",NETWORKDAYS($A40,$A40,FERIADOS_281),NETWORKDAYS($A40,$A40,FERIADOS_342)))=1,"SIM","NÃO"))</f>
      </c>
      <c r="P40" s="232">
        <f>IF($A40="","",$A40-WEEKDAY($A40,2)+5)</f>
      </c>
    </row>
    <row r="41">
      <c r="A41" s="220" t="n"/>
      <c r="B41" s="218" t="n"/>
      <c r="C41" s="218" t="n"/>
      <c r="D41" s="218" t="n"/>
      <c r="E41" s="218" t="n"/>
      <c r="F41" s="328" t="n"/>
      <c r="G41" s="218" t="n"/>
      <c r="H41" s="218" t="n"/>
      <c r="I41" s="218" t="n"/>
      <c r="J41" s="218" t="n"/>
      <c r="K41" s="218" t="n"/>
      <c r="L41" s="218" t="n"/>
      <c r="M41" s="218" t="n"/>
      <c r="N41" s="218" t="n"/>
      <c r="O41" s="222">
        <f>IF($A41="","",IF(IF($B41="343",NETWORKDAYS($A41,$A41,FERIADOS_343),IF($B41="281",NETWORKDAYS($A41,$A41,FERIADOS_281),NETWORKDAYS($A41,$A41,FERIADOS_342)))=1,"SIM","NÃO"))</f>
      </c>
      <c r="P41" s="232">
        <f>IF($A41="","",$A41-WEEKDAY($A41,2)+5)</f>
      </c>
    </row>
    <row r="42">
      <c r="A42" s="220" t="n"/>
      <c r="B42" s="218" t="n"/>
      <c r="C42" s="218" t="n"/>
      <c r="D42" s="218" t="n"/>
      <c r="E42" s="218" t="n"/>
      <c r="F42" s="328" t="n"/>
      <c r="G42" s="218" t="n"/>
      <c r="H42" s="218" t="n"/>
      <c r="I42" s="218" t="n"/>
      <c r="J42" s="218" t="n"/>
      <c r="K42" s="218" t="n"/>
      <c r="L42" s="218" t="n"/>
      <c r="M42" s="218" t="n"/>
      <c r="N42" s="218" t="n"/>
      <c r="O42" s="222">
        <f>IF($A42="","",IF(IF($B42="343",NETWORKDAYS($A42,$A42,FERIADOS_343),IF($B42="281",NETWORKDAYS($A42,$A42,FERIADOS_281),NETWORKDAYS($A42,$A42,FERIADOS_342)))=1,"SIM","NÃO"))</f>
      </c>
      <c r="P42" s="232">
        <f>IF($A42="","",$A42-WEEKDAY($A42,2)+5)</f>
      </c>
    </row>
    <row r="43">
      <c r="A43" s="220" t="n"/>
      <c r="B43" s="218" t="n"/>
      <c r="C43" s="218" t="n"/>
      <c r="D43" s="218" t="n"/>
      <c r="E43" s="218" t="n"/>
      <c r="F43" s="328" t="n"/>
      <c r="G43" s="218" t="n"/>
      <c r="H43" s="218" t="n"/>
      <c r="I43" s="218" t="n"/>
      <c r="J43" s="218" t="n"/>
      <c r="K43" s="218" t="n"/>
      <c r="L43" s="218" t="n"/>
      <c r="M43" s="218" t="n"/>
      <c r="N43" s="218" t="n"/>
      <c r="O43" s="222">
        <f>IF($A43="","",IF(IF($B43="343",NETWORKDAYS($A43,$A43,FERIADOS_343),IF($B43="281",NETWORKDAYS($A43,$A43,FERIADOS_281),NETWORKDAYS($A43,$A43,FERIADOS_342)))=1,"SIM","NÃO"))</f>
      </c>
      <c r="P43" s="232">
        <f>IF($A43="","",$A43-WEEKDAY($A43,2)+5)</f>
      </c>
    </row>
    <row r="44">
      <c r="A44" s="220" t="n"/>
      <c r="B44" s="218" t="n"/>
      <c r="C44" s="218" t="n"/>
      <c r="D44" s="218" t="n"/>
      <c r="E44" s="218" t="n"/>
      <c r="F44" s="328" t="n"/>
      <c r="G44" s="218" t="n"/>
      <c r="H44" s="218" t="n"/>
      <c r="I44" s="218" t="n"/>
      <c r="J44" s="218" t="n"/>
      <c r="K44" s="218" t="n"/>
      <c r="L44" s="218" t="n"/>
      <c r="M44" s="218" t="n"/>
      <c r="N44" s="218" t="n"/>
      <c r="O44" s="222">
        <f>IF($A44="","",IF(IF($B44="343",NETWORKDAYS($A44,$A44,FERIADOS_343),IF($B44="281",NETWORKDAYS($A44,$A44,FERIADOS_281),NETWORKDAYS($A44,$A44,FERIADOS_342)))=1,"SIM","NÃO"))</f>
      </c>
      <c r="P44" s="232">
        <f>IF($A44="","",$A44-WEEKDAY($A44,2)+5)</f>
      </c>
    </row>
    <row r="45">
      <c r="A45" s="220" t="n"/>
      <c r="B45" s="218" t="n"/>
      <c r="C45" s="218" t="n"/>
      <c r="D45" s="218" t="n"/>
      <c r="E45" s="218" t="n"/>
      <c r="F45" s="328" t="n"/>
      <c r="G45" s="218" t="n"/>
      <c r="H45" s="218" t="n"/>
      <c r="I45" s="218" t="n"/>
      <c r="J45" s="218" t="n"/>
      <c r="K45" s="218" t="n"/>
      <c r="L45" s="218" t="n"/>
      <c r="M45" s="218" t="n"/>
      <c r="N45" s="218" t="n"/>
      <c r="O45" s="222">
        <f>IF($A45="","",IF(IF($B45="343",NETWORKDAYS($A45,$A45,FERIADOS_343),IF($B45="281",NETWORKDAYS($A45,$A45,FERIADOS_281),NETWORKDAYS($A45,$A45,FERIADOS_342)))=1,"SIM","NÃO"))</f>
      </c>
      <c r="P45" s="232">
        <f>IF($A45="","",$A45-WEEKDAY($A45,2)+5)</f>
      </c>
    </row>
    <row r="46">
      <c r="A46" s="220" t="n"/>
      <c r="B46" s="218" t="n"/>
      <c r="C46" s="218" t="n"/>
      <c r="D46" s="218" t="n"/>
      <c r="E46" s="218" t="n"/>
      <c r="F46" s="328" t="n"/>
      <c r="G46" s="218" t="n"/>
      <c r="H46" s="218" t="n"/>
      <c r="I46" s="218" t="n"/>
      <c r="J46" s="218" t="n"/>
      <c r="K46" s="218" t="n"/>
      <c r="L46" s="218" t="n"/>
      <c r="M46" s="218" t="n"/>
      <c r="N46" s="218" t="n"/>
      <c r="O46" s="222">
        <f>IF($A46="","",IF(IF($B46="343",NETWORKDAYS($A46,$A46,FERIADOS_343),IF($B46="281",NETWORKDAYS($A46,$A46,FERIADOS_281),NETWORKDAYS($A46,$A46,FERIADOS_342)))=1,"SIM","NÃO"))</f>
      </c>
      <c r="P46" s="232">
        <f>IF($A46="","",$A46-WEEKDAY($A46,2)+5)</f>
      </c>
    </row>
    <row r="47">
      <c r="A47" s="220" t="n"/>
      <c r="B47" s="218" t="n"/>
      <c r="C47" s="218" t="n"/>
      <c r="D47" s="218" t="n"/>
      <c r="E47" s="218" t="n"/>
      <c r="F47" s="328" t="n"/>
      <c r="G47" s="218" t="n"/>
      <c r="H47" s="218" t="n"/>
      <c r="I47" s="218" t="n"/>
      <c r="J47" s="218" t="n"/>
      <c r="K47" s="218" t="n"/>
      <c r="L47" s="218" t="n"/>
      <c r="M47" s="218" t="n"/>
      <c r="N47" s="218" t="n"/>
      <c r="O47" s="222">
        <f>IF($A47="","",IF(IF($B47="343",NETWORKDAYS($A47,$A47,FERIADOS_343),IF($B47="281",NETWORKDAYS($A47,$A47,FERIADOS_281),NETWORKDAYS($A47,$A47,FERIADOS_342)))=1,"SIM","NÃO"))</f>
      </c>
      <c r="P47" s="232">
        <f>IF($A47="","",$A47-WEEKDAY($A47,2)+5)</f>
      </c>
    </row>
    <row r="48">
      <c r="A48" s="220" t="n"/>
      <c r="B48" s="218" t="n"/>
      <c r="C48" s="218" t="n"/>
      <c r="D48" s="218" t="n"/>
      <c r="E48" s="218" t="n"/>
      <c r="F48" s="328" t="n"/>
      <c r="G48" s="218" t="n"/>
      <c r="H48" s="218" t="n"/>
      <c r="I48" s="218" t="n"/>
      <c r="J48" s="218" t="n"/>
      <c r="K48" s="218" t="n"/>
      <c r="L48" s="218" t="n"/>
      <c r="M48" s="218" t="n"/>
      <c r="N48" s="218" t="n"/>
      <c r="O48" s="222">
        <f>IF($A48="","",IF(IF($B48="343",NETWORKDAYS($A48,$A48,FERIADOS_343),IF($B48="281",NETWORKDAYS($A48,$A48,FERIADOS_281),NETWORKDAYS($A48,$A48,FERIADOS_342)))=1,"SIM","NÃO"))</f>
      </c>
      <c r="P48" s="232">
        <f>IF($A48="","",$A48-WEEKDAY($A48,2)+5)</f>
      </c>
    </row>
    <row r="49">
      <c r="A49" s="220" t="n"/>
      <c r="B49" s="218" t="n"/>
      <c r="C49" s="218" t="n"/>
      <c r="D49" s="218" t="n"/>
      <c r="E49" s="218" t="n"/>
      <c r="F49" s="328" t="n"/>
      <c r="G49" s="218" t="n"/>
      <c r="H49" s="218" t="n"/>
      <c r="I49" s="218" t="n"/>
      <c r="J49" s="218" t="n"/>
      <c r="K49" s="218" t="n"/>
      <c r="L49" s="218" t="n"/>
      <c r="M49" s="218" t="n"/>
      <c r="N49" s="218" t="n"/>
      <c r="O49" s="222">
        <f>IF($A49="","",IF(IF($B49="343",NETWORKDAYS($A49,$A49,FERIADOS_343),IF($B49="281",NETWORKDAYS($A49,$A49,FERIADOS_281),NETWORKDAYS($A49,$A49,FERIADOS_342)))=1,"SIM","NÃO"))</f>
      </c>
      <c r="P49" s="232">
        <f>IF($A49="","",$A49-WEEKDAY($A49,2)+5)</f>
      </c>
    </row>
    <row r="50">
      <c r="A50" s="220" t="n"/>
      <c r="B50" s="218" t="n"/>
      <c r="C50" s="218" t="n"/>
      <c r="D50" s="218" t="n"/>
      <c r="E50" s="218" t="n"/>
      <c r="F50" s="328" t="n"/>
      <c r="G50" s="218" t="n"/>
      <c r="H50" s="218" t="n"/>
      <c r="I50" s="218" t="n"/>
      <c r="J50" s="218" t="n"/>
      <c r="K50" s="218" t="n"/>
      <c r="L50" s="218" t="n"/>
      <c r="M50" s="218" t="n"/>
      <c r="N50" s="218" t="n"/>
      <c r="O50" s="222">
        <f>IF($A50="","",IF(IF($B50="343",NETWORKDAYS($A50,$A50,FERIADOS_343),IF($B50="281",NETWORKDAYS($A50,$A50,FERIADOS_281),NETWORKDAYS($A50,$A50,FERIADOS_342)))=1,"SIM","NÃO"))</f>
      </c>
      <c r="P50" s="232">
        <f>IF($A50="","",$A50-WEEKDAY($A50,2)+5)</f>
      </c>
    </row>
    <row r="51">
      <c r="A51" s="220" t="n"/>
      <c r="B51" s="218" t="n"/>
      <c r="C51" s="218" t="n"/>
      <c r="D51" s="218" t="n"/>
      <c r="E51" s="218" t="n"/>
      <c r="F51" s="328" t="n"/>
      <c r="G51" s="218" t="n"/>
      <c r="H51" s="218" t="n"/>
      <c r="I51" s="218" t="n"/>
      <c r="J51" s="218" t="n"/>
      <c r="K51" s="218" t="n"/>
      <c r="L51" s="218" t="n"/>
      <c r="M51" s="218" t="n"/>
      <c r="N51" s="218" t="n"/>
      <c r="O51" s="222">
        <f>IF($A51="","",IF(IF($B51="343",NETWORKDAYS($A51,$A51,FERIADOS_343),IF($B51="281",NETWORKDAYS($A51,$A51,FERIADOS_281),NETWORKDAYS($A51,$A51,FERIADOS_342)))=1,"SIM","NÃO"))</f>
      </c>
      <c r="P51" s="232">
        <f>IF($A51="","",$A51-WEEKDAY($A51,2)+5)</f>
      </c>
    </row>
    <row r="52">
      <c r="A52" s="220" t="n"/>
      <c r="B52" s="218" t="n"/>
      <c r="C52" s="218" t="n"/>
      <c r="D52" s="218" t="n"/>
      <c r="E52" s="218" t="n"/>
      <c r="F52" s="328" t="n"/>
      <c r="G52" s="218" t="n"/>
      <c r="H52" s="218" t="n"/>
      <c r="I52" s="218" t="n"/>
      <c r="J52" s="218" t="n"/>
      <c r="K52" s="218" t="n"/>
      <c r="L52" s="218" t="n"/>
      <c r="M52" s="218" t="n"/>
      <c r="N52" s="218" t="n"/>
      <c r="O52" s="222">
        <f>IF($A52="","",IF(IF($B52="343",NETWORKDAYS($A52,$A52,FERIADOS_343),IF($B52="281",NETWORKDAYS($A52,$A52,FERIADOS_281),NETWORKDAYS($A52,$A52,FERIADOS_342)))=1,"SIM","NÃO"))</f>
      </c>
      <c r="P52" s="232">
        <f>IF($A52="","",$A52-WEEKDAY($A52,2)+5)</f>
      </c>
    </row>
    <row r="53">
      <c r="A53" s="220" t="n"/>
      <c r="B53" s="218" t="n"/>
      <c r="C53" s="218" t="n"/>
      <c r="D53" s="218" t="n"/>
      <c r="E53" s="218" t="n"/>
      <c r="F53" s="328" t="n"/>
      <c r="G53" s="218" t="n"/>
      <c r="H53" s="218" t="n"/>
      <c r="I53" s="218" t="n"/>
      <c r="J53" s="218" t="n"/>
      <c r="K53" s="218" t="n"/>
      <c r="L53" s="218" t="n"/>
      <c r="M53" s="218" t="n"/>
      <c r="N53" s="218" t="n"/>
      <c r="O53" s="222">
        <f>IF($A53="","",IF(IF($B53="343",NETWORKDAYS($A53,$A53,FERIADOS_343),IF($B53="281",NETWORKDAYS($A53,$A53,FERIADOS_281),NETWORKDAYS($A53,$A53,FERIADOS_342)))=1,"SIM","NÃO"))</f>
      </c>
      <c r="P53" s="232">
        <f>IF($A53="","",$A53-WEEKDAY($A53,2)+5)</f>
      </c>
    </row>
    <row r="54">
      <c r="A54" s="220" t="n"/>
      <c r="B54" s="218" t="n"/>
      <c r="C54" s="218" t="n"/>
      <c r="D54" s="218" t="n"/>
      <c r="E54" s="218" t="n"/>
      <c r="F54" s="328" t="n"/>
      <c r="G54" s="218" t="n"/>
      <c r="H54" s="218" t="n"/>
      <c r="I54" s="218" t="n"/>
      <c r="J54" s="218" t="n"/>
      <c r="K54" s="218" t="n"/>
      <c r="L54" s="218" t="n"/>
      <c r="M54" s="218" t="n"/>
      <c r="N54" s="218" t="n"/>
      <c r="O54" s="222">
        <f>IF($A54="","",IF(IF($B54="343",NETWORKDAYS($A54,$A54,FERIADOS_343),IF($B54="281",NETWORKDAYS($A54,$A54,FERIADOS_281),NETWORKDAYS($A54,$A54,FERIADOS_342)))=1,"SIM","NÃO"))</f>
      </c>
      <c r="P54" s="232">
        <f>IF($A54="","",$A54-WEEKDAY($A54,2)+5)</f>
      </c>
    </row>
    <row r="55">
      <c r="A55" s="220" t="n"/>
      <c r="B55" s="218" t="n"/>
      <c r="C55" s="218" t="n"/>
      <c r="D55" s="218" t="n"/>
      <c r="E55" s="218" t="n"/>
      <c r="F55" s="328" t="n"/>
      <c r="G55" s="218" t="n"/>
      <c r="H55" s="218" t="n"/>
      <c r="I55" s="218" t="n"/>
      <c r="J55" s="218" t="n"/>
      <c r="K55" s="218" t="n"/>
      <c r="L55" s="218" t="n"/>
      <c r="M55" s="218" t="n"/>
      <c r="N55" s="218" t="n"/>
      <c r="O55" s="222">
        <f>IF($A55="","",IF(IF($B55="343",NETWORKDAYS($A55,$A55,FERIADOS_343),IF($B55="281",NETWORKDAYS($A55,$A55,FERIADOS_281),NETWORKDAYS($A55,$A55,FERIADOS_342)))=1,"SIM","NÃO"))</f>
      </c>
      <c r="P55" s="232">
        <f>IF($A55="","",$A55-WEEKDAY($A55,2)+5)</f>
      </c>
    </row>
    <row r="56">
      <c r="A56" s="220" t="n"/>
      <c r="B56" s="218" t="n"/>
      <c r="C56" s="218" t="n"/>
      <c r="D56" s="218" t="n"/>
      <c r="E56" s="218" t="n"/>
      <c r="F56" s="328" t="n"/>
      <c r="G56" s="218" t="n"/>
      <c r="H56" s="218" t="n"/>
      <c r="I56" s="218" t="n"/>
      <c r="J56" s="218" t="n"/>
      <c r="K56" s="218" t="n"/>
      <c r="L56" s="218" t="n"/>
      <c r="M56" s="218" t="n"/>
      <c r="N56" s="218" t="n"/>
      <c r="O56" s="222">
        <f>IF($A56="","",IF(IF($B56="343",NETWORKDAYS($A56,$A56,FERIADOS_343),IF($B56="281",NETWORKDAYS($A56,$A56,FERIADOS_281),NETWORKDAYS($A56,$A56,FERIADOS_342)))=1,"SIM","NÃO"))</f>
      </c>
      <c r="P56" s="232">
        <f>IF($A56="","",$A56-WEEKDAY($A56,2)+5)</f>
      </c>
    </row>
    <row r="57">
      <c r="A57" s="220" t="n"/>
      <c r="B57" s="218" t="n"/>
      <c r="C57" s="218" t="n"/>
      <c r="D57" s="218" t="n"/>
      <c r="E57" s="218" t="n"/>
      <c r="F57" s="328" t="n"/>
      <c r="G57" s="218" t="n"/>
      <c r="H57" s="218" t="n"/>
      <c r="I57" s="218" t="n"/>
      <c r="J57" s="218" t="n"/>
      <c r="K57" s="218" t="n"/>
      <c r="L57" s="218" t="n"/>
      <c r="M57" s="218" t="n"/>
      <c r="N57" s="218" t="n"/>
      <c r="O57" s="222">
        <f>IF($A57="","",IF(IF($B57="343",NETWORKDAYS($A57,$A57,FERIADOS_343),IF($B57="281",NETWORKDAYS($A57,$A57,FERIADOS_281),NETWORKDAYS($A57,$A57,FERIADOS_342)))=1,"SIM","NÃO"))</f>
      </c>
      <c r="P57" s="232">
        <f>IF($A57="","",$A57-WEEKDAY($A57,2)+5)</f>
      </c>
    </row>
    <row r="58">
      <c r="A58" s="220" t="n"/>
      <c r="B58" s="218" t="n"/>
      <c r="C58" s="218" t="n"/>
      <c r="D58" s="218" t="n"/>
      <c r="E58" s="218" t="n"/>
      <c r="F58" s="328" t="n"/>
      <c r="G58" s="218" t="n"/>
      <c r="H58" s="218" t="n"/>
      <c r="I58" s="218" t="n"/>
      <c r="J58" s="218" t="n"/>
      <c r="K58" s="218" t="n"/>
      <c r="L58" s="218" t="n"/>
      <c r="M58" s="218" t="n"/>
      <c r="N58" s="218" t="n"/>
      <c r="O58" s="222">
        <f>IF($A58="","",IF(IF($B58="343",NETWORKDAYS($A58,$A58,FERIADOS_343),IF($B58="281",NETWORKDAYS($A58,$A58,FERIADOS_281),NETWORKDAYS($A58,$A58,FERIADOS_342)))=1,"SIM","NÃO"))</f>
      </c>
      <c r="P58" s="232">
        <f>IF($A58="","",$A58-WEEKDAY($A58,2)+5)</f>
      </c>
    </row>
    <row r="59">
      <c r="A59" s="220" t="n"/>
      <c r="B59" s="218" t="n"/>
      <c r="C59" s="218" t="n"/>
      <c r="D59" s="218" t="n"/>
      <c r="E59" s="218" t="n"/>
      <c r="F59" s="328" t="n"/>
      <c r="G59" s="218" t="n"/>
      <c r="H59" s="218" t="n"/>
      <c r="I59" s="218" t="n"/>
      <c r="J59" s="218" t="n"/>
      <c r="K59" s="218" t="n"/>
      <c r="L59" s="218" t="n"/>
      <c r="M59" s="218" t="n"/>
      <c r="N59" s="218" t="n"/>
      <c r="O59" s="222">
        <f>IF($A59="","",IF(IF($B59="343",NETWORKDAYS($A59,$A59,FERIADOS_343),IF($B59="281",NETWORKDAYS($A59,$A59,FERIADOS_281),NETWORKDAYS($A59,$A59,FERIADOS_342)))=1,"SIM","NÃO"))</f>
      </c>
      <c r="P59" s="232">
        <f>IF($A59="","",$A59-WEEKDAY($A59,2)+5)</f>
      </c>
    </row>
    <row r="60">
      <c r="A60" s="220" t="n"/>
      <c r="B60" s="218" t="n"/>
      <c r="C60" s="218" t="n"/>
      <c r="D60" s="218" t="n"/>
      <c r="E60" s="218" t="n"/>
      <c r="F60" s="328" t="n"/>
      <c r="G60" s="218" t="n"/>
      <c r="H60" s="218" t="n"/>
      <c r="I60" s="218" t="n"/>
      <c r="J60" s="218" t="n"/>
      <c r="K60" s="218" t="n"/>
      <c r="L60" s="218" t="n"/>
      <c r="M60" s="218" t="n"/>
      <c r="N60" s="218" t="n"/>
      <c r="O60" s="222">
        <f>IF($A60="","",IF(IF($B60="343",NETWORKDAYS($A60,$A60,FERIADOS_343),IF($B60="281",NETWORKDAYS($A60,$A60,FERIADOS_281),NETWORKDAYS($A60,$A60,FERIADOS_342)))=1,"SIM","NÃO"))</f>
      </c>
      <c r="P60" s="232">
        <f>IF($A60="","",$A60-WEEKDAY($A60,2)+5)</f>
      </c>
    </row>
    <row r="61">
      <c r="A61" s="220" t="n"/>
      <c r="B61" s="218" t="n"/>
      <c r="C61" s="218" t="n"/>
      <c r="D61" s="218" t="n"/>
      <c r="E61" s="218" t="n"/>
      <c r="F61" s="328" t="n"/>
      <c r="G61" s="218" t="n"/>
      <c r="H61" s="218" t="n"/>
      <c r="I61" s="218" t="n"/>
      <c r="J61" s="218" t="n"/>
      <c r="K61" s="218" t="n"/>
      <c r="L61" s="218" t="n"/>
      <c r="M61" s="218" t="n"/>
      <c r="N61" s="218" t="n"/>
      <c r="O61" s="222">
        <f>IF($A61="","",IF(IF($B61="343",NETWORKDAYS($A61,$A61,FERIADOS_343),IF($B61="281",NETWORKDAYS($A61,$A61,FERIADOS_281),NETWORKDAYS($A61,$A61,FERIADOS_342)))=1,"SIM","NÃO"))</f>
      </c>
      <c r="P61" s="232">
        <f>IF($A61="","",$A61-WEEKDAY($A61,2)+5)</f>
      </c>
    </row>
    <row r="62">
      <c r="A62" s="220" t="n"/>
      <c r="B62" s="218" t="n"/>
      <c r="C62" s="218" t="n"/>
      <c r="D62" s="218" t="n"/>
      <c r="E62" s="218" t="n"/>
      <c r="F62" s="328" t="n"/>
      <c r="G62" s="218" t="n"/>
      <c r="H62" s="218" t="n"/>
      <c r="I62" s="218" t="n"/>
      <c r="J62" s="218" t="n"/>
      <c r="K62" s="218" t="n"/>
      <c r="L62" s="218" t="n"/>
      <c r="M62" s="218" t="n"/>
      <c r="N62" s="218" t="n"/>
      <c r="O62" s="222">
        <f>IF($A62="","",IF(IF($B62="343",NETWORKDAYS($A62,$A62,FERIADOS_343),IF($B62="281",NETWORKDAYS($A62,$A62,FERIADOS_281),NETWORKDAYS($A62,$A62,FERIADOS_342)))=1,"SIM","NÃO"))</f>
      </c>
      <c r="P62" s="232">
        <f>IF($A62="","",$A62-WEEKDAY($A62,2)+5)</f>
      </c>
    </row>
    <row r="63">
      <c r="A63" s="220" t="n"/>
      <c r="B63" s="218" t="n"/>
      <c r="C63" s="218" t="n"/>
      <c r="D63" s="218" t="n"/>
      <c r="E63" s="218" t="n"/>
      <c r="F63" s="328" t="n"/>
      <c r="G63" s="218" t="n"/>
      <c r="H63" s="218" t="n"/>
      <c r="I63" s="218" t="n"/>
      <c r="J63" s="218" t="n"/>
      <c r="K63" s="218" t="n"/>
      <c r="L63" s="218" t="n"/>
      <c r="M63" s="218" t="n"/>
      <c r="N63" s="218" t="n"/>
      <c r="O63" s="222">
        <f>IF($A63="","",IF(IF($B63="343",NETWORKDAYS($A63,$A63,FERIADOS_343),IF($B63="281",NETWORKDAYS($A63,$A63,FERIADOS_281),NETWORKDAYS($A63,$A63,FERIADOS_342)))=1,"SIM","NÃO"))</f>
      </c>
      <c r="P63" s="232">
        <f>IF($A63="","",$A63-WEEKDAY($A63,2)+5)</f>
      </c>
    </row>
    <row r="64">
      <c r="A64" s="220" t="n"/>
      <c r="B64" s="218" t="n"/>
      <c r="C64" s="218" t="n"/>
      <c r="D64" s="218" t="n"/>
      <c r="E64" s="218" t="n"/>
      <c r="F64" s="328" t="n"/>
      <c r="G64" s="218" t="n"/>
      <c r="H64" s="218" t="n"/>
      <c r="I64" s="218" t="n"/>
      <c r="J64" s="218" t="n"/>
      <c r="K64" s="218" t="n"/>
      <c r="L64" s="218" t="n"/>
      <c r="M64" s="218" t="n"/>
      <c r="N64" s="218" t="n"/>
      <c r="O64" s="222">
        <f>IF($A64="","",IF(IF($B64="343",NETWORKDAYS($A64,$A64,FERIADOS_343),IF($B64="281",NETWORKDAYS($A64,$A64,FERIADOS_281),NETWORKDAYS($A64,$A64,FERIADOS_342)))=1,"SIM","NÃO"))</f>
      </c>
      <c r="P64" s="232">
        <f>IF($A64="","",$A64-WEEKDAY($A64,2)+5)</f>
      </c>
    </row>
    <row r="65">
      <c r="A65" s="220" t="n"/>
      <c r="B65" s="218" t="n"/>
      <c r="C65" s="218" t="n"/>
      <c r="D65" s="218" t="n"/>
      <c r="E65" s="218" t="n"/>
      <c r="F65" s="328" t="n"/>
      <c r="G65" s="218" t="n"/>
      <c r="H65" s="218" t="n"/>
      <c r="I65" s="218" t="n"/>
      <c r="J65" s="218" t="n"/>
      <c r="K65" s="218" t="n"/>
      <c r="L65" s="218" t="n"/>
      <c r="M65" s="218" t="n"/>
      <c r="N65" s="218" t="n"/>
      <c r="O65" s="222">
        <f>IF($A65="","",IF(IF($B65="343",NETWORKDAYS($A65,$A65,FERIADOS_343),IF($B65="281",NETWORKDAYS($A65,$A65,FERIADOS_281),NETWORKDAYS($A65,$A65,FERIADOS_342)))=1,"SIM","NÃO"))</f>
      </c>
      <c r="P65" s="232">
        <f>IF($A65="","",$A65-WEEKDAY($A65,2)+5)</f>
      </c>
    </row>
    <row r="66">
      <c r="A66" s="220" t="n"/>
      <c r="B66" s="218" t="n"/>
      <c r="C66" s="218" t="n"/>
      <c r="D66" s="218" t="n"/>
      <c r="E66" s="218" t="n"/>
      <c r="F66" s="328" t="n"/>
      <c r="G66" s="218" t="n"/>
      <c r="H66" s="218" t="n"/>
      <c r="I66" s="218" t="n"/>
      <c r="J66" s="218" t="n"/>
      <c r="K66" s="218" t="n"/>
      <c r="L66" s="218" t="n"/>
      <c r="M66" s="218" t="n"/>
      <c r="N66" s="218" t="n"/>
      <c r="O66" s="222">
        <f>IF($A66="","",IF(IF($B66="343",NETWORKDAYS($A66,$A66,FERIADOS_343),IF($B66="281",NETWORKDAYS($A66,$A66,FERIADOS_281),NETWORKDAYS($A66,$A66,FERIADOS_342)))=1,"SIM","NÃO"))</f>
      </c>
      <c r="P66" s="232">
        <f>IF($A66="","",$A66-WEEKDAY($A66,2)+5)</f>
      </c>
    </row>
    <row r="67">
      <c r="A67" s="220" t="n"/>
      <c r="B67" s="218" t="n"/>
      <c r="C67" s="218" t="n"/>
      <c r="D67" s="218" t="n"/>
      <c r="E67" s="218" t="n"/>
      <c r="F67" s="328" t="n"/>
      <c r="G67" s="218" t="n"/>
      <c r="H67" s="218" t="n"/>
      <c r="I67" s="218" t="n"/>
      <c r="J67" s="218" t="n"/>
      <c r="K67" s="218" t="n"/>
      <c r="L67" s="218" t="n"/>
      <c r="M67" s="218" t="n"/>
      <c r="N67" s="218" t="n"/>
      <c r="O67" s="222">
        <f>IF($A67="","",IF(IF($B67="343",NETWORKDAYS($A67,$A67,FERIADOS_343),IF($B67="281",NETWORKDAYS($A67,$A67,FERIADOS_281),NETWORKDAYS($A67,$A67,FERIADOS_342)))=1,"SIM","NÃO"))</f>
      </c>
      <c r="P67" s="232">
        <f>IF($A67="","",$A67-WEEKDAY($A67,2)+5)</f>
      </c>
    </row>
    <row r="68">
      <c r="A68" s="220" t="n"/>
      <c r="B68" s="218" t="n"/>
      <c r="C68" s="218" t="n"/>
      <c r="D68" s="218" t="n"/>
      <c r="E68" s="218" t="n"/>
      <c r="F68" s="328" t="n"/>
      <c r="G68" s="218" t="n"/>
      <c r="H68" s="218" t="n"/>
      <c r="I68" s="218" t="n"/>
      <c r="J68" s="218" t="n"/>
      <c r="K68" s="218" t="n"/>
      <c r="L68" s="218" t="n"/>
      <c r="M68" s="218" t="n"/>
      <c r="N68" s="218" t="n"/>
      <c r="O68" s="222">
        <f>IF($A68="","",IF(IF($B68="343",NETWORKDAYS($A68,$A68,FERIADOS_343),IF($B68="281",NETWORKDAYS($A68,$A68,FERIADOS_281),NETWORKDAYS($A68,$A68,FERIADOS_342)))=1,"SIM","NÃO"))</f>
      </c>
      <c r="P68" s="232">
        <f>IF($A68="","",$A68-WEEKDAY($A68,2)+5)</f>
      </c>
    </row>
    <row r="69">
      <c r="A69" s="220" t="n"/>
      <c r="B69" s="218" t="n"/>
      <c r="C69" s="218" t="n"/>
      <c r="D69" s="218" t="n"/>
      <c r="E69" s="218" t="n"/>
      <c r="F69" s="328" t="n"/>
      <c r="G69" s="218" t="n"/>
      <c r="H69" s="218" t="n"/>
      <c r="I69" s="218" t="n"/>
      <c r="J69" s="218" t="n"/>
      <c r="K69" s="218" t="n"/>
      <c r="L69" s="218" t="n"/>
      <c r="M69" s="218" t="n"/>
      <c r="N69" s="218" t="n"/>
      <c r="O69" s="222">
        <f>IF($A69="","",IF(IF($B69="343",NETWORKDAYS($A69,$A69,FERIADOS_343),IF($B69="281",NETWORKDAYS($A69,$A69,FERIADOS_281),NETWORKDAYS($A69,$A69,FERIADOS_342)))=1,"SIM","NÃO"))</f>
      </c>
      <c r="P69" s="232">
        <f>IF($A69="","",$A69-WEEKDAY($A69,2)+5)</f>
      </c>
    </row>
    <row r="70">
      <c r="A70" s="220" t="n"/>
      <c r="B70" s="218" t="n"/>
      <c r="C70" s="218" t="n"/>
      <c r="D70" s="218" t="n"/>
      <c r="E70" s="218" t="n"/>
      <c r="F70" s="328" t="n"/>
      <c r="G70" s="218" t="n"/>
      <c r="H70" s="218" t="n"/>
      <c r="I70" s="218" t="n"/>
      <c r="J70" s="218" t="n"/>
      <c r="K70" s="218" t="n"/>
      <c r="L70" s="218" t="n"/>
      <c r="M70" s="218" t="n"/>
      <c r="N70" s="218" t="n"/>
      <c r="O70" s="222">
        <f>IF($A70="","",IF(IF($B70="343",NETWORKDAYS($A70,$A70,FERIADOS_343),IF($B70="281",NETWORKDAYS($A70,$A70,FERIADOS_281),NETWORKDAYS($A70,$A70,FERIADOS_342)))=1,"SIM","NÃO"))</f>
      </c>
      <c r="P70" s="232">
        <f>IF($A70="","",$A70-WEEKDAY($A70,2)+5)</f>
      </c>
    </row>
    <row r="71">
      <c r="A71" s="220" t="n"/>
      <c r="B71" s="218" t="n"/>
      <c r="C71" s="218" t="n"/>
      <c r="D71" s="218" t="n"/>
      <c r="E71" s="218" t="n"/>
      <c r="F71" s="328" t="n"/>
      <c r="G71" s="218" t="n"/>
      <c r="H71" s="218" t="n"/>
      <c r="I71" s="218" t="n"/>
      <c r="J71" s="218" t="n"/>
      <c r="K71" s="218" t="n"/>
      <c r="L71" s="218" t="n"/>
      <c r="M71" s="218" t="n"/>
      <c r="N71" s="218" t="n"/>
      <c r="O71" s="222">
        <f>IF($A71="","",IF(IF($B71="343",NETWORKDAYS($A71,$A71,FERIADOS_343),IF($B71="281",NETWORKDAYS($A71,$A71,FERIADOS_281),NETWORKDAYS($A71,$A71,FERIADOS_342)))=1,"SIM","NÃO"))</f>
      </c>
      <c r="P71" s="232">
        <f>IF($A71="","",$A71-WEEKDAY($A71,2)+5)</f>
      </c>
    </row>
    <row r="72">
      <c r="A72" s="220" t="n"/>
      <c r="B72" s="218" t="n"/>
      <c r="C72" s="218" t="n"/>
      <c r="D72" s="218" t="n"/>
      <c r="E72" s="218" t="n"/>
      <c r="F72" s="328" t="n"/>
      <c r="G72" s="218" t="n"/>
      <c r="H72" s="218" t="n"/>
      <c r="I72" s="218" t="n"/>
      <c r="J72" s="218" t="n"/>
      <c r="K72" s="218" t="n"/>
      <c r="L72" s="218" t="n"/>
      <c r="M72" s="218" t="n"/>
      <c r="N72" s="218" t="n"/>
      <c r="O72" s="222">
        <f>IF($A72="","",IF(IF($B72="343",NETWORKDAYS($A72,$A72,FERIADOS_343),IF($B72="281",NETWORKDAYS($A72,$A72,FERIADOS_281),NETWORKDAYS($A72,$A72,FERIADOS_342)))=1,"SIM","NÃO"))</f>
      </c>
      <c r="P72" s="232">
        <f>IF($A72="","",$A72-WEEKDAY($A72,2)+5)</f>
      </c>
    </row>
    <row r="73">
      <c r="A73" s="220" t="n"/>
      <c r="B73" s="218" t="n"/>
      <c r="C73" s="218" t="n"/>
      <c r="D73" s="218" t="n"/>
      <c r="E73" s="218" t="n"/>
      <c r="F73" s="328" t="n"/>
      <c r="G73" s="218" t="n"/>
      <c r="H73" s="218" t="n"/>
      <c r="I73" s="218" t="n"/>
      <c r="J73" s="218" t="n"/>
      <c r="K73" s="218" t="n"/>
      <c r="L73" s="218" t="n"/>
      <c r="M73" s="218" t="n"/>
      <c r="N73" s="218" t="n"/>
      <c r="O73" s="222">
        <f>IF($A73="","",IF(IF($B73="343",NETWORKDAYS($A73,$A73,FERIADOS_343),IF($B73="281",NETWORKDAYS($A73,$A73,FERIADOS_281),NETWORKDAYS($A73,$A73,FERIADOS_342)))=1,"SIM","NÃO"))</f>
      </c>
      <c r="P73" s="232">
        <f>IF($A73="","",$A73-WEEKDAY($A73,2)+5)</f>
      </c>
    </row>
    <row r="74">
      <c r="A74" s="220" t="n"/>
      <c r="B74" s="218" t="n"/>
      <c r="C74" s="218" t="n"/>
      <c r="D74" s="218" t="n"/>
      <c r="E74" s="218" t="n"/>
      <c r="F74" s="328" t="n"/>
      <c r="G74" s="218" t="n"/>
      <c r="H74" s="218" t="n"/>
      <c r="I74" s="218" t="n"/>
      <c r="J74" s="218" t="n"/>
      <c r="K74" s="218" t="n"/>
      <c r="L74" s="218" t="n"/>
      <c r="M74" s="218" t="n"/>
      <c r="N74" s="218" t="n"/>
      <c r="O74" s="222">
        <f>IF($A74="","",IF(IF($B74="343",NETWORKDAYS($A74,$A74,FERIADOS_343),IF($B74="281",NETWORKDAYS($A74,$A74,FERIADOS_281),NETWORKDAYS($A74,$A74,FERIADOS_342)))=1,"SIM","NÃO"))</f>
      </c>
      <c r="P74" s="232">
        <f>IF($A74="","",$A74-WEEKDAY($A74,2)+5)</f>
      </c>
    </row>
    <row r="75">
      <c r="A75" s="220" t="n"/>
      <c r="B75" s="218" t="n"/>
      <c r="C75" s="218" t="n"/>
      <c r="D75" s="218" t="n"/>
      <c r="E75" s="218" t="n"/>
      <c r="F75" s="328" t="n"/>
      <c r="G75" s="218" t="n"/>
      <c r="H75" s="218" t="n"/>
      <c r="I75" s="218" t="n"/>
      <c r="J75" s="218" t="n"/>
      <c r="K75" s="218" t="n"/>
      <c r="L75" s="218" t="n"/>
      <c r="M75" s="218" t="n"/>
      <c r="N75" s="218" t="n"/>
      <c r="O75" s="222">
        <f>IF($A75="","",IF(IF($B75="343",NETWORKDAYS($A75,$A75,FERIADOS_343),IF($B75="281",NETWORKDAYS($A75,$A75,FERIADOS_281),NETWORKDAYS($A75,$A75,FERIADOS_342)))=1,"SIM","NÃO"))</f>
      </c>
      <c r="P75" s="232">
        <f>IF($A75="","",$A75-WEEKDAY($A75,2)+5)</f>
      </c>
    </row>
    <row r="76">
      <c r="A76" s="220" t="n"/>
      <c r="B76" s="218" t="n"/>
      <c r="C76" s="218" t="n"/>
      <c r="D76" s="218" t="n"/>
      <c r="E76" s="218" t="n"/>
      <c r="F76" s="328" t="n"/>
      <c r="G76" s="218" t="n"/>
      <c r="H76" s="218" t="n"/>
      <c r="I76" s="218" t="n"/>
      <c r="J76" s="218" t="n"/>
      <c r="K76" s="218" t="n"/>
      <c r="L76" s="218" t="n"/>
      <c r="M76" s="218" t="n"/>
      <c r="N76" s="218" t="n"/>
      <c r="O76" s="222">
        <f>IF($A76="","",IF(IF($B76="343",NETWORKDAYS($A76,$A76,FERIADOS_343),IF($B76="281",NETWORKDAYS($A76,$A76,FERIADOS_281),NETWORKDAYS($A76,$A76,FERIADOS_342)))=1,"SIM","NÃO"))</f>
      </c>
      <c r="P76" s="232">
        <f>IF($A76="","",$A76-WEEKDAY($A76,2)+5)</f>
      </c>
    </row>
    <row r="77">
      <c r="A77" s="220" t="n"/>
      <c r="B77" s="218" t="n"/>
      <c r="C77" s="218" t="n"/>
      <c r="D77" s="218" t="n"/>
      <c r="E77" s="218" t="n"/>
      <c r="F77" s="328" t="n"/>
      <c r="G77" s="218" t="n"/>
      <c r="H77" s="218" t="n"/>
      <c r="I77" s="218" t="n"/>
      <c r="J77" s="218" t="n"/>
      <c r="K77" s="218" t="n"/>
      <c r="L77" s="218" t="n"/>
      <c r="M77" s="218" t="n"/>
      <c r="N77" s="218" t="n"/>
      <c r="O77" s="222">
        <f>IF($A77="","",IF(IF($B77="343",NETWORKDAYS($A77,$A77,FERIADOS_343),IF($B77="281",NETWORKDAYS($A77,$A77,FERIADOS_281),NETWORKDAYS($A77,$A77,FERIADOS_342)))=1,"SIM","NÃO"))</f>
      </c>
      <c r="P77" s="232">
        <f>IF($A77="","",$A77-WEEKDAY($A77,2)+5)</f>
      </c>
    </row>
    <row r="78">
      <c r="A78" s="220" t="n"/>
      <c r="B78" s="218" t="n"/>
      <c r="C78" s="218" t="n"/>
      <c r="D78" s="218" t="n"/>
      <c r="E78" s="218" t="n"/>
      <c r="F78" s="328" t="n"/>
      <c r="G78" s="218" t="n"/>
      <c r="H78" s="218" t="n"/>
      <c r="I78" s="218" t="n"/>
      <c r="J78" s="218" t="n"/>
      <c r="K78" s="218" t="n"/>
      <c r="L78" s="218" t="n"/>
      <c r="M78" s="218" t="n"/>
      <c r="N78" s="218" t="n"/>
      <c r="O78" s="222">
        <f>IF($A78="","",IF(IF($B78="343",NETWORKDAYS($A78,$A78,FERIADOS_343),IF($B78="281",NETWORKDAYS($A78,$A78,FERIADOS_281),NETWORKDAYS($A78,$A78,FERIADOS_342)))=1,"SIM","NÃO"))</f>
      </c>
      <c r="P78" s="232">
        <f>IF($A78="","",$A78-WEEKDAY($A78,2)+5)</f>
      </c>
    </row>
    <row r="79">
      <c r="A79" s="220" t="n"/>
      <c r="B79" s="218" t="n"/>
      <c r="C79" s="218" t="n"/>
      <c r="D79" s="218" t="n"/>
      <c r="E79" s="218" t="n"/>
      <c r="F79" s="328" t="n"/>
      <c r="G79" s="218" t="n"/>
      <c r="H79" s="218" t="n"/>
      <c r="I79" s="218" t="n"/>
      <c r="J79" s="218" t="n"/>
      <c r="K79" s="218" t="n"/>
      <c r="L79" s="218" t="n"/>
      <c r="M79" s="218" t="n"/>
      <c r="N79" s="218" t="n"/>
      <c r="O79" s="222">
        <f>IF($A79="","",IF(IF($B79="343",NETWORKDAYS($A79,$A79,FERIADOS_343),IF($B79="281",NETWORKDAYS($A79,$A79,FERIADOS_281),NETWORKDAYS($A79,$A79,FERIADOS_342)))=1,"SIM","NÃO"))</f>
      </c>
      <c r="P79" s="232">
        <f>IF($A79="","",$A79-WEEKDAY($A79,2)+5)</f>
      </c>
    </row>
    <row r="80">
      <c r="A80" s="220" t="n"/>
      <c r="B80" s="218" t="n"/>
      <c r="C80" s="218" t="n"/>
      <c r="D80" s="218" t="n"/>
      <c r="E80" s="218" t="n"/>
      <c r="F80" s="328" t="n"/>
      <c r="G80" s="218" t="n"/>
      <c r="H80" s="218" t="n"/>
      <c r="I80" s="218" t="n"/>
      <c r="J80" s="218" t="n"/>
      <c r="K80" s="218" t="n"/>
      <c r="L80" s="218" t="n"/>
      <c r="M80" s="218" t="n"/>
      <c r="N80" s="218" t="n"/>
      <c r="O80" s="222">
        <f>IF($A80="","",IF(IF($B80="343",NETWORKDAYS($A80,$A80,FERIADOS_343),IF($B80="281",NETWORKDAYS($A80,$A80,FERIADOS_281),NETWORKDAYS($A80,$A80,FERIADOS_342)))=1,"SIM","NÃO"))</f>
      </c>
      <c r="P80" s="232">
        <f>IF($A80="","",$A80-WEEKDAY($A80,2)+5)</f>
      </c>
    </row>
    <row r="81">
      <c r="A81" s="220" t="n"/>
      <c r="B81" s="218" t="n"/>
      <c r="C81" s="218" t="n"/>
      <c r="D81" s="218" t="n"/>
      <c r="E81" s="218" t="n"/>
      <c r="F81" s="328" t="n"/>
      <c r="G81" s="218" t="n"/>
      <c r="H81" s="218" t="n"/>
      <c r="I81" s="218" t="n"/>
      <c r="J81" s="218" t="n"/>
      <c r="K81" s="218" t="n"/>
      <c r="L81" s="218" t="n"/>
      <c r="M81" s="218" t="n"/>
      <c r="N81" s="218" t="n"/>
      <c r="O81" s="222">
        <f>IF($A81="","",IF(IF($B81="343",NETWORKDAYS($A81,$A81,FERIADOS_343),IF($B81="281",NETWORKDAYS($A81,$A81,FERIADOS_281),NETWORKDAYS($A81,$A81,FERIADOS_342)))=1,"SIM","NÃO"))</f>
      </c>
      <c r="P81" s="232">
        <f>IF($A81="","",$A81-WEEKDAY($A81,2)+5)</f>
      </c>
    </row>
    <row r="82">
      <c r="A82" s="220" t="n"/>
      <c r="B82" s="218" t="n"/>
      <c r="C82" s="218" t="n"/>
      <c r="D82" s="218" t="n"/>
      <c r="E82" s="218" t="n"/>
      <c r="F82" s="328" t="n"/>
      <c r="G82" s="218" t="n"/>
      <c r="H82" s="218" t="n"/>
      <c r="I82" s="218" t="n"/>
      <c r="J82" s="218" t="n"/>
      <c r="K82" s="218" t="n"/>
      <c r="L82" s="218" t="n"/>
      <c r="M82" s="218" t="n"/>
      <c r="N82" s="218" t="n"/>
      <c r="O82" s="222">
        <f>IF($A82="","",IF(IF($B82="343",NETWORKDAYS($A82,$A82,FERIADOS_343),IF($B82="281",NETWORKDAYS($A82,$A82,FERIADOS_281),NETWORKDAYS($A82,$A82,FERIADOS_342)))=1,"SIM","NÃO"))</f>
      </c>
      <c r="P82" s="232">
        <f>IF($A82="","",$A82-WEEKDAY($A82,2)+5)</f>
      </c>
    </row>
    <row r="83">
      <c r="A83" s="220" t="n"/>
      <c r="B83" s="218" t="n"/>
      <c r="C83" s="218" t="n"/>
      <c r="D83" s="218" t="n"/>
      <c r="E83" s="218" t="n"/>
      <c r="F83" s="328" t="n"/>
      <c r="G83" s="218" t="n"/>
      <c r="H83" s="218" t="n"/>
      <c r="I83" s="218" t="n"/>
      <c r="J83" s="218" t="n"/>
      <c r="K83" s="218" t="n"/>
      <c r="L83" s="218" t="n"/>
      <c r="M83" s="218" t="n"/>
      <c r="N83" s="218" t="n"/>
      <c r="O83" s="222">
        <f>IF($A83="","",IF(IF($B83="343",NETWORKDAYS($A83,$A83,FERIADOS_343),IF($B83="281",NETWORKDAYS($A83,$A83,FERIADOS_281),NETWORKDAYS($A83,$A83,FERIADOS_342)))=1,"SIM","NÃO"))</f>
      </c>
      <c r="P83" s="232">
        <f>IF($A83="","",$A83-WEEKDAY($A83,2)+5)</f>
      </c>
    </row>
    <row r="84">
      <c r="A84" s="220" t="n"/>
      <c r="B84" s="218" t="n"/>
      <c r="C84" s="218" t="n"/>
      <c r="D84" s="218" t="n"/>
      <c r="E84" s="218" t="n"/>
      <c r="F84" s="328" t="n"/>
      <c r="G84" s="218" t="n"/>
      <c r="H84" s="218" t="n"/>
      <c r="I84" s="218" t="n"/>
      <c r="J84" s="218" t="n"/>
      <c r="K84" s="218" t="n"/>
      <c r="L84" s="218" t="n"/>
      <c r="M84" s="218" t="n"/>
      <c r="N84" s="218" t="n"/>
      <c r="O84" s="222">
        <f>IF($A84="","",IF(IF($B84="343",NETWORKDAYS($A84,$A84,FERIADOS_343),IF($B84="281",NETWORKDAYS($A84,$A84,FERIADOS_281),NETWORKDAYS($A84,$A84,FERIADOS_342)))=1,"SIM","NÃO"))</f>
      </c>
      <c r="P84" s="232">
        <f>IF($A84="","",$A84-WEEKDAY($A84,2)+5)</f>
      </c>
    </row>
    <row r="85">
      <c r="A85" s="220" t="n"/>
      <c r="B85" s="218" t="n"/>
      <c r="C85" s="218" t="n"/>
      <c r="D85" s="218" t="n"/>
      <c r="E85" s="218" t="n"/>
      <c r="F85" s="328" t="n"/>
      <c r="G85" s="218" t="n"/>
      <c r="H85" s="218" t="n"/>
      <c r="I85" s="218" t="n"/>
      <c r="J85" s="218" t="n"/>
      <c r="K85" s="218" t="n"/>
      <c r="L85" s="218" t="n"/>
      <c r="M85" s="218" t="n"/>
      <c r="N85" s="218" t="n"/>
      <c r="O85" s="222">
        <f>IF($A85="","",IF(IF($B85="343",NETWORKDAYS($A85,$A85,FERIADOS_343),IF($B85="281",NETWORKDAYS($A85,$A85,FERIADOS_281),NETWORKDAYS($A85,$A85,FERIADOS_342)))=1,"SIM","NÃO"))</f>
      </c>
      <c r="P85" s="232">
        <f>IF($A85="","",$A85-WEEKDAY($A85,2)+5)</f>
      </c>
    </row>
    <row r="86">
      <c r="A86" s="220" t="n"/>
      <c r="B86" s="218" t="n"/>
      <c r="C86" s="218" t="n"/>
      <c r="D86" s="218" t="n"/>
      <c r="E86" s="218" t="n"/>
      <c r="F86" s="328" t="n"/>
      <c r="G86" s="218" t="n"/>
      <c r="H86" s="218" t="n"/>
      <c r="I86" s="218" t="n"/>
      <c r="J86" s="218" t="n"/>
      <c r="K86" s="218" t="n"/>
      <c r="L86" s="218" t="n"/>
      <c r="M86" s="218" t="n"/>
      <c r="N86" s="218" t="n"/>
      <c r="O86" s="222">
        <f>IF($A86="","",IF(IF($B86="343",NETWORKDAYS($A86,$A86,FERIADOS_343),IF($B86="281",NETWORKDAYS($A86,$A86,FERIADOS_281),NETWORKDAYS($A86,$A86,FERIADOS_342)))=1,"SIM","NÃO"))</f>
      </c>
      <c r="P86" s="232">
        <f>IF($A86="","",$A86-WEEKDAY($A86,2)+5)</f>
      </c>
    </row>
    <row r="87">
      <c r="A87" s="220" t="n"/>
      <c r="B87" s="218" t="n"/>
      <c r="C87" s="218" t="n"/>
      <c r="D87" s="218" t="n"/>
      <c r="E87" s="218" t="n"/>
      <c r="F87" s="328" t="n"/>
      <c r="G87" s="218" t="n"/>
      <c r="H87" s="218" t="n"/>
      <c r="I87" s="218" t="n"/>
      <c r="J87" s="218" t="n"/>
      <c r="K87" s="218" t="n"/>
      <c r="L87" s="218" t="n"/>
      <c r="M87" s="218" t="n"/>
      <c r="N87" s="218" t="n"/>
      <c r="O87" s="222">
        <f>IF($A87="","",IF(IF($B87="343",NETWORKDAYS($A87,$A87,FERIADOS_343),IF($B87="281",NETWORKDAYS($A87,$A87,FERIADOS_281),NETWORKDAYS($A87,$A87,FERIADOS_342)))=1,"SIM","NÃO"))</f>
      </c>
      <c r="P87" s="232">
        <f>IF($A87="","",$A87-WEEKDAY($A87,2)+5)</f>
      </c>
    </row>
    <row r="88">
      <c r="A88" s="220" t="n"/>
      <c r="B88" s="218" t="n"/>
      <c r="C88" s="218" t="n"/>
      <c r="D88" s="218" t="n"/>
      <c r="E88" s="218" t="n"/>
      <c r="F88" s="328" t="n"/>
      <c r="G88" s="218" t="n"/>
      <c r="H88" s="218" t="n"/>
      <c r="I88" s="218" t="n"/>
      <c r="J88" s="218" t="n"/>
      <c r="K88" s="218" t="n"/>
      <c r="L88" s="218" t="n"/>
      <c r="M88" s="218" t="n"/>
      <c r="N88" s="218" t="n"/>
      <c r="O88" s="222">
        <f>IF($A88="","",IF(IF($B88="343",NETWORKDAYS($A88,$A88,FERIADOS_343),IF($B88="281",NETWORKDAYS($A88,$A88,FERIADOS_281),NETWORKDAYS($A88,$A88,FERIADOS_342)))=1,"SIM","NÃO"))</f>
      </c>
      <c r="P88" s="232">
        <f>IF($A88="","",$A88-WEEKDAY($A88,2)+5)</f>
      </c>
    </row>
    <row r="89">
      <c r="A89" s="220" t="n"/>
      <c r="B89" s="218" t="n"/>
      <c r="C89" s="218" t="n"/>
      <c r="D89" s="218" t="n"/>
      <c r="E89" s="218" t="n"/>
      <c r="F89" s="328" t="n"/>
      <c r="G89" s="218" t="n"/>
      <c r="H89" s="218" t="n"/>
      <c r="I89" s="218" t="n"/>
      <c r="J89" s="218" t="n"/>
      <c r="K89" s="218" t="n"/>
      <c r="L89" s="218" t="n"/>
      <c r="M89" s="218" t="n"/>
      <c r="N89" s="218" t="n"/>
      <c r="O89" s="222">
        <f>IF($A89="","",IF(IF($B89="343",NETWORKDAYS($A89,$A89,FERIADOS_343),IF($B89="281",NETWORKDAYS($A89,$A89,FERIADOS_281),NETWORKDAYS($A89,$A89,FERIADOS_342)))=1,"SIM","NÃO"))</f>
      </c>
      <c r="P89" s="232">
        <f>IF($A89="","",$A89-WEEKDAY($A89,2)+5)</f>
      </c>
    </row>
    <row r="90">
      <c r="A90" s="220" t="n"/>
      <c r="B90" s="218" t="n"/>
      <c r="C90" s="218" t="n"/>
      <c r="D90" s="218" t="n"/>
      <c r="E90" s="218" t="n"/>
      <c r="F90" s="328" t="n"/>
      <c r="G90" s="218" t="n"/>
      <c r="H90" s="218" t="n"/>
      <c r="I90" s="218" t="n"/>
      <c r="J90" s="218" t="n"/>
      <c r="K90" s="218" t="n"/>
      <c r="L90" s="218" t="n"/>
      <c r="M90" s="218" t="n"/>
      <c r="N90" s="218" t="n"/>
      <c r="O90" s="222">
        <f>IF($A90="","",IF(IF($B90="343",NETWORKDAYS($A90,$A90,FERIADOS_343),IF($B90="281",NETWORKDAYS($A90,$A90,FERIADOS_281),NETWORKDAYS($A90,$A90,FERIADOS_342)))=1,"SIM","NÃO"))</f>
      </c>
      <c r="P90" s="232">
        <f>IF($A90="","",$A90-WEEKDAY($A90,2)+5)</f>
      </c>
    </row>
    <row r="91">
      <c r="A91" s="220" t="n"/>
      <c r="B91" s="218" t="n"/>
      <c r="C91" s="218" t="n"/>
      <c r="D91" s="218" t="n"/>
      <c r="E91" s="218" t="n"/>
      <c r="F91" s="328" t="n"/>
      <c r="G91" s="218" t="n"/>
      <c r="H91" s="218" t="n"/>
      <c r="I91" s="218" t="n"/>
      <c r="J91" s="218" t="n"/>
      <c r="K91" s="218" t="n"/>
      <c r="L91" s="218" t="n"/>
      <c r="M91" s="218" t="n"/>
      <c r="N91" s="218" t="n"/>
      <c r="O91" s="222">
        <f>IF($A91="","",IF(IF($B91="343",NETWORKDAYS($A91,$A91,FERIADOS_343),IF($B91="281",NETWORKDAYS($A91,$A91,FERIADOS_281),NETWORKDAYS($A91,$A91,FERIADOS_342)))=1,"SIM","NÃO"))</f>
      </c>
      <c r="P91" s="232">
        <f>IF($A91="","",$A91-WEEKDAY($A91,2)+5)</f>
      </c>
    </row>
    <row r="92">
      <c r="A92" s="220" t="n"/>
      <c r="B92" s="218" t="n"/>
      <c r="C92" s="218" t="n"/>
      <c r="D92" s="218" t="n"/>
      <c r="E92" s="218" t="n"/>
      <c r="F92" s="328" t="n"/>
      <c r="G92" s="218" t="n"/>
      <c r="H92" s="218" t="n"/>
      <c r="I92" s="218" t="n"/>
      <c r="J92" s="218" t="n"/>
      <c r="K92" s="218" t="n"/>
      <c r="L92" s="218" t="n"/>
      <c r="M92" s="218" t="n"/>
      <c r="N92" s="218" t="n"/>
      <c r="O92" s="222">
        <f>IF($A92="","",IF(IF($B92="343",NETWORKDAYS($A92,$A92,FERIADOS_343),IF($B92="281",NETWORKDAYS($A92,$A92,FERIADOS_281),NETWORKDAYS($A92,$A92,FERIADOS_342)))=1,"SIM","NÃO"))</f>
      </c>
      <c r="P92" s="232">
        <f>IF($A92="","",$A92-WEEKDAY($A92,2)+5)</f>
      </c>
    </row>
    <row r="93">
      <c r="A93" s="220" t="n"/>
      <c r="B93" s="218" t="n"/>
      <c r="C93" s="218" t="n"/>
      <c r="D93" s="218" t="n"/>
      <c r="E93" s="218" t="n"/>
      <c r="F93" s="328" t="n"/>
      <c r="G93" s="218" t="n"/>
      <c r="H93" s="218" t="n"/>
      <c r="I93" s="218" t="n"/>
      <c r="J93" s="218" t="n"/>
      <c r="K93" s="218" t="n"/>
      <c r="L93" s="218" t="n"/>
      <c r="M93" s="218" t="n"/>
      <c r="N93" s="218" t="n"/>
      <c r="O93" s="222">
        <f>IF($A93="","",IF(IF($B93="343",NETWORKDAYS($A93,$A93,FERIADOS_343),IF($B93="281",NETWORKDAYS($A93,$A93,FERIADOS_281),NETWORKDAYS($A93,$A93,FERIADOS_342)))=1,"SIM","NÃO"))</f>
      </c>
      <c r="P93" s="232">
        <f>IF($A93="","",$A93-WEEKDAY($A93,2)+5)</f>
      </c>
    </row>
    <row r="94">
      <c r="A94" s="220" t="n"/>
      <c r="B94" s="218" t="n"/>
      <c r="C94" s="218" t="n"/>
      <c r="D94" s="218" t="n"/>
      <c r="E94" s="218" t="n"/>
      <c r="F94" s="328" t="n"/>
      <c r="G94" s="218" t="n"/>
      <c r="H94" s="218" t="n"/>
      <c r="I94" s="218" t="n"/>
      <c r="J94" s="218" t="n"/>
      <c r="K94" s="218" t="n"/>
      <c r="L94" s="218" t="n"/>
      <c r="M94" s="218" t="n"/>
      <c r="N94" s="218" t="n"/>
      <c r="O94" s="222">
        <f>IF($A94="","",IF(IF($B94="343",NETWORKDAYS($A94,$A94,FERIADOS_343),IF($B94="281",NETWORKDAYS($A94,$A94,FERIADOS_281),NETWORKDAYS($A94,$A94,FERIADOS_342)))=1,"SIM","NÃO"))</f>
      </c>
      <c r="P94" s="232">
        <f>IF($A94="","",$A94-WEEKDAY($A94,2)+5)</f>
      </c>
    </row>
    <row r="95">
      <c r="A95" s="220" t="n"/>
      <c r="B95" s="218" t="n"/>
      <c r="C95" s="218" t="n"/>
      <c r="D95" s="218" t="n"/>
      <c r="E95" s="218" t="n"/>
      <c r="F95" s="328" t="n"/>
      <c r="G95" s="218" t="n"/>
      <c r="H95" s="218" t="n"/>
      <c r="I95" s="218" t="n"/>
      <c r="J95" s="218" t="n"/>
      <c r="K95" s="218" t="n"/>
      <c r="L95" s="218" t="n"/>
      <c r="M95" s="218" t="n"/>
      <c r="N95" s="218" t="n"/>
      <c r="O95" s="222">
        <f>IF($A95="","",IF(IF($B95="343",NETWORKDAYS($A95,$A95,FERIADOS_343),IF($B95="281",NETWORKDAYS($A95,$A95,FERIADOS_281),NETWORKDAYS($A95,$A95,FERIADOS_342)))=1,"SIM","NÃO"))</f>
      </c>
      <c r="P95" s="232">
        <f>IF($A95="","",$A95-WEEKDAY($A95,2)+5)</f>
      </c>
    </row>
    <row r="96">
      <c r="A96" s="220" t="n"/>
      <c r="B96" s="218" t="n"/>
      <c r="C96" s="218" t="n"/>
      <c r="D96" s="218" t="n"/>
      <c r="E96" s="218" t="n"/>
      <c r="F96" s="328" t="n"/>
      <c r="G96" s="218" t="n"/>
      <c r="H96" s="218" t="n"/>
      <c r="I96" s="218" t="n"/>
      <c r="J96" s="218" t="n"/>
      <c r="K96" s="218" t="n"/>
      <c r="L96" s="218" t="n"/>
      <c r="M96" s="218" t="n"/>
      <c r="N96" s="218" t="n"/>
      <c r="O96" s="222">
        <f>IF($A96="","",IF(IF($B96="343",NETWORKDAYS($A96,$A96,FERIADOS_343),IF($B96="281",NETWORKDAYS($A96,$A96,FERIADOS_281),NETWORKDAYS($A96,$A96,FERIADOS_342)))=1,"SIM","NÃO"))</f>
      </c>
      <c r="P96" s="232">
        <f>IF($A96="","",$A96-WEEKDAY($A96,2)+5)</f>
      </c>
    </row>
    <row r="97">
      <c r="A97" s="220" t="n"/>
      <c r="B97" s="218" t="n"/>
      <c r="C97" s="218" t="n"/>
      <c r="D97" s="218" t="n"/>
      <c r="E97" s="218" t="n"/>
      <c r="F97" s="328" t="n"/>
      <c r="G97" s="218" t="n"/>
      <c r="H97" s="218" t="n"/>
      <c r="I97" s="218" t="n"/>
      <c r="J97" s="218" t="n"/>
      <c r="K97" s="218" t="n"/>
      <c r="L97" s="218" t="n"/>
      <c r="M97" s="218" t="n"/>
      <c r="N97" s="218" t="n"/>
      <c r="O97" s="222">
        <f>IF($A97="","",IF(IF($B97="343",NETWORKDAYS($A97,$A97,FERIADOS_343),IF($B97="281",NETWORKDAYS($A97,$A97,FERIADOS_281),NETWORKDAYS($A97,$A97,FERIADOS_342)))=1,"SIM","NÃO"))</f>
      </c>
      <c r="P97" s="232">
        <f>IF($A97="","",$A97-WEEKDAY($A97,2)+5)</f>
      </c>
    </row>
    <row r="98">
      <c r="A98" s="220" t="n"/>
      <c r="B98" s="218" t="n"/>
      <c r="C98" s="218" t="n"/>
      <c r="D98" s="218" t="n"/>
      <c r="E98" s="218" t="n"/>
      <c r="F98" s="328" t="n"/>
      <c r="G98" s="218" t="n"/>
      <c r="H98" s="218" t="n"/>
      <c r="I98" s="218" t="n"/>
      <c r="J98" s="218" t="n"/>
      <c r="K98" s="218" t="n"/>
      <c r="L98" s="218" t="n"/>
      <c r="M98" s="218" t="n"/>
      <c r="N98" s="218" t="n"/>
      <c r="O98" s="222">
        <f>IF($A98="","",IF(IF($B98="343",NETWORKDAYS($A98,$A98,FERIADOS_343),IF($B98="281",NETWORKDAYS($A98,$A98,FERIADOS_281),NETWORKDAYS($A98,$A98,FERIADOS_342)))=1,"SIM","NÃO"))</f>
      </c>
      <c r="P98" s="232">
        <f>IF($A98="","",$A98-WEEKDAY($A98,2)+5)</f>
      </c>
    </row>
    <row r="99">
      <c r="A99" s="220" t="n"/>
      <c r="B99" s="218" t="n"/>
      <c r="C99" s="218" t="n"/>
      <c r="D99" s="218" t="n"/>
      <c r="E99" s="218" t="n"/>
      <c r="F99" s="328" t="n"/>
      <c r="G99" s="218" t="n"/>
      <c r="H99" s="218" t="n"/>
      <c r="I99" s="218" t="n"/>
      <c r="J99" s="218" t="n"/>
      <c r="K99" s="218" t="n"/>
      <c r="L99" s="218" t="n"/>
      <c r="M99" s="218" t="n"/>
      <c r="N99" s="218" t="n"/>
      <c r="O99" s="222">
        <f>IF($A99="","",IF(IF($B99="343",NETWORKDAYS($A99,$A99,FERIADOS_343),IF($B99="281",NETWORKDAYS($A99,$A99,FERIADOS_281),NETWORKDAYS($A99,$A99,FERIADOS_342)))=1,"SIM","NÃO"))</f>
      </c>
      <c r="P99" s="232">
        <f>IF($A99="","",$A99-WEEKDAY($A99,2)+5)</f>
      </c>
    </row>
    <row r="100">
      <c r="A100" s="220" t="n"/>
      <c r="B100" s="218" t="n"/>
      <c r="C100" s="218" t="n"/>
      <c r="D100" s="218" t="n"/>
      <c r="E100" s="218" t="n"/>
      <c r="F100" s="328" t="n"/>
      <c r="G100" s="218" t="n"/>
      <c r="H100" s="218" t="n"/>
      <c r="I100" s="218" t="n"/>
      <c r="J100" s="218" t="n"/>
      <c r="K100" s="218" t="n"/>
      <c r="L100" s="218" t="n"/>
      <c r="M100" s="218" t="n"/>
      <c r="N100" s="218" t="n"/>
      <c r="O100" s="222">
        <f>IF($A100="","",IF(IF($B100="343",NETWORKDAYS($A100,$A100,FERIADOS_343),IF($B100="281",NETWORKDAYS($A100,$A100,FERIADOS_281),NETWORKDAYS($A100,$A100,FERIADOS_342)))=1,"SIM","NÃO"))</f>
      </c>
      <c r="P100" s="232">
        <f>IF($A100="","",$A100-WEEKDAY($A100,2)+5)</f>
      </c>
    </row>
    <row r="101">
      <c r="A101" s="220" t="n"/>
      <c r="B101" s="218" t="n"/>
      <c r="C101" s="218" t="n"/>
      <c r="D101" s="218" t="n"/>
      <c r="E101" s="218" t="n"/>
      <c r="F101" s="328" t="n"/>
      <c r="G101" s="218" t="n"/>
      <c r="H101" s="218" t="n"/>
      <c r="I101" s="218" t="n"/>
      <c r="J101" s="218" t="n"/>
      <c r="K101" s="218" t="n"/>
      <c r="L101" s="218" t="n"/>
      <c r="M101" s="218" t="n"/>
      <c r="N101" s="218" t="n"/>
      <c r="O101" s="222">
        <f>IF($A101="","",IF(IF($B101="343",NETWORKDAYS($A101,$A101,FERIADOS_343),IF($B101="281",NETWORKDAYS($A101,$A101,FERIADOS_281),NETWORKDAYS($A101,$A101,FERIADOS_342)))=1,"SIM","NÃO"))</f>
      </c>
      <c r="P101" s="232">
        <f>IF($A101="","",$A101-WEEKDAY($A101,2)+5)</f>
      </c>
    </row>
    <row r="102">
      <c r="A102" s="220" t="n"/>
      <c r="B102" s="218" t="n"/>
      <c r="C102" s="218" t="n"/>
      <c r="D102" s="218" t="n"/>
      <c r="E102" s="218" t="n"/>
      <c r="F102" s="328" t="n"/>
      <c r="G102" s="218" t="n"/>
      <c r="H102" s="218" t="n"/>
      <c r="I102" s="218" t="n"/>
      <c r="J102" s="218" t="n"/>
      <c r="K102" s="218" t="n"/>
      <c r="L102" s="218" t="n"/>
      <c r="M102" s="218" t="n"/>
      <c r="N102" s="218" t="n"/>
      <c r="O102" s="222">
        <f>IF($A102="","",IF(IF($B102="343",NETWORKDAYS($A102,$A102,FERIADOS_343),IF($B102="281",NETWORKDAYS($A102,$A102,FERIADOS_281),NETWORKDAYS($A102,$A102,FERIADOS_342)))=1,"SIM","NÃO"))</f>
      </c>
      <c r="P102" s="232">
        <f>IF($A102="","",$A102-WEEKDAY($A102,2)+5)</f>
      </c>
    </row>
    <row r="103">
      <c r="A103" s="220" t="n"/>
      <c r="B103" s="218" t="n"/>
      <c r="C103" s="218" t="n"/>
      <c r="D103" s="218" t="n"/>
      <c r="E103" s="218" t="n"/>
      <c r="F103" s="328" t="n"/>
      <c r="G103" s="218" t="n"/>
      <c r="H103" s="218" t="n"/>
      <c r="I103" s="218" t="n"/>
      <c r="J103" s="218" t="n"/>
      <c r="K103" s="218" t="n"/>
      <c r="L103" s="218" t="n"/>
      <c r="M103" s="218" t="n"/>
      <c r="N103" s="218" t="n"/>
      <c r="O103" s="222">
        <f>IF($A103="","",IF(IF($B103="343",NETWORKDAYS($A103,$A103,FERIADOS_343),IF($B103="281",NETWORKDAYS($A103,$A103,FERIADOS_281),NETWORKDAYS($A103,$A103,FERIADOS_342)))=1,"SIM","NÃO"))</f>
      </c>
      <c r="P103" s="232">
        <f>IF($A103="","",$A103-WEEKDAY($A103,2)+5)</f>
      </c>
    </row>
    <row r="104">
      <c r="A104" s="220" t="n"/>
      <c r="B104" s="218" t="n"/>
      <c r="C104" s="218" t="n"/>
      <c r="D104" s="218" t="n"/>
      <c r="E104" s="218" t="n"/>
      <c r="F104" s="328" t="n"/>
      <c r="G104" s="218" t="n"/>
      <c r="H104" s="218" t="n"/>
      <c r="I104" s="218" t="n"/>
      <c r="J104" s="218" t="n"/>
      <c r="K104" s="218" t="n"/>
      <c r="L104" s="218" t="n"/>
      <c r="M104" s="218" t="n"/>
      <c r="N104" s="218" t="n"/>
      <c r="O104" s="222">
        <f>IF($A104="","",IF(IF($B104="343",NETWORKDAYS($A104,$A104,FERIADOS_343),IF($B104="281",NETWORKDAYS($A104,$A104,FERIADOS_281),NETWORKDAYS($A104,$A104,FERIADOS_342)))=1,"SIM","NÃO"))</f>
      </c>
      <c r="P104" s="232">
        <f>IF($A104="","",$A104-WEEKDAY($A104,2)+5)</f>
      </c>
    </row>
    <row r="105">
      <c r="A105" s="220" t="n"/>
      <c r="B105" s="218" t="n"/>
      <c r="C105" s="218" t="n"/>
      <c r="D105" s="218" t="n"/>
      <c r="E105" s="218" t="n"/>
      <c r="F105" s="328" t="n"/>
      <c r="G105" s="218" t="n"/>
      <c r="H105" s="218" t="n"/>
      <c r="I105" s="218" t="n"/>
      <c r="J105" s="218" t="n"/>
      <c r="K105" s="218" t="n"/>
      <c r="L105" s="218" t="n"/>
      <c r="M105" s="218" t="n"/>
      <c r="N105" s="218" t="n"/>
      <c r="O105" s="222">
        <f>IF($A105="","",IF(IF($B105="343",NETWORKDAYS($A105,$A105,FERIADOS_343),IF($B105="281",NETWORKDAYS($A105,$A105,FERIADOS_281),NETWORKDAYS($A105,$A105,FERIADOS_342)))=1,"SIM","NÃO"))</f>
      </c>
      <c r="P105" s="232">
        <f>IF($A105="","",$A105-WEEKDAY($A105,2)+5)</f>
      </c>
    </row>
    <row r="106">
      <c r="A106" s="220" t="n"/>
      <c r="B106" s="218" t="n"/>
      <c r="C106" s="218" t="n"/>
      <c r="D106" s="218" t="n"/>
      <c r="E106" s="218" t="n"/>
      <c r="F106" s="328" t="n"/>
      <c r="G106" s="218" t="n"/>
      <c r="H106" s="218" t="n"/>
      <c r="I106" s="218" t="n"/>
      <c r="J106" s="218" t="n"/>
      <c r="K106" s="218" t="n"/>
      <c r="L106" s="218" t="n"/>
      <c r="M106" s="218" t="n"/>
      <c r="N106" s="218" t="n"/>
      <c r="O106" s="222">
        <f>IF($A106="","",IF(IF($B106="343",NETWORKDAYS($A106,$A106,FERIADOS_343),IF($B106="281",NETWORKDAYS($A106,$A106,FERIADOS_281),NETWORKDAYS($A106,$A106,FERIADOS_342)))=1,"SIM","NÃO"))</f>
      </c>
      <c r="P106" s="232">
        <f>IF($A106="","",$A106-WEEKDAY($A106,2)+5)</f>
      </c>
    </row>
    <row r="107">
      <c r="A107" s="220" t="n"/>
      <c r="B107" s="218" t="n"/>
      <c r="C107" s="218" t="n"/>
      <c r="D107" s="218" t="n"/>
      <c r="E107" s="218" t="n"/>
      <c r="F107" s="328" t="n"/>
      <c r="G107" s="218" t="n"/>
      <c r="H107" s="218" t="n"/>
      <c r="I107" s="218" t="n"/>
      <c r="J107" s="218" t="n"/>
      <c r="K107" s="218" t="n"/>
      <c r="L107" s="218" t="n"/>
      <c r="M107" s="218" t="n"/>
      <c r="N107" s="218" t="n"/>
      <c r="O107" s="222">
        <f>IF($A107="","",IF(IF($B107="343",NETWORKDAYS($A107,$A107,FERIADOS_343),IF($B107="281",NETWORKDAYS($A107,$A107,FERIADOS_281),NETWORKDAYS($A107,$A107,FERIADOS_342)))=1,"SIM","NÃO"))</f>
      </c>
      <c r="P107" s="232">
        <f>IF($A107="","",$A107-WEEKDAY($A107,2)+5)</f>
      </c>
    </row>
    <row r="108">
      <c r="A108" s="220" t="n"/>
      <c r="B108" s="218" t="n"/>
      <c r="C108" s="218" t="n"/>
      <c r="D108" s="218" t="n"/>
      <c r="E108" s="218" t="n"/>
      <c r="F108" s="328" t="n"/>
      <c r="G108" s="218" t="n"/>
      <c r="H108" s="218" t="n"/>
      <c r="I108" s="218" t="n"/>
      <c r="J108" s="218" t="n"/>
      <c r="K108" s="218" t="n"/>
      <c r="L108" s="218" t="n"/>
      <c r="M108" s="218" t="n"/>
      <c r="N108" s="218" t="n"/>
      <c r="O108" s="222">
        <f>IF($A108="","",IF(IF($B108="343",NETWORKDAYS($A108,$A108,FERIADOS_343),IF($B108="281",NETWORKDAYS($A108,$A108,FERIADOS_281),NETWORKDAYS($A108,$A108,FERIADOS_342)))=1,"SIM","NÃO"))</f>
      </c>
      <c r="P108" s="232">
        <f>IF($A108="","",$A108-WEEKDAY($A108,2)+5)</f>
      </c>
    </row>
    <row r="109">
      <c r="A109" s="220" t="n"/>
      <c r="B109" s="218" t="n"/>
      <c r="C109" s="218" t="n"/>
      <c r="D109" s="218" t="n"/>
      <c r="E109" s="218" t="n"/>
      <c r="F109" s="328" t="n"/>
      <c r="G109" s="218" t="n"/>
      <c r="H109" s="218" t="n"/>
      <c r="I109" s="218" t="n"/>
      <c r="J109" s="218" t="n"/>
      <c r="K109" s="218" t="n"/>
      <c r="L109" s="218" t="n"/>
      <c r="M109" s="218" t="n"/>
      <c r="N109" s="218" t="n"/>
      <c r="O109" s="222">
        <f>IF($A109="","",IF(IF($B109="343",NETWORKDAYS($A109,$A109,FERIADOS_343),IF($B109="281",NETWORKDAYS($A109,$A109,FERIADOS_281),NETWORKDAYS($A109,$A109,FERIADOS_342)))=1,"SIM","NÃO"))</f>
      </c>
      <c r="P109" s="232">
        <f>IF($A109="","",$A109-WEEKDAY($A109,2)+5)</f>
      </c>
    </row>
    <row r="110">
      <c r="A110" s="220" t="n"/>
      <c r="B110" s="218" t="n"/>
      <c r="C110" s="218" t="n"/>
      <c r="D110" s="218" t="n"/>
      <c r="E110" s="218" t="n"/>
      <c r="F110" s="328" t="n"/>
      <c r="G110" s="218" t="n"/>
      <c r="H110" s="218" t="n"/>
      <c r="I110" s="218" t="n"/>
      <c r="J110" s="218" t="n"/>
      <c r="K110" s="218" t="n"/>
      <c r="L110" s="218" t="n"/>
      <c r="M110" s="218" t="n"/>
      <c r="N110" s="218" t="n"/>
      <c r="O110" s="222">
        <f>IF($A110="","",IF(IF($B110="343",NETWORKDAYS($A110,$A110,FERIADOS_343),IF($B110="281",NETWORKDAYS($A110,$A110,FERIADOS_281),NETWORKDAYS($A110,$A110,FERIADOS_342)))=1,"SIM","NÃO"))</f>
      </c>
      <c r="P110" s="232">
        <f>IF($A110="","",$A110-WEEKDAY($A110,2)+5)</f>
      </c>
    </row>
    <row r="111">
      <c r="A111" s="220" t="n"/>
      <c r="B111" s="218" t="n"/>
      <c r="C111" s="218" t="n"/>
      <c r="D111" s="218" t="n"/>
      <c r="E111" s="218" t="n"/>
      <c r="F111" s="328" t="n"/>
      <c r="G111" s="218" t="n"/>
      <c r="H111" s="218" t="n"/>
      <c r="I111" s="218" t="n"/>
      <c r="J111" s="218" t="n"/>
      <c r="K111" s="218" t="n"/>
      <c r="L111" s="218" t="n"/>
      <c r="M111" s="218" t="n"/>
      <c r="N111" s="218" t="n"/>
      <c r="O111" s="222">
        <f>IF($A111="","",IF(IF($B111="343",NETWORKDAYS($A111,$A111,FERIADOS_343),IF($B111="281",NETWORKDAYS($A111,$A111,FERIADOS_281),NETWORKDAYS($A111,$A111,FERIADOS_342)))=1,"SIM","NÃO"))</f>
      </c>
      <c r="P111" s="232">
        <f>IF($A111="","",$A111-WEEKDAY($A111,2)+5)</f>
      </c>
    </row>
    <row r="112">
      <c r="A112" s="220" t="n"/>
      <c r="B112" s="218" t="n"/>
      <c r="C112" s="218" t="n"/>
      <c r="D112" s="218" t="n"/>
      <c r="E112" s="218" t="n"/>
      <c r="F112" s="328" t="n"/>
      <c r="G112" s="218" t="n"/>
      <c r="H112" s="218" t="n"/>
      <c r="I112" s="218" t="n"/>
      <c r="J112" s="218" t="n"/>
      <c r="K112" s="218" t="n"/>
      <c r="L112" s="218" t="n"/>
      <c r="M112" s="218" t="n"/>
      <c r="N112" s="218" t="n"/>
      <c r="O112" s="222">
        <f>IF($A112="","",IF(IF($B112="343",NETWORKDAYS($A112,$A112,FERIADOS_343),IF($B112="281",NETWORKDAYS($A112,$A112,FERIADOS_281),NETWORKDAYS($A112,$A112,FERIADOS_342)))=1,"SIM","NÃO"))</f>
      </c>
      <c r="P112" s="232">
        <f>IF($A112="","",$A112-WEEKDAY($A112,2)+5)</f>
      </c>
    </row>
    <row r="113">
      <c r="A113" s="220" t="n"/>
      <c r="B113" s="218" t="n"/>
      <c r="C113" s="218" t="n"/>
      <c r="D113" s="218" t="n"/>
      <c r="E113" s="218" t="n"/>
      <c r="F113" s="328" t="n"/>
      <c r="G113" s="218" t="n"/>
      <c r="H113" s="218" t="n"/>
      <c r="I113" s="218" t="n"/>
      <c r="J113" s="218" t="n"/>
      <c r="K113" s="218" t="n"/>
      <c r="L113" s="218" t="n"/>
      <c r="M113" s="218" t="n"/>
      <c r="N113" s="218" t="n"/>
      <c r="O113" s="222">
        <f>IF($A113="","",IF(IF($B113="343",NETWORKDAYS($A113,$A113,FERIADOS_343),IF($B113="281",NETWORKDAYS($A113,$A113,FERIADOS_281),NETWORKDAYS($A113,$A113,FERIADOS_342)))=1,"SIM","NÃO"))</f>
      </c>
      <c r="P113" s="232">
        <f>IF($A113="","",$A113-WEEKDAY($A113,2)+5)</f>
      </c>
    </row>
    <row r="114">
      <c r="A114" s="220" t="n"/>
      <c r="B114" s="218" t="n"/>
      <c r="C114" s="218" t="n"/>
      <c r="D114" s="218" t="n"/>
      <c r="E114" s="218" t="n"/>
      <c r="F114" s="328" t="n"/>
      <c r="G114" s="218" t="n"/>
      <c r="H114" s="218" t="n"/>
      <c r="I114" s="218" t="n"/>
      <c r="J114" s="218" t="n"/>
      <c r="K114" s="218" t="n"/>
      <c r="L114" s="218" t="n"/>
      <c r="M114" s="218" t="n"/>
      <c r="N114" s="218" t="n"/>
      <c r="O114" s="222">
        <f>IF($A114="","",IF(IF($B114="343",NETWORKDAYS($A114,$A114,FERIADOS_343),IF($B114="281",NETWORKDAYS($A114,$A114,FERIADOS_281),NETWORKDAYS($A114,$A114,FERIADOS_342)))=1,"SIM","NÃO"))</f>
      </c>
      <c r="P114" s="232">
        <f>IF($A114="","",$A114-WEEKDAY($A114,2)+5)</f>
      </c>
    </row>
    <row r="115">
      <c r="A115" s="220" t="n"/>
      <c r="B115" s="218" t="n"/>
      <c r="C115" s="218" t="n"/>
      <c r="D115" s="218" t="n"/>
      <c r="E115" s="218" t="n"/>
      <c r="F115" s="328" t="n"/>
      <c r="G115" s="218" t="n"/>
      <c r="H115" s="218" t="n"/>
      <c r="I115" s="218" t="n"/>
      <c r="J115" s="218" t="n"/>
      <c r="K115" s="218" t="n"/>
      <c r="L115" s="218" t="n"/>
      <c r="M115" s="218" t="n"/>
      <c r="N115" s="218" t="n"/>
      <c r="O115" s="222">
        <f>IF($A115="","",IF(IF($B115="343",NETWORKDAYS($A115,$A115,FERIADOS_343),IF($B115="281",NETWORKDAYS($A115,$A115,FERIADOS_281),NETWORKDAYS($A115,$A115,FERIADOS_342)))=1,"SIM","NÃO"))</f>
      </c>
      <c r="P115" s="232">
        <f>IF($A115="","",$A115-WEEKDAY($A115,2)+5)</f>
      </c>
    </row>
    <row r="116">
      <c r="A116" s="220" t="n"/>
      <c r="B116" s="218" t="n"/>
      <c r="C116" s="218" t="n"/>
      <c r="D116" s="218" t="n"/>
      <c r="E116" s="218" t="n"/>
      <c r="F116" s="328" t="n"/>
      <c r="G116" s="218" t="n"/>
      <c r="H116" s="218" t="n"/>
      <c r="I116" s="218" t="n"/>
      <c r="J116" s="218" t="n"/>
      <c r="K116" s="218" t="n"/>
      <c r="L116" s="218" t="n"/>
      <c r="M116" s="218" t="n"/>
      <c r="N116" s="218" t="n"/>
      <c r="O116" s="222">
        <f>IF($A116="","",IF(IF($B116="343",NETWORKDAYS($A116,$A116,FERIADOS_343),IF($B116="281",NETWORKDAYS($A116,$A116,FERIADOS_281),NETWORKDAYS($A116,$A116,FERIADOS_342)))=1,"SIM","NÃO"))</f>
      </c>
      <c r="P116" s="232">
        <f>IF($A116="","",$A116-WEEKDAY($A116,2)+5)</f>
      </c>
    </row>
    <row r="117">
      <c r="A117" s="220" t="n"/>
      <c r="B117" s="218" t="n"/>
      <c r="C117" s="218" t="n"/>
      <c r="D117" s="218" t="n"/>
      <c r="E117" s="218" t="n"/>
      <c r="F117" s="328" t="n"/>
      <c r="G117" s="218" t="n"/>
      <c r="H117" s="218" t="n"/>
      <c r="I117" s="218" t="n"/>
      <c r="J117" s="218" t="n"/>
      <c r="K117" s="218" t="n"/>
      <c r="L117" s="218" t="n"/>
      <c r="M117" s="218" t="n"/>
      <c r="N117" s="218" t="n"/>
      <c r="O117" s="222">
        <f>IF($A117="","",IF(IF($B117="343",NETWORKDAYS($A117,$A117,FERIADOS_343),IF($B117="281",NETWORKDAYS($A117,$A117,FERIADOS_281),NETWORKDAYS($A117,$A117,FERIADOS_342)))=1,"SIM","NÃO"))</f>
      </c>
      <c r="P117" s="232">
        <f>IF($A117="","",$A117-WEEKDAY($A117,2)+5)</f>
      </c>
    </row>
    <row r="118">
      <c r="A118" s="220" t="n"/>
      <c r="B118" s="218" t="n"/>
      <c r="C118" s="218" t="n"/>
      <c r="D118" s="218" t="n"/>
      <c r="E118" s="218" t="n"/>
      <c r="F118" s="328" t="n"/>
      <c r="G118" s="218" t="n"/>
      <c r="H118" s="218" t="n"/>
      <c r="I118" s="218" t="n"/>
      <c r="J118" s="218" t="n"/>
      <c r="K118" s="218" t="n"/>
      <c r="L118" s="218" t="n"/>
      <c r="M118" s="218" t="n"/>
      <c r="N118" s="218" t="n"/>
      <c r="O118" s="222">
        <f>IF($A118="","",IF(IF($B118="343",NETWORKDAYS($A118,$A118,FERIADOS_343),IF($B118="281",NETWORKDAYS($A118,$A118,FERIADOS_281),NETWORKDAYS($A118,$A118,FERIADOS_342)))=1,"SIM","NÃO"))</f>
      </c>
      <c r="P118" s="232">
        <f>IF($A118="","",$A118-WEEKDAY($A118,2)+5)</f>
      </c>
    </row>
    <row r="119">
      <c r="A119" s="220" t="n"/>
      <c r="B119" s="218" t="n"/>
      <c r="C119" s="218" t="n"/>
      <c r="D119" s="218" t="n"/>
      <c r="E119" s="218" t="n"/>
      <c r="F119" s="328" t="n"/>
      <c r="G119" s="218" t="n"/>
      <c r="H119" s="218" t="n"/>
      <c r="I119" s="218" t="n"/>
      <c r="J119" s="218" t="n"/>
      <c r="K119" s="218" t="n"/>
      <c r="L119" s="218" t="n"/>
      <c r="M119" s="218" t="n"/>
      <c r="N119" s="218" t="n"/>
      <c r="O119" s="222">
        <f>IF($A119="","",IF(IF($B119="343",NETWORKDAYS($A119,$A119,FERIADOS_343),IF($B119="281",NETWORKDAYS($A119,$A119,FERIADOS_281),NETWORKDAYS($A119,$A119,FERIADOS_342)))=1,"SIM","NÃO"))</f>
      </c>
      <c r="P119" s="232">
        <f>IF($A119="","",$A119-WEEKDAY($A119,2)+5)</f>
      </c>
    </row>
    <row r="120">
      <c r="A120" s="220" t="n"/>
      <c r="B120" s="218" t="n"/>
      <c r="C120" s="218" t="n"/>
      <c r="D120" s="218" t="n"/>
      <c r="E120" s="218" t="n"/>
      <c r="F120" s="328" t="n"/>
      <c r="G120" s="218" t="n"/>
      <c r="H120" s="218" t="n"/>
      <c r="I120" s="218" t="n"/>
      <c r="J120" s="218" t="n"/>
      <c r="K120" s="218" t="n"/>
      <c r="L120" s="218" t="n"/>
      <c r="M120" s="218" t="n"/>
      <c r="N120" s="218" t="n"/>
      <c r="O120" s="222">
        <f>IF($A120="","",IF(IF($B120="343",NETWORKDAYS($A120,$A120,FERIADOS_343),IF($B120="281",NETWORKDAYS($A120,$A120,FERIADOS_281),NETWORKDAYS($A120,$A120,FERIADOS_342)))=1,"SIM","NÃO"))</f>
      </c>
      <c r="P120" s="232">
        <f>IF($A120="","",$A120-WEEKDAY($A120,2)+5)</f>
      </c>
    </row>
    <row r="121">
      <c r="A121" s="220" t="n"/>
      <c r="B121" s="218" t="n"/>
      <c r="C121" s="218" t="n"/>
      <c r="D121" s="218" t="n"/>
      <c r="E121" s="218" t="n"/>
      <c r="F121" s="328" t="n"/>
      <c r="G121" s="218" t="n"/>
      <c r="H121" s="218" t="n"/>
      <c r="I121" s="218" t="n"/>
      <c r="J121" s="218" t="n"/>
      <c r="K121" s="218" t="n"/>
      <c r="L121" s="218" t="n"/>
      <c r="M121" s="218" t="n"/>
      <c r="N121" s="218" t="n"/>
      <c r="O121" s="222">
        <f>IF($A121="","",IF(IF($B121="343",NETWORKDAYS($A121,$A121,FERIADOS_343),IF($B121="281",NETWORKDAYS($A121,$A121,FERIADOS_281),NETWORKDAYS($A121,$A121,FERIADOS_342)))=1,"SIM","NÃO"))</f>
      </c>
      <c r="P121" s="232">
        <f>IF($A121="","",$A121-WEEKDAY($A121,2)+5)</f>
      </c>
    </row>
    <row r="122">
      <c r="A122" s="220" t="n"/>
      <c r="B122" s="218" t="n"/>
      <c r="C122" s="218" t="n"/>
      <c r="D122" s="218" t="n"/>
      <c r="E122" s="218" t="n"/>
      <c r="F122" s="328" t="n"/>
      <c r="G122" s="218" t="n"/>
      <c r="H122" s="218" t="n"/>
      <c r="I122" s="218" t="n"/>
      <c r="J122" s="218" t="n"/>
      <c r="K122" s="218" t="n"/>
      <c r="L122" s="218" t="n"/>
      <c r="M122" s="218" t="n"/>
      <c r="N122" s="218" t="n"/>
      <c r="O122" s="222">
        <f>IF($A122="","",IF(IF($B122="343",NETWORKDAYS($A122,$A122,FERIADOS_343),IF($B122="281",NETWORKDAYS($A122,$A122,FERIADOS_281),NETWORKDAYS($A122,$A122,FERIADOS_342)))=1,"SIM","NÃO"))</f>
      </c>
      <c r="P122" s="232">
        <f>IF($A122="","",$A122-WEEKDAY($A122,2)+5)</f>
      </c>
    </row>
    <row r="123">
      <c r="A123" s="220" t="n"/>
      <c r="B123" s="218" t="n"/>
      <c r="C123" s="218" t="n"/>
      <c r="D123" s="218" t="n"/>
      <c r="E123" s="218" t="n"/>
      <c r="F123" s="328" t="n"/>
      <c r="G123" s="218" t="n"/>
      <c r="H123" s="218" t="n"/>
      <c r="I123" s="218" t="n"/>
      <c r="J123" s="218" t="n"/>
      <c r="K123" s="218" t="n"/>
      <c r="L123" s="218" t="n"/>
      <c r="M123" s="218" t="n"/>
      <c r="N123" s="218" t="n"/>
      <c r="O123" s="222">
        <f>IF($A123="","",IF(IF($B123="343",NETWORKDAYS($A123,$A123,FERIADOS_343),IF($B123="281",NETWORKDAYS($A123,$A123,FERIADOS_281),NETWORKDAYS($A123,$A123,FERIADOS_342)))=1,"SIM","NÃO"))</f>
      </c>
      <c r="P123" s="232">
        <f>IF($A123="","",$A123-WEEKDAY($A123,2)+5)</f>
      </c>
    </row>
    <row r="124">
      <c r="A124" s="220" t="n"/>
      <c r="B124" s="218" t="n"/>
      <c r="C124" s="218" t="n"/>
      <c r="D124" s="218" t="n"/>
      <c r="E124" s="218" t="n"/>
      <c r="F124" s="328" t="n"/>
      <c r="G124" s="218" t="n"/>
      <c r="H124" s="218" t="n"/>
      <c r="I124" s="218" t="n"/>
      <c r="J124" s="218" t="n"/>
      <c r="K124" s="218" t="n"/>
      <c r="L124" s="218" t="n"/>
      <c r="M124" s="218" t="n"/>
      <c r="N124" s="218" t="n"/>
      <c r="O124" s="222">
        <f>IF($A124="","",IF(IF($B124="343",NETWORKDAYS($A124,$A124,FERIADOS_343),IF($B124="281",NETWORKDAYS($A124,$A124,FERIADOS_281),NETWORKDAYS($A124,$A124,FERIADOS_342)))=1,"SIM","NÃO"))</f>
      </c>
      <c r="P124" s="232">
        <f>IF($A124="","",$A124-WEEKDAY($A124,2)+5)</f>
      </c>
    </row>
    <row r="125">
      <c r="A125" s="220" t="n"/>
      <c r="B125" s="218" t="n"/>
      <c r="C125" s="218" t="n"/>
      <c r="D125" s="218" t="n"/>
      <c r="E125" s="218" t="n"/>
      <c r="F125" s="328" t="n"/>
      <c r="G125" s="218" t="n"/>
      <c r="H125" s="218" t="n"/>
      <c r="I125" s="218" t="n"/>
      <c r="J125" s="218" t="n"/>
      <c r="K125" s="218" t="n"/>
      <c r="L125" s="218" t="n"/>
      <c r="M125" s="218" t="n"/>
      <c r="N125" s="218" t="n"/>
      <c r="O125" s="222">
        <f>IF($A125="","",IF(IF($B125="343",NETWORKDAYS($A125,$A125,FERIADOS_343),IF($B125="281",NETWORKDAYS($A125,$A125,FERIADOS_281),NETWORKDAYS($A125,$A125,FERIADOS_342)))=1,"SIM","NÃO"))</f>
      </c>
      <c r="P125" s="232">
        <f>IF($A125="","",$A125-WEEKDAY($A125,2)+5)</f>
      </c>
    </row>
    <row r="126">
      <c r="A126" s="220" t="n"/>
      <c r="B126" s="218" t="n"/>
      <c r="C126" s="218" t="n"/>
      <c r="D126" s="218" t="n"/>
      <c r="E126" s="218" t="n"/>
      <c r="F126" s="328" t="n"/>
      <c r="G126" s="218" t="n"/>
      <c r="H126" s="218" t="n"/>
      <c r="I126" s="218" t="n"/>
      <c r="J126" s="218" t="n"/>
      <c r="K126" s="218" t="n"/>
      <c r="L126" s="218" t="n"/>
      <c r="M126" s="218" t="n"/>
      <c r="N126" s="218" t="n"/>
      <c r="O126" s="222">
        <f>IF($A126="","",IF(IF($B126="343",NETWORKDAYS($A126,$A126,FERIADOS_343),IF($B126="281",NETWORKDAYS($A126,$A126,FERIADOS_281),NETWORKDAYS($A126,$A126,FERIADOS_342)))=1,"SIM","NÃO"))</f>
      </c>
      <c r="P126" s="232">
        <f>IF($A126="","",$A126-WEEKDAY($A126,2)+5)</f>
      </c>
    </row>
    <row r="127">
      <c r="A127" s="220" t="n"/>
      <c r="B127" s="218" t="n"/>
      <c r="C127" s="218" t="n"/>
      <c r="D127" s="218" t="n"/>
      <c r="E127" s="218" t="n"/>
      <c r="F127" s="328" t="n"/>
      <c r="G127" s="218" t="n"/>
      <c r="H127" s="218" t="n"/>
      <c r="I127" s="218" t="n"/>
      <c r="J127" s="218" t="n"/>
      <c r="K127" s="218" t="n"/>
      <c r="L127" s="218" t="n"/>
      <c r="M127" s="218" t="n"/>
      <c r="N127" s="218" t="n"/>
      <c r="O127" s="222">
        <f>IF($A127="","",IF(IF($B127="343",NETWORKDAYS($A127,$A127,FERIADOS_343),IF($B127="281",NETWORKDAYS($A127,$A127,FERIADOS_281),NETWORKDAYS($A127,$A127,FERIADOS_342)))=1,"SIM","NÃO"))</f>
      </c>
      <c r="P127" s="232">
        <f>IF($A127="","",$A127-WEEKDAY($A127,2)+5)</f>
      </c>
    </row>
    <row r="128">
      <c r="A128" s="220" t="n"/>
      <c r="B128" s="218" t="n"/>
      <c r="C128" s="218" t="n"/>
      <c r="D128" s="218" t="n"/>
      <c r="E128" s="218" t="n"/>
      <c r="F128" s="328" t="n"/>
      <c r="G128" s="218" t="n"/>
      <c r="H128" s="218" t="n"/>
      <c r="I128" s="218" t="n"/>
      <c r="J128" s="218" t="n"/>
      <c r="K128" s="218" t="n"/>
      <c r="L128" s="218" t="n"/>
      <c r="M128" s="218" t="n"/>
      <c r="N128" s="218" t="n"/>
      <c r="O128" s="222">
        <f>IF($A128="","",IF(IF($B128="343",NETWORKDAYS($A128,$A128,FERIADOS_343),IF($B128="281",NETWORKDAYS($A128,$A128,FERIADOS_281),NETWORKDAYS($A128,$A128,FERIADOS_342)))=1,"SIM","NÃO"))</f>
      </c>
      <c r="P128" s="232">
        <f>IF($A128="","",$A128-WEEKDAY($A128,2)+5)</f>
      </c>
    </row>
    <row r="129">
      <c r="A129" s="220" t="n"/>
      <c r="B129" s="218" t="n"/>
      <c r="C129" s="218" t="n"/>
      <c r="D129" s="218" t="n"/>
      <c r="E129" s="218" t="n"/>
      <c r="F129" s="328" t="n"/>
      <c r="G129" s="218" t="n"/>
      <c r="H129" s="218" t="n"/>
      <c r="I129" s="218" t="n"/>
      <c r="J129" s="218" t="n"/>
      <c r="K129" s="218" t="n"/>
      <c r="L129" s="218" t="n"/>
      <c r="M129" s="218" t="n"/>
      <c r="N129" s="218" t="n"/>
      <c r="O129" s="222">
        <f>IF($A129="","",IF(IF($B129="343",NETWORKDAYS($A129,$A129,FERIADOS_343),IF($B129="281",NETWORKDAYS($A129,$A129,FERIADOS_281),NETWORKDAYS($A129,$A129,FERIADOS_342)))=1,"SIM","NÃO"))</f>
      </c>
      <c r="P129" s="232">
        <f>IF($A129="","",$A129-WEEKDAY($A129,2)+5)</f>
      </c>
    </row>
    <row r="130">
      <c r="A130" s="220" t="n"/>
      <c r="B130" s="218" t="n"/>
      <c r="C130" s="218" t="n"/>
      <c r="D130" s="218" t="n"/>
      <c r="E130" s="218" t="n"/>
      <c r="F130" s="328" t="n"/>
      <c r="G130" s="218" t="n"/>
      <c r="H130" s="218" t="n"/>
      <c r="I130" s="218" t="n"/>
      <c r="J130" s="218" t="n"/>
      <c r="K130" s="218" t="n"/>
      <c r="L130" s="218" t="n"/>
      <c r="M130" s="218" t="n"/>
      <c r="N130" s="218" t="n"/>
      <c r="O130" s="222">
        <f>IF($A130="","",IF(IF($B130="343",NETWORKDAYS($A130,$A130,FERIADOS_343),IF($B130="281",NETWORKDAYS($A130,$A130,FERIADOS_281),NETWORKDAYS($A130,$A130,FERIADOS_342)))=1,"SIM","NÃO"))</f>
      </c>
      <c r="P130" s="232">
        <f>IF($A130="","",$A130-WEEKDAY($A130,2)+5)</f>
      </c>
    </row>
    <row r="131">
      <c r="A131" s="220" t="n"/>
      <c r="B131" s="218" t="n"/>
      <c r="C131" s="218" t="n"/>
      <c r="D131" s="218" t="n"/>
      <c r="E131" s="218" t="n"/>
      <c r="F131" s="328" t="n"/>
      <c r="G131" s="218" t="n"/>
      <c r="H131" s="218" t="n"/>
      <c r="I131" s="218" t="n"/>
      <c r="J131" s="218" t="n"/>
      <c r="K131" s="218" t="n"/>
      <c r="L131" s="218" t="n"/>
      <c r="M131" s="218" t="n"/>
      <c r="N131" s="218" t="n"/>
      <c r="O131" s="222">
        <f>IF($A131="","",IF(IF($B131="343",NETWORKDAYS($A131,$A131,FERIADOS_343),IF($B131="281",NETWORKDAYS($A131,$A131,FERIADOS_281),NETWORKDAYS($A131,$A131,FERIADOS_342)))=1,"SIM","NÃO"))</f>
      </c>
      <c r="P131" s="232">
        <f>IF($A131="","",$A131-WEEKDAY($A131,2)+5)</f>
      </c>
    </row>
    <row r="132">
      <c r="A132" s="220" t="n"/>
      <c r="B132" s="218" t="n"/>
      <c r="C132" s="218" t="n"/>
      <c r="D132" s="218" t="n"/>
      <c r="E132" s="218" t="n"/>
      <c r="F132" s="328" t="n"/>
      <c r="G132" s="218" t="n"/>
      <c r="H132" s="218" t="n"/>
      <c r="I132" s="218" t="n"/>
      <c r="J132" s="218" t="n"/>
      <c r="K132" s="218" t="n"/>
      <c r="L132" s="218" t="n"/>
      <c r="M132" s="218" t="n"/>
      <c r="N132" s="218" t="n"/>
      <c r="O132" s="222">
        <f>IF($A132="","",IF(IF($B132="343",NETWORKDAYS($A132,$A132,FERIADOS_343),IF($B132="281",NETWORKDAYS($A132,$A132,FERIADOS_281),NETWORKDAYS($A132,$A132,FERIADOS_342)))=1,"SIM","NÃO"))</f>
      </c>
      <c r="P132" s="232">
        <f>IF($A132="","",$A132-WEEKDAY($A132,2)+5)</f>
      </c>
    </row>
    <row r="133">
      <c r="A133" s="220" t="n"/>
      <c r="B133" s="218" t="n"/>
      <c r="C133" s="218" t="n"/>
      <c r="D133" s="218" t="n"/>
      <c r="E133" s="218" t="n"/>
      <c r="F133" s="328" t="n"/>
      <c r="G133" s="218" t="n"/>
      <c r="H133" s="218" t="n"/>
      <c r="I133" s="218" t="n"/>
      <c r="J133" s="218" t="n"/>
      <c r="K133" s="218" t="n"/>
      <c r="L133" s="218" t="n"/>
      <c r="M133" s="218" t="n"/>
      <c r="N133" s="218" t="n"/>
      <c r="O133" s="222">
        <f>IF($A133="","",IF(IF($B133="343",NETWORKDAYS($A133,$A133,FERIADOS_343),IF($B133="281",NETWORKDAYS($A133,$A133,FERIADOS_281),NETWORKDAYS($A133,$A133,FERIADOS_342)))=1,"SIM","NÃO"))</f>
      </c>
      <c r="P133" s="232">
        <f>IF($A133="","",$A133-WEEKDAY($A133,2)+5)</f>
      </c>
    </row>
    <row r="134">
      <c r="A134" s="220" t="n"/>
      <c r="B134" s="218" t="n"/>
      <c r="C134" s="218" t="n"/>
      <c r="D134" s="218" t="n"/>
      <c r="E134" s="218" t="n"/>
      <c r="F134" s="328" t="n"/>
      <c r="G134" s="218" t="n"/>
      <c r="H134" s="218" t="n"/>
      <c r="I134" s="218" t="n"/>
      <c r="J134" s="218" t="n"/>
      <c r="K134" s="218" t="n"/>
      <c r="L134" s="218" t="n"/>
      <c r="M134" s="218" t="n"/>
      <c r="N134" s="218" t="n"/>
      <c r="O134" s="222">
        <f>IF($A134="","",IF(IF($B134="343",NETWORKDAYS($A134,$A134,FERIADOS_343),IF($B134="281",NETWORKDAYS($A134,$A134,FERIADOS_281),NETWORKDAYS($A134,$A134,FERIADOS_342)))=1,"SIM","NÃO"))</f>
      </c>
      <c r="P134" s="232">
        <f>IF($A134="","",$A134-WEEKDAY($A134,2)+5)</f>
      </c>
    </row>
    <row r="135">
      <c r="A135" s="220" t="n"/>
      <c r="B135" s="218" t="n"/>
      <c r="C135" s="218" t="n"/>
      <c r="D135" s="218" t="n"/>
      <c r="E135" s="218" t="n"/>
      <c r="F135" s="328" t="n"/>
      <c r="G135" s="218" t="n"/>
      <c r="H135" s="218" t="n"/>
      <c r="I135" s="218" t="n"/>
      <c r="J135" s="218" t="n"/>
      <c r="K135" s="218" t="n"/>
      <c r="L135" s="218" t="n"/>
      <c r="M135" s="218" t="n"/>
      <c r="N135" s="218" t="n"/>
      <c r="O135" s="222">
        <f>IF($A135="","",IF(IF($B135="343",NETWORKDAYS($A135,$A135,FERIADOS_343),IF($B135="281",NETWORKDAYS($A135,$A135,FERIADOS_281),NETWORKDAYS($A135,$A135,FERIADOS_342)))=1,"SIM","NÃO"))</f>
      </c>
      <c r="P135" s="232">
        <f>IF($A135="","",$A135-WEEKDAY($A135,2)+5)</f>
      </c>
    </row>
    <row r="136">
      <c r="A136" s="220" t="n"/>
      <c r="B136" s="218" t="n"/>
      <c r="C136" s="218" t="n"/>
      <c r="D136" s="218" t="n"/>
      <c r="E136" s="218" t="n"/>
      <c r="F136" s="328" t="n"/>
      <c r="G136" s="218" t="n"/>
      <c r="H136" s="218" t="n"/>
      <c r="I136" s="218" t="n"/>
      <c r="J136" s="218" t="n"/>
      <c r="K136" s="218" t="n"/>
      <c r="L136" s="218" t="n"/>
      <c r="M136" s="218" t="n"/>
      <c r="N136" s="218" t="n"/>
      <c r="O136" s="222">
        <f>IF($A136="","",IF(IF($B136="343",NETWORKDAYS($A136,$A136,FERIADOS_343),IF($B136="281",NETWORKDAYS($A136,$A136,FERIADOS_281),NETWORKDAYS($A136,$A136,FERIADOS_342)))=1,"SIM","NÃO"))</f>
      </c>
      <c r="P136" s="232">
        <f>IF($A136="","",$A136-WEEKDAY($A136,2)+5)</f>
      </c>
    </row>
    <row r="137">
      <c r="A137" s="220" t="n"/>
      <c r="B137" s="218" t="n"/>
      <c r="C137" s="218" t="n"/>
      <c r="D137" s="218" t="n"/>
      <c r="E137" s="218" t="n"/>
      <c r="F137" s="328" t="n"/>
      <c r="G137" s="218" t="n"/>
      <c r="H137" s="218" t="n"/>
      <c r="I137" s="218" t="n"/>
      <c r="J137" s="218" t="n"/>
      <c r="K137" s="218" t="n"/>
      <c r="L137" s="218" t="n"/>
      <c r="M137" s="218" t="n"/>
      <c r="N137" s="218" t="n"/>
      <c r="O137" s="222">
        <f>IF($A137="","",IF(IF($B137="343",NETWORKDAYS($A137,$A137,FERIADOS_343),IF($B137="281",NETWORKDAYS($A137,$A137,FERIADOS_281),NETWORKDAYS($A137,$A137,FERIADOS_342)))=1,"SIM","NÃO"))</f>
      </c>
      <c r="P137" s="232">
        <f>IF($A137="","",$A137-WEEKDAY($A137,2)+5)</f>
      </c>
    </row>
    <row r="138">
      <c r="A138" s="220" t="n"/>
      <c r="B138" s="218" t="n"/>
      <c r="C138" s="218" t="n"/>
      <c r="D138" s="218" t="n"/>
      <c r="E138" s="218" t="n"/>
      <c r="F138" s="328" t="n"/>
      <c r="G138" s="218" t="n"/>
      <c r="H138" s="218" t="n"/>
      <c r="I138" s="218" t="n"/>
      <c r="J138" s="218" t="n"/>
      <c r="K138" s="218" t="n"/>
      <c r="L138" s="218" t="n"/>
      <c r="M138" s="218" t="n"/>
      <c r="N138" s="218" t="n"/>
      <c r="O138" s="222">
        <f>IF($A138="","",IF(IF($B138="343",NETWORKDAYS($A138,$A138,FERIADOS_343),IF($B138="281",NETWORKDAYS($A138,$A138,FERIADOS_281),NETWORKDAYS($A138,$A138,FERIADOS_342)))=1,"SIM","NÃO"))</f>
      </c>
      <c r="P138" s="232">
        <f>IF($A138="","",$A138-WEEKDAY($A138,2)+5)</f>
      </c>
    </row>
    <row r="139">
      <c r="A139" s="220" t="n"/>
      <c r="B139" s="218" t="n"/>
      <c r="C139" s="218" t="n"/>
      <c r="D139" s="218" t="n"/>
      <c r="E139" s="218" t="n"/>
      <c r="F139" s="328" t="n"/>
      <c r="G139" s="218" t="n"/>
      <c r="H139" s="218" t="n"/>
      <c r="I139" s="218" t="n"/>
      <c r="J139" s="218" t="n"/>
      <c r="K139" s="218" t="n"/>
      <c r="L139" s="218" t="n"/>
      <c r="M139" s="218" t="n"/>
      <c r="N139" s="218" t="n"/>
      <c r="O139" s="222">
        <f>IF($A139="","",IF(IF($B139="343",NETWORKDAYS($A139,$A139,FERIADOS_343),IF($B139="281",NETWORKDAYS($A139,$A139,FERIADOS_281),NETWORKDAYS($A139,$A139,FERIADOS_342)))=1,"SIM","NÃO"))</f>
      </c>
      <c r="P139" s="232">
        <f>IF($A139="","",$A139-WEEKDAY($A139,2)+5)</f>
      </c>
    </row>
    <row r="140">
      <c r="A140" s="220" t="n"/>
      <c r="B140" s="218" t="n"/>
      <c r="C140" s="218" t="n"/>
      <c r="D140" s="218" t="n"/>
      <c r="E140" s="218" t="n"/>
      <c r="F140" s="328" t="n"/>
      <c r="G140" s="218" t="n"/>
      <c r="H140" s="218" t="n"/>
      <c r="I140" s="218" t="n"/>
      <c r="J140" s="218" t="n"/>
      <c r="K140" s="218" t="n"/>
      <c r="L140" s="218" t="n"/>
      <c r="M140" s="218" t="n"/>
      <c r="N140" s="218" t="n"/>
      <c r="O140" s="222">
        <f>IF($A140="","",IF(IF($B140="343",NETWORKDAYS($A140,$A140,FERIADOS_343),IF($B140="281",NETWORKDAYS($A140,$A140,FERIADOS_281),NETWORKDAYS($A140,$A140,FERIADOS_342)))=1,"SIM","NÃO"))</f>
      </c>
      <c r="P140" s="232">
        <f>IF($A140="","",$A140-WEEKDAY($A140,2)+5)</f>
      </c>
    </row>
    <row r="141">
      <c r="A141" s="220" t="n"/>
      <c r="B141" s="218" t="n"/>
      <c r="C141" s="218" t="n"/>
      <c r="D141" s="218" t="n"/>
      <c r="E141" s="218" t="n"/>
      <c r="F141" s="328" t="n"/>
      <c r="G141" s="218" t="n"/>
      <c r="H141" s="218" t="n"/>
      <c r="I141" s="218" t="n"/>
      <c r="J141" s="218" t="n"/>
      <c r="K141" s="218" t="n"/>
      <c r="L141" s="218" t="n"/>
      <c r="M141" s="218" t="n"/>
      <c r="N141" s="218" t="n"/>
      <c r="O141" s="222">
        <f>IF($A141="","",IF(IF($B141="343",NETWORKDAYS($A141,$A141,FERIADOS_343),IF($B141="281",NETWORKDAYS($A141,$A141,FERIADOS_281),NETWORKDAYS($A141,$A141,FERIADOS_342)))=1,"SIM","NÃO"))</f>
      </c>
      <c r="P141" s="232">
        <f>IF($A141="","",$A141-WEEKDAY($A141,2)+5)</f>
      </c>
    </row>
    <row r="142">
      <c r="A142" s="220" t="n"/>
      <c r="B142" s="218" t="n"/>
      <c r="C142" s="218" t="n"/>
      <c r="D142" s="218" t="n"/>
      <c r="E142" s="218" t="n"/>
      <c r="F142" s="328" t="n"/>
      <c r="G142" s="218" t="n"/>
      <c r="H142" s="218" t="n"/>
      <c r="I142" s="218" t="n"/>
      <c r="J142" s="218" t="n"/>
      <c r="K142" s="218" t="n"/>
      <c r="L142" s="218" t="n"/>
      <c r="M142" s="218" t="n"/>
      <c r="N142" s="218" t="n"/>
      <c r="O142" s="222">
        <f>IF($A142="","",IF(IF($B142="343",NETWORKDAYS($A142,$A142,FERIADOS_343),IF($B142="281",NETWORKDAYS($A142,$A142,FERIADOS_281),NETWORKDAYS($A142,$A142,FERIADOS_342)))=1,"SIM","NÃO"))</f>
      </c>
      <c r="P142" s="232">
        <f>IF($A142="","",$A142-WEEKDAY($A142,2)+5)</f>
      </c>
    </row>
    <row r="143">
      <c r="A143" s="220" t="n"/>
      <c r="B143" s="218" t="n"/>
      <c r="C143" s="218" t="n"/>
      <c r="D143" s="218" t="n"/>
      <c r="E143" s="218" t="n"/>
      <c r="F143" s="328" t="n"/>
      <c r="G143" s="218" t="n"/>
      <c r="H143" s="218" t="n"/>
      <c r="I143" s="218" t="n"/>
      <c r="J143" s="218" t="n"/>
      <c r="K143" s="218" t="n"/>
      <c r="L143" s="218" t="n"/>
      <c r="M143" s="218" t="n"/>
      <c r="N143" s="218" t="n"/>
      <c r="O143" s="222">
        <f>IF($A143="","",IF(IF($B143="343",NETWORKDAYS($A143,$A143,FERIADOS_343),IF($B143="281",NETWORKDAYS($A143,$A143,FERIADOS_281),NETWORKDAYS($A143,$A143,FERIADOS_342)))=1,"SIM","NÃO"))</f>
      </c>
      <c r="P143" s="232">
        <f>IF($A143="","",$A143-WEEKDAY($A143,2)+5)</f>
      </c>
    </row>
    <row r="144">
      <c r="A144" s="220" t="n"/>
      <c r="B144" s="218" t="n"/>
      <c r="C144" s="218" t="n"/>
      <c r="D144" s="218" t="n"/>
      <c r="E144" s="218" t="n"/>
      <c r="F144" s="328" t="n"/>
      <c r="G144" s="218" t="n"/>
      <c r="H144" s="218" t="n"/>
      <c r="I144" s="218" t="n"/>
      <c r="J144" s="218" t="n"/>
      <c r="K144" s="218" t="n"/>
      <c r="L144" s="218" t="n"/>
      <c r="M144" s="218" t="n"/>
      <c r="N144" s="218" t="n"/>
      <c r="O144" s="222">
        <f>IF($A144="","",IF(IF($B144="343",NETWORKDAYS($A144,$A144,FERIADOS_343),IF($B144="281",NETWORKDAYS($A144,$A144,FERIADOS_281),NETWORKDAYS($A144,$A144,FERIADOS_342)))=1,"SIM","NÃO"))</f>
      </c>
      <c r="P144" s="232">
        <f>IF($A144="","",$A144-WEEKDAY($A144,2)+5)</f>
      </c>
    </row>
    <row r="145">
      <c r="A145" s="220" t="n"/>
      <c r="B145" s="218" t="n"/>
      <c r="C145" s="218" t="n"/>
      <c r="D145" s="218" t="n"/>
      <c r="E145" s="218" t="n"/>
      <c r="F145" s="328" t="n"/>
      <c r="G145" s="218" t="n"/>
      <c r="H145" s="218" t="n"/>
      <c r="I145" s="218" t="n"/>
      <c r="J145" s="218" t="n"/>
      <c r="K145" s="218" t="n"/>
      <c r="L145" s="218" t="n"/>
      <c r="M145" s="218" t="n"/>
      <c r="N145" s="218" t="n"/>
      <c r="O145" s="222">
        <f>IF($A145="","",IF(IF($B145="343",NETWORKDAYS($A145,$A145,FERIADOS_343),IF($B145="281",NETWORKDAYS($A145,$A145,FERIADOS_281),NETWORKDAYS($A145,$A145,FERIADOS_342)))=1,"SIM","NÃO"))</f>
      </c>
      <c r="P145" s="232">
        <f>IF($A145="","",$A145-WEEKDAY($A145,2)+5)</f>
      </c>
    </row>
    <row r="146">
      <c r="A146" s="220" t="n"/>
      <c r="B146" s="218" t="n"/>
      <c r="C146" s="218" t="n"/>
      <c r="D146" s="218" t="n"/>
      <c r="E146" s="218" t="n"/>
      <c r="F146" s="328" t="n"/>
      <c r="G146" s="218" t="n"/>
      <c r="H146" s="218" t="n"/>
      <c r="I146" s="218" t="n"/>
      <c r="J146" s="218" t="n"/>
      <c r="K146" s="218" t="n"/>
      <c r="L146" s="218" t="n"/>
      <c r="M146" s="218" t="n"/>
      <c r="N146" s="218" t="n"/>
      <c r="O146" s="222">
        <f>IF($A146="","",IF(IF($B146="343",NETWORKDAYS($A146,$A146,FERIADOS_343),IF($B146="281",NETWORKDAYS($A146,$A146,FERIADOS_281),NETWORKDAYS($A146,$A146,FERIADOS_342)))=1,"SIM","NÃO"))</f>
      </c>
      <c r="P146" s="232">
        <f>IF($A146="","",$A146-WEEKDAY($A146,2)+5)</f>
      </c>
    </row>
    <row r="147">
      <c r="A147" s="220" t="n"/>
      <c r="B147" s="218" t="n"/>
      <c r="C147" s="218" t="n"/>
      <c r="D147" s="218" t="n"/>
      <c r="E147" s="218" t="n"/>
      <c r="F147" s="328" t="n"/>
      <c r="G147" s="218" t="n"/>
      <c r="H147" s="218" t="n"/>
      <c r="I147" s="218" t="n"/>
      <c r="J147" s="218" t="n"/>
      <c r="K147" s="218" t="n"/>
      <c r="L147" s="218" t="n"/>
      <c r="M147" s="218" t="n"/>
      <c r="N147" s="218" t="n"/>
      <c r="O147" s="222">
        <f>IF($A147="","",IF(IF($B147="343",NETWORKDAYS($A147,$A147,FERIADOS_343),IF($B147="281",NETWORKDAYS($A147,$A147,FERIADOS_281),NETWORKDAYS($A147,$A147,FERIADOS_342)))=1,"SIM","NÃO"))</f>
      </c>
      <c r="P147" s="232">
        <f>IF($A147="","",$A147-WEEKDAY($A147,2)+5)</f>
      </c>
    </row>
    <row r="148">
      <c r="A148" s="220" t="n"/>
      <c r="B148" s="218" t="n"/>
      <c r="C148" s="218" t="n"/>
      <c r="D148" s="218" t="n"/>
      <c r="E148" s="218" t="n"/>
      <c r="F148" s="328" t="n"/>
      <c r="G148" s="218" t="n"/>
      <c r="H148" s="218" t="n"/>
      <c r="I148" s="218" t="n"/>
      <c r="J148" s="218" t="n"/>
      <c r="K148" s="218" t="n"/>
      <c r="L148" s="218" t="n"/>
      <c r="M148" s="218" t="n"/>
      <c r="N148" s="218" t="n"/>
      <c r="O148" s="222">
        <f>IF($A148="","",IF(IF($B148="343",NETWORKDAYS($A148,$A148,FERIADOS_343),IF($B148="281",NETWORKDAYS($A148,$A148,FERIADOS_281),NETWORKDAYS($A148,$A148,FERIADOS_342)))=1,"SIM","NÃO"))</f>
      </c>
      <c r="P148" s="232">
        <f>IF($A148="","",$A148-WEEKDAY($A148,2)+5)</f>
      </c>
    </row>
    <row r="149">
      <c r="A149" s="220" t="n"/>
      <c r="B149" s="218" t="n"/>
      <c r="C149" s="218" t="n"/>
      <c r="D149" s="218" t="n"/>
      <c r="E149" s="218" t="n"/>
      <c r="F149" s="328" t="n"/>
      <c r="G149" s="218" t="n"/>
      <c r="H149" s="218" t="n"/>
      <c r="I149" s="218" t="n"/>
      <c r="J149" s="218" t="n"/>
      <c r="K149" s="218" t="n"/>
      <c r="L149" s="218" t="n"/>
      <c r="M149" s="218" t="n"/>
      <c r="N149" s="218" t="n"/>
      <c r="O149" s="222">
        <f>IF($A149="","",IF(IF($B149="343",NETWORKDAYS($A149,$A149,FERIADOS_343),IF($B149="281",NETWORKDAYS($A149,$A149,FERIADOS_281),NETWORKDAYS($A149,$A149,FERIADOS_342)))=1,"SIM","NÃO"))</f>
      </c>
      <c r="P149" s="232">
        <f>IF($A149="","",$A149-WEEKDAY($A149,2)+5)</f>
      </c>
    </row>
    <row r="150">
      <c r="A150" s="220" t="n"/>
      <c r="B150" s="218" t="n"/>
      <c r="C150" s="218" t="n"/>
      <c r="D150" s="218" t="n"/>
      <c r="E150" s="218" t="n"/>
      <c r="F150" s="328" t="n"/>
      <c r="G150" s="218" t="n"/>
      <c r="H150" s="218" t="n"/>
      <c r="I150" s="218" t="n"/>
      <c r="J150" s="218" t="n"/>
      <c r="K150" s="218" t="n"/>
      <c r="L150" s="218" t="n"/>
      <c r="M150" s="218" t="n"/>
      <c r="N150" s="218" t="n"/>
      <c r="O150" s="222">
        <f>IF($A150="","",IF(IF($B150="343",NETWORKDAYS($A150,$A150,FERIADOS_343),IF($B150="281",NETWORKDAYS($A150,$A150,FERIADOS_281),NETWORKDAYS($A150,$A150,FERIADOS_342)))=1,"SIM","NÃO"))</f>
      </c>
      <c r="P150" s="232">
        <f>IF($A150="","",$A150-WEEKDAY($A150,2)+5)</f>
      </c>
    </row>
    <row r="151">
      <c r="A151" s="220" t="n"/>
      <c r="B151" s="218" t="n"/>
      <c r="C151" s="218" t="n"/>
      <c r="D151" s="218" t="n"/>
      <c r="E151" s="218" t="n"/>
      <c r="F151" s="328" t="n"/>
      <c r="G151" s="218" t="n"/>
      <c r="H151" s="218" t="n"/>
      <c r="I151" s="218" t="n"/>
      <c r="J151" s="218" t="n"/>
      <c r="K151" s="218" t="n"/>
      <c r="L151" s="218" t="n"/>
      <c r="M151" s="218" t="n"/>
      <c r="N151" s="218" t="n"/>
      <c r="O151" s="222">
        <f>IF($A151="","",IF(IF($B151="343",NETWORKDAYS($A151,$A151,FERIADOS_343),IF($B151="281",NETWORKDAYS($A151,$A151,FERIADOS_281),NETWORKDAYS($A151,$A151,FERIADOS_342)))=1,"SIM","NÃO"))</f>
      </c>
      <c r="P151" s="232">
        <f>IF($A151="","",$A151-WEEKDAY($A151,2)+5)</f>
      </c>
    </row>
    <row r="152">
      <c r="A152" s="220" t="n"/>
      <c r="B152" s="218" t="n"/>
      <c r="C152" s="218" t="n"/>
      <c r="D152" s="218" t="n"/>
      <c r="E152" s="218" t="n"/>
      <c r="F152" s="328" t="n"/>
      <c r="G152" s="218" t="n"/>
      <c r="H152" s="218" t="n"/>
      <c r="I152" s="218" t="n"/>
      <c r="J152" s="218" t="n"/>
      <c r="K152" s="218" t="n"/>
      <c r="L152" s="218" t="n"/>
      <c r="M152" s="218" t="n"/>
      <c r="N152" s="218" t="n"/>
      <c r="O152" s="222">
        <f>IF($A152="","",IF(IF($B152="343",NETWORKDAYS($A152,$A152,FERIADOS_343),IF($B152="281",NETWORKDAYS($A152,$A152,FERIADOS_281),NETWORKDAYS($A152,$A152,FERIADOS_342)))=1,"SIM","NÃO"))</f>
      </c>
      <c r="P152" s="232">
        <f>IF($A152="","",$A152-WEEKDAY($A152,2)+5)</f>
      </c>
    </row>
    <row r="153">
      <c r="A153" s="220" t="n"/>
      <c r="B153" s="218" t="n"/>
      <c r="C153" s="218" t="n"/>
      <c r="D153" s="218" t="n"/>
      <c r="E153" s="218" t="n"/>
      <c r="F153" s="328" t="n"/>
      <c r="G153" s="218" t="n"/>
      <c r="H153" s="218" t="n"/>
      <c r="I153" s="218" t="n"/>
      <c r="J153" s="218" t="n"/>
      <c r="K153" s="218" t="n"/>
      <c r="L153" s="218" t="n"/>
      <c r="M153" s="218" t="n"/>
      <c r="N153" s="218" t="n"/>
      <c r="O153" s="222">
        <f>IF($A153="","",IF(IF($B153="343",NETWORKDAYS($A153,$A153,FERIADOS_343),IF($B153="281",NETWORKDAYS($A153,$A153,FERIADOS_281),NETWORKDAYS($A153,$A153,FERIADOS_342)))=1,"SIM","NÃO"))</f>
      </c>
      <c r="P153" s="232">
        <f>IF($A153="","",$A153-WEEKDAY($A153,2)+5)</f>
      </c>
    </row>
    <row r="154">
      <c r="A154" s="220" t="n"/>
      <c r="B154" s="218" t="n"/>
      <c r="C154" s="218" t="n"/>
      <c r="D154" s="218" t="n"/>
      <c r="E154" s="218" t="n"/>
      <c r="F154" s="328" t="n"/>
      <c r="G154" s="218" t="n"/>
      <c r="H154" s="218" t="n"/>
      <c r="I154" s="218" t="n"/>
      <c r="J154" s="218" t="n"/>
      <c r="K154" s="218" t="n"/>
      <c r="L154" s="218" t="n"/>
      <c r="M154" s="218" t="n"/>
      <c r="N154" s="218" t="n"/>
      <c r="O154" s="222">
        <f>IF($A154="","",IF(IF($B154="343",NETWORKDAYS($A154,$A154,FERIADOS_343),IF($B154="281",NETWORKDAYS($A154,$A154,FERIADOS_281),NETWORKDAYS($A154,$A154,FERIADOS_342)))=1,"SIM","NÃO"))</f>
      </c>
      <c r="P154" s="232">
        <f>IF($A154="","",$A154-WEEKDAY($A154,2)+5)</f>
      </c>
    </row>
    <row r="155">
      <c r="A155" s="220" t="n"/>
      <c r="B155" s="218" t="n"/>
      <c r="C155" s="218" t="n"/>
      <c r="D155" s="218" t="n"/>
      <c r="E155" s="218" t="n"/>
      <c r="F155" s="328" t="n"/>
      <c r="G155" s="218" t="n"/>
      <c r="H155" s="218" t="n"/>
      <c r="I155" s="218" t="n"/>
      <c r="J155" s="218" t="n"/>
      <c r="K155" s="218" t="n"/>
      <c r="L155" s="218" t="n"/>
      <c r="M155" s="218" t="n"/>
      <c r="N155" s="218" t="n"/>
      <c r="O155" s="222">
        <f>IF($A155="","",IF(IF($B155="343",NETWORKDAYS($A155,$A155,FERIADOS_343),IF($B155="281",NETWORKDAYS($A155,$A155,FERIADOS_281),NETWORKDAYS($A155,$A155,FERIADOS_342)))=1,"SIM","NÃO"))</f>
      </c>
      <c r="P155" s="232">
        <f>IF($A155="","",$A155-WEEKDAY($A155,2)+5)</f>
      </c>
    </row>
    <row r="156">
      <c r="A156" s="220" t="n"/>
      <c r="B156" s="218" t="n"/>
      <c r="C156" s="218" t="n"/>
      <c r="D156" s="218" t="n"/>
      <c r="E156" s="218" t="n"/>
      <c r="F156" s="328" t="n"/>
      <c r="G156" s="218" t="n"/>
      <c r="H156" s="218" t="n"/>
      <c r="I156" s="218" t="n"/>
      <c r="J156" s="218" t="n"/>
      <c r="K156" s="218" t="n"/>
      <c r="L156" s="218" t="n"/>
      <c r="M156" s="218" t="n"/>
      <c r="N156" s="218" t="n"/>
      <c r="O156" s="222">
        <f>IF($A156="","",IF(IF($B156="343",NETWORKDAYS($A156,$A156,FERIADOS_343),IF($B156="281",NETWORKDAYS($A156,$A156,FERIADOS_281),NETWORKDAYS($A156,$A156,FERIADOS_342)))=1,"SIM","NÃO"))</f>
      </c>
      <c r="P156" s="232">
        <f>IF($A156="","",$A156-WEEKDAY($A156,2)+5)</f>
      </c>
    </row>
    <row r="157">
      <c r="A157" s="220" t="n"/>
      <c r="B157" s="218" t="n"/>
      <c r="C157" s="218" t="n"/>
      <c r="D157" s="218" t="n"/>
      <c r="E157" s="218" t="n"/>
      <c r="F157" s="328" t="n"/>
      <c r="G157" s="218" t="n"/>
      <c r="H157" s="218" t="n"/>
      <c r="I157" s="218" t="n"/>
      <c r="J157" s="218" t="n"/>
      <c r="K157" s="218" t="n"/>
      <c r="L157" s="218" t="n"/>
      <c r="M157" s="218" t="n"/>
      <c r="N157" s="218" t="n"/>
      <c r="O157" s="222">
        <f>IF($A157="","",IF(IF($B157="343",NETWORKDAYS($A157,$A157,FERIADOS_343),IF($B157="281",NETWORKDAYS($A157,$A157,FERIADOS_281),NETWORKDAYS($A157,$A157,FERIADOS_342)))=1,"SIM","NÃO"))</f>
      </c>
      <c r="P157" s="232">
        <f>IF($A157="","",$A157-WEEKDAY($A157,2)+5)</f>
      </c>
    </row>
    <row r="158">
      <c r="A158" s="220" t="n"/>
      <c r="B158" s="218" t="n"/>
      <c r="C158" s="218" t="n"/>
      <c r="D158" s="218" t="n"/>
      <c r="E158" s="218" t="n"/>
      <c r="F158" s="328" t="n"/>
      <c r="G158" s="218" t="n"/>
      <c r="H158" s="218" t="n"/>
      <c r="I158" s="218" t="n"/>
      <c r="J158" s="218" t="n"/>
      <c r="K158" s="218" t="n"/>
      <c r="L158" s="218" t="n"/>
      <c r="M158" s="218" t="n"/>
      <c r="N158" s="218" t="n"/>
      <c r="O158" s="222">
        <f>IF($A158="","",IF(IF($B158="343",NETWORKDAYS($A158,$A158,FERIADOS_343),IF($B158="281",NETWORKDAYS($A158,$A158,FERIADOS_281),NETWORKDAYS($A158,$A158,FERIADOS_342)))=1,"SIM","NÃO"))</f>
      </c>
      <c r="P158" s="232">
        <f>IF($A158="","",$A158-WEEKDAY($A158,2)+5)</f>
      </c>
    </row>
    <row r="159">
      <c r="A159" s="220" t="n"/>
      <c r="B159" s="218" t="n"/>
      <c r="C159" s="218" t="n"/>
      <c r="D159" s="218" t="n"/>
      <c r="E159" s="218" t="n"/>
      <c r="F159" s="328" t="n"/>
      <c r="G159" s="218" t="n"/>
      <c r="H159" s="218" t="n"/>
      <c r="I159" s="218" t="n"/>
      <c r="J159" s="218" t="n"/>
      <c r="K159" s="218" t="n"/>
      <c r="L159" s="218" t="n"/>
      <c r="M159" s="218" t="n"/>
      <c r="N159" s="218" t="n"/>
      <c r="O159" s="222">
        <f>IF($A159="","",IF(IF($B159="343",NETWORKDAYS($A159,$A159,FERIADOS_343),IF($B159="281",NETWORKDAYS($A159,$A159,FERIADOS_281),NETWORKDAYS($A159,$A159,FERIADOS_342)))=1,"SIM","NÃO"))</f>
      </c>
      <c r="P159" s="232">
        <f>IF($A159="","",$A159-WEEKDAY($A159,2)+5)</f>
      </c>
    </row>
    <row r="160">
      <c r="A160" s="220" t="n"/>
      <c r="B160" s="218" t="n"/>
      <c r="C160" s="218" t="n"/>
      <c r="D160" s="218" t="n"/>
      <c r="E160" s="218" t="n"/>
      <c r="F160" s="328" t="n"/>
      <c r="G160" s="218" t="n"/>
      <c r="H160" s="218" t="n"/>
      <c r="I160" s="218" t="n"/>
      <c r="J160" s="218" t="n"/>
      <c r="K160" s="218" t="n"/>
      <c r="L160" s="218" t="n"/>
      <c r="M160" s="218" t="n"/>
      <c r="N160" s="218" t="n"/>
      <c r="O160" s="222">
        <f>IF($A160="","",IF(IF($B160="343",NETWORKDAYS($A160,$A160,FERIADOS_343),IF($B160="281",NETWORKDAYS($A160,$A160,FERIADOS_281),NETWORKDAYS($A160,$A160,FERIADOS_342)))=1,"SIM","NÃO"))</f>
      </c>
      <c r="P160" s="232">
        <f>IF($A160="","",$A160-WEEKDAY($A160,2)+5)</f>
      </c>
    </row>
    <row r="161">
      <c r="A161" s="220" t="n"/>
      <c r="B161" s="218" t="n"/>
      <c r="C161" s="218" t="n"/>
      <c r="D161" s="218" t="n"/>
      <c r="E161" s="218" t="n"/>
      <c r="F161" s="328" t="n"/>
      <c r="G161" s="218" t="n"/>
      <c r="H161" s="218" t="n"/>
      <c r="I161" s="218" t="n"/>
      <c r="J161" s="218" t="n"/>
      <c r="K161" s="218" t="n"/>
      <c r="L161" s="218" t="n"/>
      <c r="M161" s="218" t="n"/>
      <c r="N161" s="218" t="n"/>
      <c r="O161" s="222">
        <f>IF($A161="","",IF(IF($B161="343",NETWORKDAYS($A161,$A161,FERIADOS_343),IF($B161="281",NETWORKDAYS($A161,$A161,FERIADOS_281),NETWORKDAYS($A161,$A161,FERIADOS_342)))=1,"SIM","NÃO"))</f>
      </c>
      <c r="P161" s="232">
        <f>IF($A161="","",$A161-WEEKDAY($A161,2)+5)</f>
      </c>
    </row>
    <row r="162">
      <c r="A162" s="220" t="n"/>
      <c r="B162" s="218" t="n"/>
      <c r="C162" s="218" t="n"/>
      <c r="D162" s="218" t="n"/>
      <c r="E162" s="218" t="n"/>
      <c r="F162" s="328" t="n"/>
      <c r="G162" s="218" t="n"/>
      <c r="H162" s="218" t="n"/>
      <c r="I162" s="218" t="n"/>
      <c r="J162" s="218" t="n"/>
      <c r="K162" s="218" t="n"/>
      <c r="L162" s="218" t="n"/>
      <c r="M162" s="218" t="n"/>
      <c r="N162" s="218" t="n"/>
      <c r="O162" s="222">
        <f>IF($A162="","",IF(IF($B162="343",NETWORKDAYS($A162,$A162,FERIADOS_343),IF($B162="281",NETWORKDAYS($A162,$A162,FERIADOS_281),NETWORKDAYS($A162,$A162,FERIADOS_342)))=1,"SIM","NÃO"))</f>
      </c>
      <c r="P162" s="232">
        <f>IF($A162="","",$A162-WEEKDAY($A162,2)+5)</f>
      </c>
    </row>
    <row r="163">
      <c r="A163" s="220" t="n"/>
      <c r="B163" s="218" t="n"/>
      <c r="C163" s="218" t="n"/>
      <c r="D163" s="218" t="n"/>
      <c r="E163" s="218" t="n"/>
      <c r="F163" s="328" t="n"/>
      <c r="G163" s="218" t="n"/>
      <c r="H163" s="218" t="n"/>
      <c r="I163" s="218" t="n"/>
      <c r="J163" s="218" t="n"/>
      <c r="K163" s="218" t="n"/>
      <c r="L163" s="218" t="n"/>
      <c r="M163" s="218" t="n"/>
      <c r="N163" s="218" t="n"/>
      <c r="O163" s="222">
        <f>IF($A163="","",IF(IF($B163="343",NETWORKDAYS($A163,$A163,FERIADOS_343),IF($B163="281",NETWORKDAYS($A163,$A163,FERIADOS_281),NETWORKDAYS($A163,$A163,FERIADOS_342)))=1,"SIM","NÃO"))</f>
      </c>
      <c r="P163" s="232">
        <f>IF($A163="","",$A163-WEEKDAY($A163,2)+5)</f>
      </c>
    </row>
    <row r="164">
      <c r="A164" s="220" t="n"/>
      <c r="B164" s="218" t="n"/>
      <c r="C164" s="218" t="n"/>
      <c r="D164" s="218" t="n"/>
      <c r="E164" s="218" t="n"/>
      <c r="F164" s="328" t="n"/>
      <c r="G164" s="218" t="n"/>
      <c r="H164" s="218" t="n"/>
      <c r="I164" s="218" t="n"/>
      <c r="J164" s="218" t="n"/>
      <c r="K164" s="218" t="n"/>
      <c r="L164" s="218" t="n"/>
      <c r="M164" s="218" t="n"/>
      <c r="N164" s="218" t="n"/>
      <c r="O164" s="222">
        <f>IF($A164="","",IF(IF($B164="343",NETWORKDAYS($A164,$A164,FERIADOS_343),IF($B164="281",NETWORKDAYS($A164,$A164,FERIADOS_281),NETWORKDAYS($A164,$A164,FERIADOS_342)))=1,"SIM","NÃO"))</f>
      </c>
      <c r="P164" s="232">
        <f>IF($A164="","",$A164-WEEKDAY($A164,2)+5)</f>
      </c>
    </row>
    <row r="165">
      <c r="A165" s="220" t="n"/>
      <c r="B165" s="218" t="n"/>
      <c r="C165" s="218" t="n"/>
      <c r="D165" s="218" t="n"/>
      <c r="E165" s="218" t="n"/>
      <c r="F165" s="328" t="n"/>
      <c r="G165" s="218" t="n"/>
      <c r="H165" s="218" t="n"/>
      <c r="I165" s="218" t="n"/>
      <c r="J165" s="218" t="n"/>
      <c r="K165" s="218" t="n"/>
      <c r="L165" s="218" t="n"/>
      <c r="M165" s="218" t="n"/>
      <c r="N165" s="218" t="n"/>
      <c r="O165" s="222">
        <f>IF($A165="","",IF(IF($B165="343",NETWORKDAYS($A165,$A165,FERIADOS_343),IF($B165="281",NETWORKDAYS($A165,$A165,FERIADOS_281),NETWORKDAYS($A165,$A165,FERIADOS_342)))=1,"SIM","NÃO"))</f>
      </c>
      <c r="P165" s="232">
        <f>IF($A165="","",$A165-WEEKDAY($A165,2)+5)</f>
      </c>
    </row>
    <row r="166">
      <c r="A166" s="220" t="n"/>
      <c r="B166" s="218" t="n"/>
      <c r="C166" s="218" t="n"/>
      <c r="D166" s="218" t="n"/>
      <c r="E166" s="218" t="n"/>
      <c r="F166" s="328" t="n"/>
      <c r="G166" s="218" t="n"/>
      <c r="H166" s="218" t="n"/>
      <c r="I166" s="218" t="n"/>
      <c r="J166" s="218" t="n"/>
      <c r="K166" s="218" t="n"/>
      <c r="L166" s="218" t="n"/>
      <c r="M166" s="218" t="n"/>
      <c r="N166" s="218" t="n"/>
      <c r="O166" s="222">
        <f>IF($A166="","",IF(IF($B166="343",NETWORKDAYS($A166,$A166,FERIADOS_343),IF($B166="281",NETWORKDAYS($A166,$A166,FERIADOS_281),NETWORKDAYS($A166,$A166,FERIADOS_342)))=1,"SIM","NÃO"))</f>
      </c>
      <c r="P166" s="232">
        <f>IF($A166="","",$A166-WEEKDAY($A166,2)+5)</f>
      </c>
    </row>
    <row r="167">
      <c r="A167" s="220" t="n"/>
      <c r="B167" s="218" t="n"/>
      <c r="C167" s="218" t="n"/>
      <c r="D167" s="218" t="n"/>
      <c r="E167" s="218" t="n"/>
      <c r="F167" s="328" t="n"/>
      <c r="G167" s="218" t="n"/>
      <c r="H167" s="218" t="n"/>
      <c r="I167" s="218" t="n"/>
      <c r="J167" s="218" t="n"/>
      <c r="K167" s="218" t="n"/>
      <c r="L167" s="218" t="n"/>
      <c r="M167" s="218" t="n"/>
      <c r="N167" s="218" t="n"/>
      <c r="O167" s="222">
        <f>IF($A167="","",IF(IF($B167="343",NETWORKDAYS($A167,$A167,FERIADOS_343),IF($B167="281",NETWORKDAYS($A167,$A167,FERIADOS_281),NETWORKDAYS($A167,$A167,FERIADOS_342)))=1,"SIM","NÃO"))</f>
      </c>
      <c r="P167" s="232">
        <f>IF($A167="","",$A167-WEEKDAY($A167,2)+5)</f>
      </c>
    </row>
    <row r="168">
      <c r="A168" s="220" t="n"/>
      <c r="B168" s="218" t="n"/>
      <c r="C168" s="218" t="n"/>
      <c r="D168" s="218" t="n"/>
      <c r="E168" s="218" t="n"/>
      <c r="F168" s="328" t="n"/>
      <c r="G168" s="218" t="n"/>
      <c r="H168" s="218" t="n"/>
      <c r="I168" s="218" t="n"/>
      <c r="J168" s="218" t="n"/>
      <c r="K168" s="218" t="n"/>
      <c r="L168" s="218" t="n"/>
      <c r="M168" s="218" t="n"/>
      <c r="N168" s="218" t="n"/>
      <c r="O168" s="222">
        <f>IF($A168="","",IF(IF($B168="343",NETWORKDAYS($A168,$A168,FERIADOS_343),IF($B168="281",NETWORKDAYS($A168,$A168,FERIADOS_281),NETWORKDAYS($A168,$A168,FERIADOS_342)))=1,"SIM","NÃO"))</f>
      </c>
      <c r="P168" s="232">
        <f>IF($A168="","",$A168-WEEKDAY($A168,2)+5)</f>
      </c>
    </row>
    <row r="169">
      <c r="A169" s="220" t="n"/>
      <c r="B169" s="218" t="n"/>
      <c r="C169" s="218" t="n"/>
      <c r="D169" s="218" t="n"/>
      <c r="E169" s="218" t="n"/>
      <c r="F169" s="328" t="n"/>
      <c r="G169" s="218" t="n"/>
      <c r="H169" s="218" t="n"/>
      <c r="I169" s="218" t="n"/>
      <c r="J169" s="218" t="n"/>
      <c r="K169" s="218" t="n"/>
      <c r="L169" s="218" t="n"/>
      <c r="M169" s="218" t="n"/>
      <c r="N169" s="218" t="n"/>
      <c r="O169" s="222">
        <f>IF($A169="","",IF(IF($B169="343",NETWORKDAYS($A169,$A169,FERIADOS_343),IF($B169="281",NETWORKDAYS($A169,$A169,FERIADOS_281),NETWORKDAYS($A169,$A169,FERIADOS_342)))=1,"SIM","NÃO"))</f>
      </c>
      <c r="P169" s="232">
        <f>IF($A169="","",$A169-WEEKDAY($A169,2)+5)</f>
      </c>
    </row>
    <row r="170">
      <c r="A170" s="220" t="n"/>
      <c r="B170" s="218" t="n"/>
      <c r="C170" s="218" t="n"/>
      <c r="D170" s="218" t="n"/>
      <c r="E170" s="218" t="n"/>
      <c r="F170" s="328" t="n"/>
      <c r="G170" s="218" t="n"/>
      <c r="H170" s="218" t="n"/>
      <c r="I170" s="218" t="n"/>
      <c r="J170" s="218" t="n"/>
      <c r="K170" s="218" t="n"/>
      <c r="L170" s="218" t="n"/>
      <c r="M170" s="218" t="n"/>
      <c r="N170" s="218" t="n"/>
      <c r="O170" s="222">
        <f>IF($A170="","",IF(IF($B170="343",NETWORKDAYS($A170,$A170,FERIADOS_343),IF($B170="281",NETWORKDAYS($A170,$A170,FERIADOS_281),NETWORKDAYS($A170,$A170,FERIADOS_342)))=1,"SIM","NÃO"))</f>
      </c>
      <c r="P170" s="232">
        <f>IF($A170="","",$A170-WEEKDAY($A170,2)+5)</f>
      </c>
    </row>
    <row r="171">
      <c r="A171" s="220" t="n"/>
      <c r="B171" s="218" t="n"/>
      <c r="C171" s="218" t="n"/>
      <c r="D171" s="218" t="n"/>
      <c r="E171" s="218" t="n"/>
      <c r="F171" s="328" t="n"/>
      <c r="G171" s="218" t="n"/>
      <c r="H171" s="218" t="n"/>
      <c r="I171" s="218" t="n"/>
      <c r="J171" s="218" t="n"/>
      <c r="K171" s="218" t="n"/>
      <c r="L171" s="218" t="n"/>
      <c r="M171" s="218" t="n"/>
      <c r="N171" s="218" t="n"/>
      <c r="O171" s="222">
        <f>IF($A171="","",IF(IF($B171="343",NETWORKDAYS($A171,$A171,FERIADOS_343),IF($B171="281",NETWORKDAYS($A171,$A171,FERIADOS_281),NETWORKDAYS($A171,$A171,FERIADOS_342)))=1,"SIM","NÃO"))</f>
      </c>
      <c r="P171" s="232">
        <f>IF($A171="","",$A171-WEEKDAY($A171,2)+5)</f>
      </c>
    </row>
    <row r="172">
      <c r="A172" s="220" t="n"/>
      <c r="B172" s="218" t="n"/>
      <c r="C172" s="218" t="n"/>
      <c r="D172" s="218" t="n"/>
      <c r="E172" s="218" t="n"/>
      <c r="F172" s="328" t="n"/>
      <c r="G172" s="218" t="n"/>
      <c r="H172" s="218" t="n"/>
      <c r="I172" s="218" t="n"/>
      <c r="J172" s="218" t="n"/>
      <c r="K172" s="218" t="n"/>
      <c r="L172" s="218" t="n"/>
      <c r="M172" s="218" t="n"/>
      <c r="N172" s="218" t="n"/>
      <c r="O172" s="222">
        <f>IF($A172="","",IF(IF($B172="343",NETWORKDAYS($A172,$A172,FERIADOS_343),IF($B172="281",NETWORKDAYS($A172,$A172,FERIADOS_281),NETWORKDAYS($A172,$A172,FERIADOS_342)))=1,"SIM","NÃO"))</f>
      </c>
      <c r="P172" s="232">
        <f>IF($A172="","",$A172-WEEKDAY($A172,2)+5)</f>
      </c>
    </row>
    <row r="173">
      <c r="A173" s="220" t="n"/>
      <c r="B173" s="218" t="n"/>
      <c r="C173" s="218" t="n"/>
      <c r="D173" s="218" t="n"/>
      <c r="E173" s="218" t="n"/>
      <c r="F173" s="328" t="n"/>
      <c r="G173" s="218" t="n"/>
      <c r="H173" s="218" t="n"/>
      <c r="I173" s="218" t="n"/>
      <c r="J173" s="218" t="n"/>
      <c r="K173" s="218" t="n"/>
      <c r="L173" s="218" t="n"/>
      <c r="M173" s="218" t="n"/>
      <c r="N173" s="218" t="n"/>
      <c r="O173" s="222">
        <f>IF($A173="","",IF(IF($B173="343",NETWORKDAYS($A173,$A173,FERIADOS_343),IF($B173="281",NETWORKDAYS($A173,$A173,FERIADOS_281),NETWORKDAYS($A173,$A173,FERIADOS_342)))=1,"SIM","NÃO"))</f>
      </c>
      <c r="P173" s="232">
        <f>IF($A173="","",$A173-WEEKDAY($A173,2)+5)</f>
      </c>
    </row>
    <row r="174">
      <c r="A174" s="220" t="n"/>
      <c r="B174" s="218" t="n"/>
      <c r="C174" s="218" t="n"/>
      <c r="D174" s="218" t="n"/>
      <c r="E174" s="218" t="n"/>
      <c r="F174" s="328" t="n"/>
      <c r="G174" s="218" t="n"/>
      <c r="H174" s="218" t="n"/>
      <c r="I174" s="218" t="n"/>
      <c r="J174" s="218" t="n"/>
      <c r="K174" s="218" t="n"/>
      <c r="L174" s="218" t="n"/>
      <c r="M174" s="218" t="n"/>
      <c r="N174" s="218" t="n"/>
      <c r="O174" s="222">
        <f>IF($A174="","",IF(IF($B174="343",NETWORKDAYS($A174,$A174,FERIADOS_343),IF($B174="281",NETWORKDAYS($A174,$A174,FERIADOS_281),NETWORKDAYS($A174,$A174,FERIADOS_342)))=1,"SIM","NÃO"))</f>
      </c>
      <c r="P174" s="232">
        <f>IF($A174="","",$A174-WEEKDAY($A174,2)+5)</f>
      </c>
    </row>
    <row r="175">
      <c r="A175" s="220" t="n"/>
      <c r="B175" s="218" t="n"/>
      <c r="C175" s="218" t="n"/>
      <c r="D175" s="218" t="n"/>
      <c r="E175" s="218" t="n"/>
      <c r="F175" s="328" t="n"/>
      <c r="G175" s="218" t="n"/>
      <c r="H175" s="218" t="n"/>
      <c r="I175" s="218" t="n"/>
      <c r="J175" s="218" t="n"/>
      <c r="K175" s="218" t="n"/>
      <c r="L175" s="218" t="n"/>
      <c r="M175" s="218" t="n"/>
      <c r="N175" s="218" t="n"/>
      <c r="O175" s="222">
        <f>IF($A175="","",IF(IF($B175="343",NETWORKDAYS($A175,$A175,FERIADOS_343),IF($B175="281",NETWORKDAYS($A175,$A175,FERIADOS_281),NETWORKDAYS($A175,$A175,FERIADOS_342)))=1,"SIM","NÃO"))</f>
      </c>
      <c r="P175" s="232">
        <f>IF($A175="","",$A175-WEEKDAY($A175,2)+5)</f>
      </c>
    </row>
    <row r="176">
      <c r="A176" s="220" t="n"/>
      <c r="B176" s="218" t="n"/>
      <c r="C176" s="218" t="n"/>
      <c r="D176" s="218" t="n"/>
      <c r="E176" s="218" t="n"/>
      <c r="F176" s="328" t="n"/>
      <c r="G176" s="218" t="n"/>
      <c r="H176" s="218" t="n"/>
      <c r="I176" s="218" t="n"/>
      <c r="J176" s="218" t="n"/>
      <c r="K176" s="218" t="n"/>
      <c r="L176" s="218" t="n"/>
      <c r="M176" s="218" t="n"/>
      <c r="N176" s="218" t="n"/>
      <c r="O176" s="222">
        <f>IF($A176="","",IF(IF($B176="343",NETWORKDAYS($A176,$A176,FERIADOS_343),IF($B176="281",NETWORKDAYS($A176,$A176,FERIADOS_281),NETWORKDAYS($A176,$A176,FERIADOS_342)))=1,"SIM","NÃO"))</f>
      </c>
      <c r="P176" s="232">
        <f>IF($A176="","",$A176-WEEKDAY($A176,2)+5)</f>
      </c>
    </row>
    <row r="177">
      <c r="A177" s="220" t="n"/>
      <c r="B177" s="218" t="n"/>
      <c r="C177" s="218" t="n"/>
      <c r="D177" s="218" t="n"/>
      <c r="E177" s="218" t="n"/>
      <c r="F177" s="328" t="n"/>
      <c r="G177" s="218" t="n"/>
      <c r="H177" s="218" t="n"/>
      <c r="I177" s="218" t="n"/>
      <c r="J177" s="218" t="n"/>
      <c r="K177" s="218" t="n"/>
      <c r="L177" s="218" t="n"/>
      <c r="M177" s="218" t="n"/>
      <c r="N177" s="218" t="n"/>
      <c r="O177" s="222">
        <f>IF($A177="","",IF(IF($B177="343",NETWORKDAYS($A177,$A177,FERIADOS_343),IF($B177="281",NETWORKDAYS($A177,$A177,FERIADOS_281),NETWORKDAYS($A177,$A177,FERIADOS_342)))=1,"SIM","NÃO"))</f>
      </c>
      <c r="P177" s="232">
        <f>IF($A177="","",$A177-WEEKDAY($A177,2)+5)</f>
      </c>
    </row>
    <row r="178">
      <c r="A178" s="220" t="n"/>
      <c r="B178" s="218" t="n"/>
      <c r="C178" s="218" t="n"/>
      <c r="D178" s="218" t="n"/>
      <c r="E178" s="218" t="n"/>
      <c r="F178" s="328" t="n"/>
      <c r="G178" s="218" t="n"/>
      <c r="H178" s="218" t="n"/>
      <c r="I178" s="218" t="n"/>
      <c r="J178" s="218" t="n"/>
      <c r="K178" s="218" t="n"/>
      <c r="L178" s="218" t="n"/>
      <c r="M178" s="218" t="n"/>
      <c r="N178" s="218" t="n"/>
      <c r="O178" s="222">
        <f>IF($A178="","",IF(IF($B178="343",NETWORKDAYS($A178,$A178,FERIADOS_343),IF($B178="281",NETWORKDAYS($A178,$A178,FERIADOS_281),NETWORKDAYS($A178,$A178,FERIADOS_342)))=1,"SIM","NÃO"))</f>
      </c>
      <c r="P178" s="232">
        <f>IF($A178="","",$A178-WEEKDAY($A178,2)+5)</f>
      </c>
    </row>
    <row r="179">
      <c r="A179" s="220" t="n"/>
      <c r="B179" s="218" t="n"/>
      <c r="C179" s="218" t="n"/>
      <c r="D179" s="218" t="n"/>
      <c r="E179" s="218" t="n"/>
      <c r="F179" s="328" t="n"/>
      <c r="G179" s="218" t="n"/>
      <c r="H179" s="218" t="n"/>
      <c r="I179" s="218" t="n"/>
      <c r="J179" s="218" t="n"/>
      <c r="K179" s="218" t="n"/>
      <c r="L179" s="218" t="n"/>
      <c r="M179" s="218" t="n"/>
      <c r="N179" s="218" t="n"/>
      <c r="O179" s="222">
        <f>IF($A179="","",IF(IF($B179="343",NETWORKDAYS($A179,$A179,FERIADOS_343),IF($B179="281",NETWORKDAYS($A179,$A179,FERIADOS_281),NETWORKDAYS($A179,$A179,FERIADOS_342)))=1,"SIM","NÃO"))</f>
      </c>
      <c r="P179" s="232">
        <f>IF($A179="","",$A179-WEEKDAY($A179,2)+5)</f>
      </c>
    </row>
    <row r="180">
      <c r="A180" s="220" t="n"/>
      <c r="B180" s="218" t="n"/>
      <c r="C180" s="218" t="n"/>
      <c r="D180" s="218" t="n"/>
      <c r="E180" s="218" t="n"/>
      <c r="F180" s="328" t="n"/>
      <c r="G180" s="218" t="n"/>
      <c r="H180" s="218" t="n"/>
      <c r="I180" s="218" t="n"/>
      <c r="J180" s="218" t="n"/>
      <c r="K180" s="218" t="n"/>
      <c r="L180" s="218" t="n"/>
      <c r="M180" s="218" t="n"/>
      <c r="N180" s="218" t="n"/>
      <c r="O180" s="222">
        <f>IF($A180="","",IF(IF($B180="343",NETWORKDAYS($A180,$A180,FERIADOS_343),IF($B180="281",NETWORKDAYS($A180,$A180,FERIADOS_281),NETWORKDAYS($A180,$A180,FERIADOS_342)))=1,"SIM","NÃO"))</f>
      </c>
      <c r="P180" s="232">
        <f>IF($A180="","",$A180-WEEKDAY($A180,2)+5)</f>
      </c>
    </row>
    <row r="181">
      <c r="A181" s="220" t="n"/>
      <c r="B181" s="218" t="n"/>
      <c r="C181" s="218" t="n"/>
      <c r="D181" s="218" t="n"/>
      <c r="E181" s="218" t="n"/>
      <c r="F181" s="328" t="n"/>
      <c r="G181" s="218" t="n"/>
      <c r="H181" s="218" t="n"/>
      <c r="I181" s="218" t="n"/>
      <c r="J181" s="218" t="n"/>
      <c r="K181" s="218" t="n"/>
      <c r="L181" s="218" t="n"/>
      <c r="M181" s="218" t="n"/>
      <c r="N181" s="218" t="n"/>
      <c r="O181" s="222">
        <f>IF($A181="","",IF(IF($B181="343",NETWORKDAYS($A181,$A181,FERIADOS_343),IF($B181="281",NETWORKDAYS($A181,$A181,FERIADOS_281),NETWORKDAYS($A181,$A181,FERIADOS_342)))=1,"SIM","NÃO"))</f>
      </c>
      <c r="P181" s="232">
        <f>IF($A181="","",$A181-WEEKDAY($A181,2)+5)</f>
      </c>
    </row>
    <row r="182">
      <c r="A182" s="220" t="n"/>
      <c r="B182" s="218" t="n"/>
      <c r="C182" s="218" t="n"/>
      <c r="D182" s="218" t="n"/>
      <c r="E182" s="218" t="n"/>
      <c r="F182" s="328" t="n"/>
      <c r="G182" s="218" t="n"/>
      <c r="H182" s="218" t="n"/>
      <c r="I182" s="218" t="n"/>
      <c r="J182" s="218" t="n"/>
      <c r="K182" s="218" t="n"/>
      <c r="L182" s="218" t="n"/>
      <c r="M182" s="218" t="n"/>
      <c r="N182" s="218" t="n"/>
      <c r="O182" s="222">
        <f>IF($A182="","",IF(IF($B182="343",NETWORKDAYS($A182,$A182,FERIADOS_343),IF($B182="281",NETWORKDAYS($A182,$A182,FERIADOS_281),NETWORKDAYS($A182,$A182,FERIADOS_342)))=1,"SIM","NÃO"))</f>
      </c>
      <c r="P182" s="232">
        <f>IF($A182="","",$A182-WEEKDAY($A182,2)+5)</f>
      </c>
    </row>
    <row r="183">
      <c r="A183" s="220" t="n"/>
      <c r="B183" s="218" t="n"/>
      <c r="C183" s="218" t="n"/>
      <c r="D183" s="218" t="n"/>
      <c r="E183" s="218" t="n"/>
      <c r="F183" s="328" t="n"/>
      <c r="G183" s="218" t="n"/>
      <c r="H183" s="218" t="n"/>
      <c r="I183" s="218" t="n"/>
      <c r="J183" s="218" t="n"/>
      <c r="K183" s="218" t="n"/>
      <c r="L183" s="218" t="n"/>
      <c r="M183" s="218" t="n"/>
      <c r="N183" s="218" t="n"/>
      <c r="O183" s="222">
        <f>IF($A183="","",IF(IF($B183="343",NETWORKDAYS($A183,$A183,FERIADOS_343),IF($B183="281",NETWORKDAYS($A183,$A183,FERIADOS_281),NETWORKDAYS($A183,$A183,FERIADOS_342)))=1,"SIM","NÃO"))</f>
      </c>
      <c r="P183" s="232">
        <f>IF($A183="","",$A183-WEEKDAY($A183,2)+5)</f>
      </c>
    </row>
    <row r="184">
      <c r="A184" s="220" t="n"/>
      <c r="B184" s="218" t="n"/>
      <c r="C184" s="218" t="n"/>
      <c r="D184" s="218" t="n"/>
      <c r="E184" s="218" t="n"/>
      <c r="F184" s="328" t="n"/>
      <c r="G184" s="218" t="n"/>
      <c r="H184" s="218" t="n"/>
      <c r="I184" s="218" t="n"/>
      <c r="J184" s="218" t="n"/>
      <c r="K184" s="218" t="n"/>
      <c r="L184" s="218" t="n"/>
      <c r="M184" s="218" t="n"/>
      <c r="N184" s="218" t="n"/>
      <c r="O184" s="222">
        <f>IF($A184="","",IF(IF($B184="343",NETWORKDAYS($A184,$A184,FERIADOS_343),IF($B184="281",NETWORKDAYS($A184,$A184,FERIADOS_281),NETWORKDAYS($A184,$A184,FERIADOS_342)))=1,"SIM","NÃO"))</f>
      </c>
      <c r="P184" s="232">
        <f>IF($A184="","",$A184-WEEKDAY($A184,2)+5)</f>
      </c>
    </row>
    <row r="185">
      <c r="A185" s="220" t="n"/>
      <c r="B185" s="218" t="n"/>
      <c r="C185" s="218" t="n"/>
      <c r="D185" s="218" t="n"/>
      <c r="E185" s="218" t="n"/>
      <c r="F185" s="328" t="n"/>
      <c r="G185" s="218" t="n"/>
      <c r="H185" s="218" t="n"/>
      <c r="I185" s="218" t="n"/>
      <c r="J185" s="218" t="n"/>
      <c r="K185" s="218" t="n"/>
      <c r="L185" s="218" t="n"/>
      <c r="M185" s="218" t="n"/>
      <c r="N185" s="218" t="n"/>
      <c r="O185" s="222">
        <f>IF($A185="","",IF(IF($B185="343",NETWORKDAYS($A185,$A185,FERIADOS_343),IF($B185="281",NETWORKDAYS($A185,$A185,FERIADOS_281),NETWORKDAYS($A185,$A185,FERIADOS_342)))=1,"SIM","NÃO"))</f>
      </c>
      <c r="P185" s="232">
        <f>IF($A185="","",$A185-WEEKDAY($A185,2)+5)</f>
      </c>
    </row>
    <row r="186">
      <c r="A186" s="220" t="n"/>
      <c r="B186" s="218" t="n"/>
      <c r="C186" s="218" t="n"/>
      <c r="D186" s="218" t="n"/>
      <c r="E186" s="218" t="n"/>
      <c r="F186" s="328" t="n"/>
      <c r="G186" s="218" t="n"/>
      <c r="H186" s="218" t="n"/>
      <c r="I186" s="218" t="n"/>
      <c r="J186" s="218" t="n"/>
      <c r="K186" s="218" t="n"/>
      <c r="L186" s="218" t="n"/>
      <c r="M186" s="218" t="n"/>
      <c r="N186" s="218" t="n"/>
      <c r="O186" s="222">
        <f>IF($A186="","",IF(IF($B186="343",NETWORKDAYS($A186,$A186,FERIADOS_343),IF($B186="281",NETWORKDAYS($A186,$A186,FERIADOS_281),NETWORKDAYS($A186,$A186,FERIADOS_342)))=1,"SIM","NÃO"))</f>
      </c>
      <c r="P186" s="232">
        <f>IF($A186="","",$A186-WEEKDAY($A186,2)+5)</f>
      </c>
    </row>
    <row r="187">
      <c r="A187" s="220" t="n"/>
      <c r="B187" s="218" t="n"/>
      <c r="C187" s="218" t="n"/>
      <c r="D187" s="218" t="n"/>
      <c r="E187" s="218" t="n"/>
      <c r="F187" s="328" t="n"/>
      <c r="G187" s="218" t="n"/>
      <c r="H187" s="218" t="n"/>
      <c r="I187" s="218" t="n"/>
      <c r="J187" s="218" t="n"/>
      <c r="K187" s="218" t="n"/>
      <c r="L187" s="218" t="n"/>
      <c r="M187" s="218" t="n"/>
      <c r="N187" s="218" t="n"/>
      <c r="O187" s="222">
        <f>IF($A187="","",IF(IF($B187="343",NETWORKDAYS($A187,$A187,FERIADOS_343),IF($B187="281",NETWORKDAYS($A187,$A187,FERIADOS_281),NETWORKDAYS($A187,$A187,FERIADOS_342)))=1,"SIM","NÃO"))</f>
      </c>
      <c r="P187" s="232">
        <f>IF($A187="","",$A187-WEEKDAY($A187,2)+5)</f>
      </c>
    </row>
    <row r="188">
      <c r="A188" s="220" t="n"/>
      <c r="B188" s="218" t="n"/>
      <c r="C188" s="218" t="n"/>
      <c r="D188" s="218" t="n"/>
      <c r="E188" s="218" t="n"/>
      <c r="F188" s="328" t="n"/>
      <c r="G188" s="218" t="n"/>
      <c r="H188" s="218" t="n"/>
      <c r="I188" s="218" t="n"/>
      <c r="J188" s="218" t="n"/>
      <c r="K188" s="218" t="n"/>
      <c r="L188" s="218" t="n"/>
      <c r="M188" s="218" t="n"/>
      <c r="N188" s="218" t="n"/>
      <c r="O188" s="222">
        <f>IF($A188="","",IF(IF($B188="343",NETWORKDAYS($A188,$A188,FERIADOS_343),IF($B188="281",NETWORKDAYS($A188,$A188,FERIADOS_281),NETWORKDAYS($A188,$A188,FERIADOS_342)))=1,"SIM","NÃO"))</f>
      </c>
      <c r="P188" s="232">
        <f>IF($A188="","",$A188-WEEKDAY($A188,2)+5)</f>
      </c>
    </row>
    <row r="189">
      <c r="A189" s="220" t="n"/>
      <c r="B189" s="218" t="n"/>
      <c r="C189" s="218" t="n"/>
      <c r="D189" s="218" t="n"/>
      <c r="E189" s="218" t="n"/>
      <c r="F189" s="328" t="n"/>
      <c r="G189" s="218" t="n"/>
      <c r="H189" s="218" t="n"/>
      <c r="I189" s="218" t="n"/>
      <c r="J189" s="218" t="n"/>
      <c r="K189" s="218" t="n"/>
      <c r="L189" s="218" t="n"/>
      <c r="M189" s="218" t="n"/>
      <c r="N189" s="218" t="n"/>
      <c r="O189" s="222">
        <f>IF($A189="","",IF(IF($B189="343",NETWORKDAYS($A189,$A189,FERIADOS_343),IF($B189="281",NETWORKDAYS($A189,$A189,FERIADOS_281),NETWORKDAYS($A189,$A189,FERIADOS_342)))=1,"SIM","NÃO"))</f>
      </c>
      <c r="P189" s="232">
        <f>IF($A189="","",$A189-WEEKDAY($A189,2)+5)</f>
      </c>
    </row>
    <row r="190">
      <c r="A190" s="220" t="n"/>
      <c r="B190" s="218" t="n"/>
      <c r="C190" s="218" t="n"/>
      <c r="D190" s="218" t="n"/>
      <c r="E190" s="218" t="n"/>
      <c r="F190" s="328" t="n"/>
      <c r="G190" s="218" t="n"/>
      <c r="H190" s="218" t="n"/>
      <c r="I190" s="218" t="n"/>
      <c r="J190" s="218" t="n"/>
      <c r="K190" s="218" t="n"/>
      <c r="L190" s="218" t="n"/>
      <c r="M190" s="218" t="n"/>
      <c r="N190" s="218" t="n"/>
      <c r="O190" s="222">
        <f>IF($A190="","",IF(IF($B190="343",NETWORKDAYS($A190,$A190,FERIADOS_343),IF($B190="281",NETWORKDAYS($A190,$A190,FERIADOS_281),NETWORKDAYS($A190,$A190,FERIADOS_342)))=1,"SIM","NÃO"))</f>
      </c>
      <c r="P190" s="232">
        <f>IF($A190="","",$A190-WEEKDAY($A190,2)+5)</f>
      </c>
    </row>
    <row r="191">
      <c r="A191" s="220" t="n"/>
      <c r="B191" s="218" t="n"/>
      <c r="C191" s="218" t="n"/>
      <c r="D191" s="218" t="n"/>
      <c r="E191" s="218" t="n"/>
      <c r="F191" s="328" t="n"/>
      <c r="G191" s="218" t="n"/>
      <c r="H191" s="218" t="n"/>
      <c r="I191" s="218" t="n"/>
      <c r="J191" s="218" t="n"/>
      <c r="K191" s="218" t="n"/>
      <c r="L191" s="218" t="n"/>
      <c r="M191" s="218" t="n"/>
      <c r="N191" s="218" t="n"/>
      <c r="O191" s="222">
        <f>IF($A191="","",IF(IF($B191="343",NETWORKDAYS($A191,$A191,FERIADOS_343),IF($B191="281",NETWORKDAYS($A191,$A191,FERIADOS_281),NETWORKDAYS($A191,$A191,FERIADOS_342)))=1,"SIM","NÃO"))</f>
      </c>
      <c r="P191" s="232">
        <f>IF($A191="","",$A191-WEEKDAY($A191,2)+5)</f>
      </c>
    </row>
    <row r="192">
      <c r="A192" s="220" t="n"/>
      <c r="B192" s="218" t="n"/>
      <c r="C192" s="218" t="n"/>
      <c r="D192" s="218" t="n"/>
      <c r="E192" s="218" t="n"/>
      <c r="F192" s="328" t="n"/>
      <c r="G192" s="218" t="n"/>
      <c r="H192" s="218" t="n"/>
      <c r="I192" s="218" t="n"/>
      <c r="J192" s="218" t="n"/>
      <c r="K192" s="218" t="n"/>
      <c r="L192" s="218" t="n"/>
      <c r="M192" s="218" t="n"/>
      <c r="N192" s="218" t="n"/>
      <c r="O192" s="222">
        <f>IF($A192="","",IF(IF($B192="343",NETWORKDAYS($A192,$A192,FERIADOS_343),IF($B192="281",NETWORKDAYS($A192,$A192,FERIADOS_281),NETWORKDAYS($A192,$A192,FERIADOS_342)))=1,"SIM","NÃO"))</f>
      </c>
      <c r="P192" s="232">
        <f>IF($A192="","",$A192-WEEKDAY($A192,2)+5)</f>
      </c>
    </row>
    <row r="193">
      <c r="A193" s="220" t="n"/>
      <c r="B193" s="218" t="n"/>
      <c r="C193" s="218" t="n"/>
      <c r="D193" s="218" t="n"/>
      <c r="E193" s="218" t="n"/>
      <c r="F193" s="328" t="n"/>
      <c r="G193" s="218" t="n"/>
      <c r="H193" s="218" t="n"/>
      <c r="I193" s="218" t="n"/>
      <c r="J193" s="218" t="n"/>
      <c r="K193" s="218" t="n"/>
      <c r="L193" s="218" t="n"/>
      <c r="M193" s="218" t="n"/>
      <c r="N193" s="218" t="n"/>
      <c r="O193" s="222">
        <f>IF($A193="","",IF(IF($B193="343",NETWORKDAYS($A193,$A193,FERIADOS_343),IF($B193="281",NETWORKDAYS($A193,$A193,FERIADOS_281),NETWORKDAYS($A193,$A193,FERIADOS_342)))=1,"SIM","NÃO"))</f>
      </c>
      <c r="P193" s="232">
        <f>IF($A193="","",$A193-WEEKDAY($A193,2)+5)</f>
      </c>
    </row>
    <row r="194">
      <c r="A194" s="220" t="n"/>
      <c r="B194" s="218" t="n"/>
      <c r="C194" s="218" t="n"/>
      <c r="D194" s="218" t="n"/>
      <c r="E194" s="218" t="n"/>
      <c r="F194" s="328" t="n"/>
      <c r="G194" s="218" t="n"/>
      <c r="H194" s="218" t="n"/>
      <c r="I194" s="218" t="n"/>
      <c r="J194" s="218" t="n"/>
      <c r="K194" s="218" t="n"/>
      <c r="L194" s="218" t="n"/>
      <c r="M194" s="218" t="n"/>
      <c r="N194" s="218" t="n"/>
      <c r="O194" s="222">
        <f>IF($A194="","",IF(IF($B194="343",NETWORKDAYS($A194,$A194,FERIADOS_343),IF($B194="281",NETWORKDAYS($A194,$A194,FERIADOS_281),NETWORKDAYS($A194,$A194,FERIADOS_342)))=1,"SIM","NÃO"))</f>
      </c>
      <c r="P194" s="232">
        <f>IF($A194="","",$A194-WEEKDAY($A194,2)+5)</f>
      </c>
    </row>
    <row r="195">
      <c r="A195" s="220" t="n"/>
      <c r="B195" s="218" t="n"/>
      <c r="C195" s="218" t="n"/>
      <c r="D195" s="218" t="n"/>
      <c r="E195" s="218" t="n"/>
      <c r="F195" s="328" t="n"/>
      <c r="G195" s="218" t="n"/>
      <c r="H195" s="218" t="n"/>
      <c r="I195" s="218" t="n"/>
      <c r="J195" s="218" t="n"/>
      <c r="K195" s="218" t="n"/>
      <c r="L195" s="218" t="n"/>
      <c r="M195" s="218" t="n"/>
      <c r="N195" s="218" t="n"/>
      <c r="O195" s="222">
        <f>IF($A195="","",IF(IF($B195="343",NETWORKDAYS($A195,$A195,FERIADOS_343),IF($B195="281",NETWORKDAYS($A195,$A195,FERIADOS_281),NETWORKDAYS($A195,$A195,FERIADOS_342)))=1,"SIM","NÃO"))</f>
      </c>
      <c r="P195" s="232">
        <f>IF($A195="","",$A195-WEEKDAY($A195,2)+5)</f>
      </c>
    </row>
    <row r="196">
      <c r="A196" s="220" t="n"/>
      <c r="B196" s="218" t="n"/>
      <c r="C196" s="218" t="n"/>
      <c r="D196" s="218" t="n"/>
      <c r="E196" s="218" t="n"/>
      <c r="F196" s="328" t="n"/>
      <c r="G196" s="218" t="n"/>
      <c r="H196" s="218" t="n"/>
      <c r="I196" s="218" t="n"/>
      <c r="J196" s="218" t="n"/>
      <c r="K196" s="218" t="n"/>
      <c r="L196" s="218" t="n"/>
      <c r="M196" s="218" t="n"/>
      <c r="N196" s="218" t="n"/>
      <c r="O196" s="222">
        <f>IF($A196="","",IF(IF($B196="343",NETWORKDAYS($A196,$A196,FERIADOS_343),IF($B196="281",NETWORKDAYS($A196,$A196,FERIADOS_281),NETWORKDAYS($A196,$A196,FERIADOS_342)))=1,"SIM","NÃO"))</f>
      </c>
      <c r="P196" s="232">
        <f>IF($A196="","",$A196-WEEKDAY($A196,2)+5)</f>
      </c>
    </row>
    <row r="197">
      <c r="A197" s="220" t="n"/>
      <c r="B197" s="218" t="n"/>
      <c r="C197" s="218" t="n"/>
      <c r="D197" s="218" t="n"/>
      <c r="E197" s="218" t="n"/>
      <c r="F197" s="328" t="n"/>
      <c r="G197" s="218" t="n"/>
      <c r="H197" s="218" t="n"/>
      <c r="I197" s="218" t="n"/>
      <c r="J197" s="218" t="n"/>
      <c r="K197" s="218" t="n"/>
      <c r="L197" s="218" t="n"/>
      <c r="M197" s="218" t="n"/>
      <c r="N197" s="218" t="n"/>
      <c r="O197" s="222">
        <f>IF($A197="","",IF(IF($B197="343",NETWORKDAYS($A197,$A197,FERIADOS_343),IF($B197="281",NETWORKDAYS($A197,$A197,FERIADOS_281),NETWORKDAYS($A197,$A197,FERIADOS_342)))=1,"SIM","NÃO"))</f>
      </c>
      <c r="P197" s="232">
        <f>IF($A197="","",$A197-WEEKDAY($A197,2)+5)</f>
      </c>
    </row>
    <row r="198">
      <c r="A198" s="220" t="n"/>
      <c r="B198" s="218" t="n"/>
      <c r="C198" s="218" t="n"/>
      <c r="D198" s="218" t="n"/>
      <c r="E198" s="218" t="n"/>
      <c r="F198" s="328" t="n"/>
      <c r="G198" s="218" t="n"/>
      <c r="H198" s="218" t="n"/>
      <c r="I198" s="218" t="n"/>
      <c r="J198" s="218" t="n"/>
      <c r="K198" s="218" t="n"/>
      <c r="L198" s="218" t="n"/>
      <c r="M198" s="218" t="n"/>
      <c r="N198" s="218" t="n"/>
      <c r="O198" s="222">
        <f>IF($A198="","",IF(IF($B198="343",NETWORKDAYS($A198,$A198,FERIADOS_343),IF($B198="281",NETWORKDAYS($A198,$A198,FERIADOS_281),NETWORKDAYS($A198,$A198,FERIADOS_342)))=1,"SIM","NÃO"))</f>
      </c>
      <c r="P198" s="232">
        <f>IF($A198="","",$A198-WEEKDAY($A198,2)+5)</f>
      </c>
    </row>
    <row r="199">
      <c r="A199" s="220" t="n"/>
      <c r="B199" s="218" t="n"/>
      <c r="C199" s="218" t="n"/>
      <c r="D199" s="218" t="n"/>
      <c r="E199" s="218" t="n"/>
      <c r="F199" s="328" t="n"/>
      <c r="G199" s="218" t="n"/>
      <c r="H199" s="218" t="n"/>
      <c r="I199" s="218" t="n"/>
      <c r="J199" s="218" t="n"/>
      <c r="K199" s="218" t="n"/>
      <c r="L199" s="218" t="n"/>
      <c r="M199" s="218" t="n"/>
      <c r="N199" s="218" t="n"/>
      <c r="O199" s="222">
        <f>IF($A199="","",IF(IF($B199="343",NETWORKDAYS($A199,$A199,FERIADOS_343),IF($B199="281",NETWORKDAYS($A199,$A199,FERIADOS_281),NETWORKDAYS($A199,$A199,FERIADOS_342)))=1,"SIM","NÃO"))</f>
      </c>
      <c r="P199" s="232">
        <f>IF($A199="","",$A199-WEEKDAY($A199,2)+5)</f>
      </c>
    </row>
    <row r="200">
      <c r="A200" s="220" t="n"/>
      <c r="B200" s="218" t="n"/>
      <c r="C200" s="218" t="n"/>
      <c r="D200" s="218" t="n"/>
      <c r="E200" s="218" t="n"/>
      <c r="F200" s="328" t="n"/>
      <c r="G200" s="218" t="n"/>
      <c r="H200" s="218" t="n"/>
      <c r="I200" s="218" t="n"/>
      <c r="J200" s="218" t="n"/>
      <c r="K200" s="218" t="n"/>
      <c r="L200" s="218" t="n"/>
      <c r="M200" s="218" t="n"/>
      <c r="N200" s="218" t="n"/>
      <c r="O200" s="222">
        <f>IF($A200="","",IF(IF($B200="343",NETWORKDAYS($A200,$A200,FERIADOS_343),IF($B200="281",NETWORKDAYS($A200,$A200,FERIADOS_281),NETWORKDAYS($A200,$A200,FERIADOS_342)))=1,"SIM","NÃO"))</f>
      </c>
      <c r="P200" s="232">
        <f>IF($A200="","",$A200-WEEKDAY($A200,2)+5)</f>
      </c>
    </row>
    <row r="201">
      <c r="A201" s="220" t="n"/>
      <c r="B201" s="218" t="n"/>
      <c r="C201" s="218" t="n"/>
      <c r="D201" s="218" t="n"/>
      <c r="E201" s="218" t="n"/>
      <c r="F201" s="328" t="n"/>
      <c r="G201" s="218" t="n"/>
      <c r="H201" s="218" t="n"/>
      <c r="I201" s="218" t="n"/>
      <c r="J201" s="218" t="n"/>
      <c r="K201" s="218" t="n"/>
      <c r="L201" s="218" t="n"/>
      <c r="M201" s="218" t="n"/>
      <c r="N201" s="218" t="n"/>
      <c r="O201" s="222">
        <f>IF($A201="","",IF(IF($B201="343",NETWORKDAYS($A201,$A201,FERIADOS_343),IF($B201="281",NETWORKDAYS($A201,$A201,FERIADOS_281),NETWORKDAYS($A201,$A201,FERIADOS_342)))=1,"SIM","NÃO"))</f>
      </c>
      <c r="P201" s="232">
        <f>IF($A201="","",$A201-WEEKDAY($A201,2)+5)</f>
      </c>
    </row>
    <row r="202">
      <c r="A202" s="220" t="n"/>
      <c r="B202" s="218" t="n"/>
      <c r="C202" s="218" t="n"/>
      <c r="D202" s="218" t="n"/>
      <c r="E202" s="218" t="n"/>
      <c r="F202" s="328" t="n"/>
      <c r="G202" s="218" t="n"/>
      <c r="H202" s="218" t="n"/>
      <c r="I202" s="218" t="n"/>
      <c r="J202" s="218" t="n"/>
      <c r="K202" s="218" t="n"/>
      <c r="L202" s="218" t="n"/>
      <c r="M202" s="218" t="n"/>
      <c r="N202" s="218" t="n"/>
      <c r="O202" s="222">
        <f>IF($A202="","",IF(IF($B202="343",NETWORKDAYS($A202,$A202,FERIADOS_343),IF($B202="281",NETWORKDAYS($A202,$A202,FERIADOS_281),NETWORKDAYS($A202,$A202,FERIADOS_342)))=1,"SIM","NÃO"))</f>
      </c>
      <c r="P202" s="232">
        <f>IF($A202="","",$A202-WEEKDAY($A202,2)+5)</f>
      </c>
    </row>
    <row r="203">
      <c r="A203" s="220" t="n"/>
      <c r="B203" s="218" t="n"/>
      <c r="C203" s="218" t="n"/>
      <c r="D203" s="218" t="n"/>
      <c r="E203" s="218" t="n"/>
      <c r="F203" s="328" t="n"/>
      <c r="G203" s="218" t="n"/>
      <c r="H203" s="218" t="n"/>
      <c r="I203" s="218" t="n"/>
      <c r="J203" s="218" t="n"/>
      <c r="K203" s="218" t="n"/>
      <c r="L203" s="218" t="n"/>
      <c r="M203" s="218" t="n"/>
      <c r="N203" s="218" t="n"/>
      <c r="O203" s="222">
        <f>IF($A203="","",IF(IF($B203="343",NETWORKDAYS($A203,$A203,FERIADOS_343),IF($B203="281",NETWORKDAYS($A203,$A203,FERIADOS_281),NETWORKDAYS($A203,$A203,FERIADOS_342)))=1,"SIM","NÃO"))</f>
      </c>
      <c r="P203" s="232">
        <f>IF($A203="","",$A203-WEEKDAY($A203,2)+5)</f>
      </c>
    </row>
    <row r="204">
      <c r="A204" s="220" t="n"/>
      <c r="B204" s="218" t="n"/>
      <c r="C204" s="218" t="n"/>
      <c r="D204" s="218" t="n"/>
      <c r="E204" s="218" t="n"/>
      <c r="F204" s="328" t="n"/>
      <c r="G204" s="218" t="n"/>
      <c r="H204" s="218" t="n"/>
      <c r="I204" s="218" t="n"/>
      <c r="J204" s="218" t="n"/>
      <c r="K204" s="218" t="n"/>
      <c r="L204" s="218" t="n"/>
      <c r="M204" s="218" t="n"/>
      <c r="N204" s="218" t="n"/>
      <c r="O204" s="222">
        <f>IF($A204="","",IF(IF($B204="343",NETWORKDAYS($A204,$A204,FERIADOS_343),IF($B204="281",NETWORKDAYS($A204,$A204,FERIADOS_281),NETWORKDAYS($A204,$A204,FERIADOS_342)))=1,"SIM","NÃO"))</f>
      </c>
      <c r="P204" s="232">
        <f>IF($A204="","",$A204-WEEKDAY($A204,2)+5)</f>
      </c>
    </row>
    <row r="205">
      <c r="A205" s="220" t="n"/>
      <c r="B205" s="218" t="n"/>
      <c r="C205" s="218" t="n"/>
      <c r="D205" s="218" t="n"/>
      <c r="E205" s="218" t="n"/>
      <c r="F205" s="328" t="n"/>
      <c r="G205" s="218" t="n"/>
      <c r="H205" s="218" t="n"/>
      <c r="I205" s="218" t="n"/>
      <c r="J205" s="218" t="n"/>
      <c r="K205" s="218" t="n"/>
      <c r="L205" s="218" t="n"/>
      <c r="M205" s="218" t="n"/>
      <c r="N205" s="218" t="n"/>
      <c r="O205" s="222">
        <f>IF($A205="","",IF(IF($B205="343",NETWORKDAYS($A205,$A205,FERIADOS_343),IF($B205="281",NETWORKDAYS($A205,$A205,FERIADOS_281),NETWORKDAYS($A205,$A205,FERIADOS_342)))=1,"SIM","NÃO"))</f>
      </c>
      <c r="P205" s="232">
        <f>IF($A205="","",$A205-WEEKDAY($A205,2)+5)</f>
      </c>
    </row>
    <row r="206">
      <c r="A206" s="220" t="n"/>
      <c r="B206" s="218" t="n"/>
      <c r="C206" s="218" t="n"/>
      <c r="D206" s="218" t="n"/>
      <c r="E206" s="218" t="n"/>
      <c r="F206" s="328" t="n"/>
      <c r="G206" s="218" t="n"/>
      <c r="H206" s="218" t="n"/>
      <c r="I206" s="218" t="n"/>
      <c r="J206" s="218" t="n"/>
      <c r="K206" s="218" t="n"/>
      <c r="L206" s="218" t="n"/>
      <c r="M206" s="218" t="n"/>
      <c r="N206" s="218" t="n"/>
      <c r="O206" s="222">
        <f>IF($A206="","",IF(IF($B206="343",NETWORKDAYS($A206,$A206,FERIADOS_343),IF($B206="281",NETWORKDAYS($A206,$A206,FERIADOS_281),NETWORKDAYS($A206,$A206,FERIADOS_342)))=1,"SIM","NÃO"))</f>
      </c>
      <c r="P206" s="232">
        <f>IF($A206="","",$A206-WEEKDAY($A206,2)+5)</f>
      </c>
    </row>
    <row r="207">
      <c r="A207" s="220" t="n"/>
      <c r="B207" s="218" t="n"/>
      <c r="C207" s="218" t="n"/>
      <c r="D207" s="218" t="n"/>
      <c r="E207" s="218" t="n"/>
      <c r="F207" s="328" t="n"/>
      <c r="G207" s="218" t="n"/>
      <c r="H207" s="218" t="n"/>
      <c r="I207" s="218" t="n"/>
      <c r="J207" s="218" t="n"/>
      <c r="K207" s="218" t="n"/>
      <c r="L207" s="218" t="n"/>
      <c r="M207" s="218" t="n"/>
      <c r="N207" s="218" t="n"/>
      <c r="O207" s="222">
        <f>IF($A207="","",IF(IF($B207="343",NETWORKDAYS($A207,$A207,FERIADOS_343),IF($B207="281",NETWORKDAYS($A207,$A207,FERIADOS_281),NETWORKDAYS($A207,$A207,FERIADOS_342)))=1,"SIM","NÃO"))</f>
      </c>
      <c r="P207" s="232">
        <f>IF($A207="","",$A207-WEEKDAY($A207,2)+5)</f>
      </c>
    </row>
    <row r="208">
      <c r="A208" s="220" t="n"/>
      <c r="B208" s="218" t="n"/>
      <c r="C208" s="218" t="n"/>
      <c r="D208" s="218" t="n"/>
      <c r="E208" s="218" t="n"/>
      <c r="F208" s="328" t="n"/>
      <c r="G208" s="218" t="n"/>
      <c r="H208" s="218" t="n"/>
      <c r="I208" s="218" t="n"/>
      <c r="J208" s="218" t="n"/>
      <c r="K208" s="218" t="n"/>
      <c r="L208" s="218" t="n"/>
      <c r="M208" s="218" t="n"/>
      <c r="N208" s="218" t="n"/>
      <c r="O208" s="222">
        <f>IF($A208="","",IF(IF($B208="343",NETWORKDAYS($A208,$A208,FERIADOS_343),IF($B208="281",NETWORKDAYS($A208,$A208,FERIADOS_281),NETWORKDAYS($A208,$A208,FERIADOS_342)))=1,"SIM","NÃO"))</f>
      </c>
      <c r="P208" s="232">
        <f>IF($A208="","",$A208-WEEKDAY($A208,2)+5)</f>
      </c>
    </row>
    <row r="209">
      <c r="A209" s="220" t="n"/>
      <c r="B209" s="218" t="n"/>
      <c r="C209" s="218" t="n"/>
      <c r="D209" s="218" t="n"/>
      <c r="E209" s="218" t="n"/>
      <c r="F209" s="328" t="n"/>
      <c r="G209" s="218" t="n"/>
      <c r="H209" s="218" t="n"/>
      <c r="I209" s="218" t="n"/>
      <c r="J209" s="218" t="n"/>
      <c r="K209" s="218" t="n"/>
      <c r="L209" s="218" t="n"/>
      <c r="M209" s="218" t="n"/>
      <c r="N209" s="218" t="n"/>
      <c r="O209" s="222">
        <f>IF($A209="","",IF(IF($B209="343",NETWORKDAYS($A209,$A209,FERIADOS_343),IF($B209="281",NETWORKDAYS($A209,$A209,FERIADOS_281),NETWORKDAYS($A209,$A209,FERIADOS_342)))=1,"SIM","NÃO"))</f>
      </c>
      <c r="P209" s="232">
        <f>IF($A209="","",$A209-WEEKDAY($A209,2)+5)</f>
      </c>
    </row>
    <row r="210">
      <c r="A210" s="220" t="n"/>
      <c r="B210" s="218" t="n"/>
      <c r="C210" s="218" t="n"/>
      <c r="D210" s="218" t="n"/>
      <c r="E210" s="218" t="n"/>
      <c r="F210" s="328" t="n"/>
      <c r="G210" s="218" t="n"/>
      <c r="H210" s="218" t="n"/>
      <c r="I210" s="218" t="n"/>
      <c r="J210" s="218" t="n"/>
      <c r="K210" s="218" t="n"/>
      <c r="L210" s="218" t="n"/>
      <c r="M210" s="218" t="n"/>
      <c r="N210" s="218" t="n"/>
      <c r="O210" s="222">
        <f>IF($A210="","",IF(IF($B210="343",NETWORKDAYS($A210,$A210,FERIADOS_343),IF($B210="281",NETWORKDAYS($A210,$A210,FERIADOS_281),NETWORKDAYS($A210,$A210,FERIADOS_342)))=1,"SIM","NÃO"))</f>
      </c>
      <c r="P210" s="232">
        <f>IF($A210="","",$A210-WEEKDAY($A210,2)+5)</f>
      </c>
    </row>
    <row r="211">
      <c r="A211" s="220" t="n"/>
      <c r="B211" s="218" t="n"/>
      <c r="C211" s="218" t="n"/>
      <c r="D211" s="218" t="n"/>
      <c r="E211" s="218" t="n"/>
      <c r="F211" s="328" t="n"/>
      <c r="G211" s="218" t="n"/>
      <c r="H211" s="218" t="n"/>
      <c r="I211" s="218" t="n"/>
      <c r="J211" s="218" t="n"/>
      <c r="K211" s="218" t="n"/>
      <c r="L211" s="218" t="n"/>
      <c r="M211" s="218" t="n"/>
      <c r="N211" s="218" t="n"/>
      <c r="O211" s="222">
        <f>IF($A211="","",IF(IF($B211="343",NETWORKDAYS($A211,$A211,FERIADOS_343),IF($B211="281",NETWORKDAYS($A211,$A211,FERIADOS_281),NETWORKDAYS($A211,$A211,FERIADOS_342)))=1,"SIM","NÃO"))</f>
      </c>
      <c r="P211" s="232">
        <f>IF($A211="","",$A211-WEEKDAY($A211,2)+5)</f>
      </c>
    </row>
    <row r="212">
      <c r="A212" s="220" t="n"/>
      <c r="B212" s="218" t="n"/>
      <c r="C212" s="218" t="n"/>
      <c r="D212" s="218" t="n"/>
      <c r="E212" s="218" t="n"/>
      <c r="F212" s="328" t="n"/>
      <c r="G212" s="218" t="n"/>
      <c r="H212" s="218" t="n"/>
      <c r="I212" s="218" t="n"/>
      <c r="J212" s="218" t="n"/>
      <c r="K212" s="218" t="n"/>
      <c r="L212" s="218" t="n"/>
      <c r="M212" s="218" t="n"/>
      <c r="N212" s="218" t="n"/>
      <c r="O212" s="222">
        <f>IF($A212="","",IF(IF($B212="343",NETWORKDAYS($A212,$A212,FERIADOS_343),IF($B212="281",NETWORKDAYS($A212,$A212,FERIADOS_281),NETWORKDAYS($A212,$A212,FERIADOS_342)))=1,"SIM","NÃO"))</f>
      </c>
      <c r="P212" s="232">
        <f>IF($A212="","",$A212-WEEKDAY($A212,2)+5)</f>
      </c>
    </row>
    <row r="213">
      <c r="A213" s="220" t="n"/>
      <c r="B213" s="218" t="n"/>
      <c r="C213" s="218" t="n"/>
      <c r="D213" s="218" t="n"/>
      <c r="E213" s="218" t="n"/>
      <c r="F213" s="328" t="n"/>
      <c r="G213" s="218" t="n"/>
      <c r="H213" s="218" t="n"/>
      <c r="I213" s="218" t="n"/>
      <c r="J213" s="218" t="n"/>
      <c r="K213" s="218" t="n"/>
      <c r="L213" s="218" t="n"/>
      <c r="M213" s="218" t="n"/>
      <c r="N213" s="218" t="n"/>
      <c r="O213" s="222">
        <f>IF($A213="","",IF(IF($B213="343",NETWORKDAYS($A213,$A213,FERIADOS_343),IF($B213="281",NETWORKDAYS($A213,$A213,FERIADOS_281),NETWORKDAYS($A213,$A213,FERIADOS_342)))=1,"SIM","NÃO"))</f>
      </c>
      <c r="P213" s="232">
        <f>IF($A213="","",$A213-WEEKDAY($A213,2)+5)</f>
      </c>
    </row>
    <row r="214">
      <c r="A214" s="220" t="n"/>
      <c r="B214" s="218" t="n"/>
      <c r="C214" s="218" t="n"/>
      <c r="D214" s="218" t="n"/>
      <c r="E214" s="218" t="n"/>
      <c r="F214" s="328" t="n"/>
      <c r="G214" s="218" t="n"/>
      <c r="H214" s="218" t="n"/>
      <c r="I214" s="218" t="n"/>
      <c r="J214" s="218" t="n"/>
      <c r="K214" s="218" t="n"/>
      <c r="L214" s="218" t="n"/>
      <c r="M214" s="218" t="n"/>
      <c r="N214" s="218" t="n"/>
      <c r="O214" s="222">
        <f>IF($A214="","",IF(IF($B214="343",NETWORKDAYS($A214,$A214,FERIADOS_343),IF($B214="281",NETWORKDAYS($A214,$A214,FERIADOS_281),NETWORKDAYS($A214,$A214,FERIADOS_342)))=1,"SIM","NÃO"))</f>
      </c>
      <c r="P214" s="232">
        <f>IF($A214="","",$A214-WEEKDAY($A214,2)+5)</f>
      </c>
    </row>
    <row r="215">
      <c r="A215" s="220" t="n"/>
      <c r="B215" s="218" t="n"/>
      <c r="C215" s="218" t="n"/>
      <c r="D215" s="218" t="n"/>
      <c r="E215" s="218" t="n"/>
      <c r="F215" s="328" t="n"/>
      <c r="G215" s="218" t="n"/>
      <c r="H215" s="218" t="n"/>
      <c r="I215" s="218" t="n"/>
      <c r="J215" s="218" t="n"/>
      <c r="K215" s="218" t="n"/>
      <c r="L215" s="218" t="n"/>
      <c r="M215" s="218" t="n"/>
      <c r="N215" s="218" t="n"/>
      <c r="O215" s="222">
        <f>IF($A215="","",IF(IF($B215="343",NETWORKDAYS($A215,$A215,FERIADOS_343),IF($B215="281",NETWORKDAYS($A215,$A215,FERIADOS_281),NETWORKDAYS($A215,$A215,FERIADOS_342)))=1,"SIM","NÃO"))</f>
      </c>
      <c r="P215" s="232">
        <f>IF($A215="","",$A215-WEEKDAY($A215,2)+5)</f>
      </c>
    </row>
    <row r="216">
      <c r="A216" s="220" t="n"/>
      <c r="B216" s="218" t="n"/>
      <c r="C216" s="218" t="n"/>
      <c r="D216" s="218" t="n"/>
      <c r="E216" s="218" t="n"/>
      <c r="F216" s="328" t="n"/>
      <c r="G216" s="218" t="n"/>
      <c r="H216" s="218" t="n"/>
      <c r="I216" s="218" t="n"/>
      <c r="J216" s="218" t="n"/>
      <c r="K216" s="218" t="n"/>
      <c r="L216" s="218" t="n"/>
      <c r="M216" s="218" t="n"/>
      <c r="N216" s="218" t="n"/>
      <c r="O216" s="222">
        <f>IF($A216="","",IF(IF($B216="343",NETWORKDAYS($A216,$A216,FERIADOS_343),IF($B216="281",NETWORKDAYS($A216,$A216,FERIADOS_281),NETWORKDAYS($A216,$A216,FERIADOS_342)))=1,"SIM","NÃO"))</f>
      </c>
      <c r="P216" s="232">
        <f>IF($A216="","",$A216-WEEKDAY($A216,2)+5)</f>
      </c>
    </row>
    <row r="217">
      <c r="A217" s="220" t="n"/>
      <c r="B217" s="218" t="n"/>
      <c r="C217" s="218" t="n"/>
      <c r="D217" s="218" t="n"/>
      <c r="E217" s="218" t="n"/>
      <c r="F217" s="328" t="n"/>
      <c r="G217" s="218" t="n"/>
      <c r="H217" s="218" t="n"/>
      <c r="I217" s="218" t="n"/>
      <c r="J217" s="218" t="n"/>
      <c r="K217" s="218" t="n"/>
      <c r="L217" s="218" t="n"/>
      <c r="M217" s="218" t="n"/>
      <c r="N217" s="218" t="n"/>
      <c r="O217" s="222">
        <f>IF($A217="","",IF(IF($B217="343",NETWORKDAYS($A217,$A217,FERIADOS_343),IF($B217="281",NETWORKDAYS($A217,$A217,FERIADOS_281),NETWORKDAYS($A217,$A217,FERIADOS_342)))=1,"SIM","NÃO"))</f>
      </c>
      <c r="P217" s="232">
        <f>IF($A217="","",$A217-WEEKDAY($A217,2)+5)</f>
      </c>
    </row>
    <row r="218">
      <c r="A218" s="220" t="n"/>
      <c r="B218" s="218" t="n"/>
      <c r="C218" s="218" t="n"/>
      <c r="D218" s="218" t="n"/>
      <c r="E218" s="218" t="n"/>
      <c r="F218" s="328" t="n"/>
      <c r="G218" s="218" t="n"/>
      <c r="H218" s="218" t="n"/>
      <c r="I218" s="218" t="n"/>
      <c r="J218" s="218" t="n"/>
      <c r="K218" s="218" t="n"/>
      <c r="L218" s="218" t="n"/>
      <c r="M218" s="218" t="n"/>
      <c r="N218" s="218" t="n"/>
      <c r="O218" s="222">
        <f>IF($A218="","",IF(IF($B218="343",NETWORKDAYS($A218,$A218,FERIADOS_343),IF($B218="281",NETWORKDAYS($A218,$A218,FERIADOS_281),NETWORKDAYS($A218,$A218,FERIADOS_342)))=1,"SIM","NÃO"))</f>
      </c>
      <c r="P218" s="232">
        <f>IF($A218="","",$A218-WEEKDAY($A218,2)+5)</f>
      </c>
    </row>
    <row r="219">
      <c r="A219" s="220" t="n"/>
      <c r="B219" s="218" t="n"/>
      <c r="C219" s="218" t="n"/>
      <c r="D219" s="218" t="n"/>
      <c r="E219" s="218" t="n"/>
      <c r="F219" s="328" t="n"/>
      <c r="G219" s="218" t="n"/>
      <c r="H219" s="218" t="n"/>
      <c r="I219" s="218" t="n"/>
      <c r="J219" s="218" t="n"/>
      <c r="K219" s="218" t="n"/>
      <c r="L219" s="218" t="n"/>
      <c r="M219" s="218" t="n"/>
      <c r="N219" s="218" t="n"/>
      <c r="O219" s="222">
        <f>IF($A219="","",IF(IF($B219="343",NETWORKDAYS($A219,$A219,FERIADOS_343),IF($B219="281",NETWORKDAYS($A219,$A219,FERIADOS_281),NETWORKDAYS($A219,$A219,FERIADOS_342)))=1,"SIM","NÃO"))</f>
      </c>
      <c r="P219" s="232">
        <f>IF($A219="","",$A219-WEEKDAY($A219,2)+5)</f>
      </c>
    </row>
    <row r="220">
      <c r="A220" s="220" t="n"/>
      <c r="B220" s="218" t="n"/>
      <c r="C220" s="218" t="n"/>
      <c r="D220" s="218" t="n"/>
      <c r="E220" s="218" t="n"/>
      <c r="F220" s="328" t="n"/>
      <c r="G220" s="218" t="n"/>
      <c r="H220" s="218" t="n"/>
      <c r="I220" s="218" t="n"/>
      <c r="J220" s="218" t="n"/>
      <c r="K220" s="218" t="n"/>
      <c r="L220" s="218" t="n"/>
      <c r="M220" s="218" t="n"/>
      <c r="N220" s="218" t="n"/>
      <c r="O220" s="222">
        <f>IF($A220="","",IF(IF($B220="343",NETWORKDAYS($A220,$A220,FERIADOS_343),IF($B220="281",NETWORKDAYS($A220,$A220,FERIADOS_281),NETWORKDAYS($A220,$A220,FERIADOS_342)))=1,"SIM","NÃO"))</f>
      </c>
      <c r="P220" s="232">
        <f>IF($A220="","",$A220-WEEKDAY($A220,2)+5)</f>
      </c>
    </row>
    <row r="221">
      <c r="A221" s="220" t="n"/>
      <c r="B221" s="218" t="n"/>
      <c r="C221" s="218" t="n"/>
      <c r="D221" s="218" t="n"/>
      <c r="E221" s="218" t="n"/>
      <c r="F221" s="328" t="n"/>
      <c r="G221" s="218" t="n"/>
      <c r="H221" s="218" t="n"/>
      <c r="I221" s="218" t="n"/>
      <c r="J221" s="218" t="n"/>
      <c r="K221" s="218" t="n"/>
      <c r="L221" s="218" t="n"/>
      <c r="M221" s="218" t="n"/>
      <c r="N221" s="218" t="n"/>
      <c r="O221" s="222">
        <f>IF($A221="","",IF(IF($B221="343",NETWORKDAYS($A221,$A221,FERIADOS_343),IF($B221="281",NETWORKDAYS($A221,$A221,FERIADOS_281),NETWORKDAYS($A221,$A221,FERIADOS_342)))=1,"SIM","NÃO"))</f>
      </c>
      <c r="P221" s="232">
        <f>IF($A221="","",$A221-WEEKDAY($A221,2)+5)</f>
      </c>
    </row>
    <row r="222">
      <c r="A222" s="220" t="n"/>
      <c r="B222" s="218" t="n"/>
      <c r="C222" s="218" t="n"/>
      <c r="D222" s="218" t="n"/>
      <c r="E222" s="218" t="n"/>
      <c r="F222" s="328" t="n"/>
      <c r="G222" s="218" t="n"/>
      <c r="H222" s="218" t="n"/>
      <c r="I222" s="218" t="n"/>
      <c r="J222" s="218" t="n"/>
      <c r="K222" s="218" t="n"/>
      <c r="L222" s="218" t="n"/>
      <c r="M222" s="218" t="n"/>
      <c r="N222" s="218" t="n"/>
      <c r="O222" s="222">
        <f>IF($A222="","",IF(IF($B222="343",NETWORKDAYS($A222,$A222,FERIADOS_343),IF($B222="281",NETWORKDAYS($A222,$A222,FERIADOS_281),NETWORKDAYS($A222,$A222,FERIADOS_342)))=1,"SIM","NÃO"))</f>
      </c>
      <c r="P222" s="232">
        <f>IF($A222="","",$A222-WEEKDAY($A222,2)+5)</f>
      </c>
    </row>
    <row r="223">
      <c r="A223" s="220" t="n"/>
      <c r="B223" s="218" t="n"/>
      <c r="C223" s="218" t="n"/>
      <c r="D223" s="218" t="n"/>
      <c r="E223" s="218" t="n"/>
      <c r="F223" s="328" t="n"/>
      <c r="G223" s="218" t="n"/>
      <c r="H223" s="218" t="n"/>
      <c r="I223" s="218" t="n"/>
      <c r="J223" s="218" t="n"/>
      <c r="K223" s="218" t="n"/>
      <c r="L223" s="218" t="n"/>
      <c r="M223" s="218" t="n"/>
      <c r="N223" s="218" t="n"/>
      <c r="O223" s="222">
        <f>IF($A223="","",IF(IF($B223="343",NETWORKDAYS($A223,$A223,FERIADOS_343),IF($B223="281",NETWORKDAYS($A223,$A223,FERIADOS_281),NETWORKDAYS($A223,$A223,FERIADOS_342)))=1,"SIM","NÃO"))</f>
      </c>
      <c r="P223" s="232">
        <f>IF($A223="","",$A223-WEEKDAY($A223,2)+5)</f>
      </c>
    </row>
    <row r="224">
      <c r="A224" s="220" t="n"/>
      <c r="B224" s="218" t="n"/>
      <c r="C224" s="218" t="n"/>
      <c r="D224" s="218" t="n"/>
      <c r="E224" s="218" t="n"/>
      <c r="F224" s="328" t="n"/>
      <c r="G224" s="218" t="n"/>
      <c r="H224" s="218" t="n"/>
      <c r="I224" s="218" t="n"/>
      <c r="J224" s="218" t="n"/>
      <c r="K224" s="218" t="n"/>
      <c r="L224" s="218" t="n"/>
      <c r="M224" s="218" t="n"/>
      <c r="N224" s="218" t="n"/>
      <c r="O224" s="222">
        <f>IF($A224="","",IF(IF($B224="343",NETWORKDAYS($A224,$A224,FERIADOS_343),IF($B224="281",NETWORKDAYS($A224,$A224,FERIADOS_281),NETWORKDAYS($A224,$A224,FERIADOS_342)))=1,"SIM","NÃO"))</f>
      </c>
      <c r="P224" s="232">
        <f>IF($A224="","",$A224-WEEKDAY($A224,2)+5)</f>
      </c>
    </row>
    <row r="225">
      <c r="A225" s="220" t="n"/>
      <c r="B225" s="218" t="n"/>
      <c r="C225" s="218" t="n"/>
      <c r="D225" s="218" t="n"/>
      <c r="E225" s="218" t="n"/>
      <c r="F225" s="328" t="n"/>
      <c r="G225" s="218" t="n"/>
      <c r="H225" s="218" t="n"/>
      <c r="I225" s="218" t="n"/>
      <c r="J225" s="218" t="n"/>
      <c r="K225" s="218" t="n"/>
      <c r="L225" s="218" t="n"/>
      <c r="M225" s="218" t="n"/>
      <c r="N225" s="218" t="n"/>
      <c r="O225" s="222">
        <f>IF($A225="","",IF(IF($B225="343",NETWORKDAYS($A225,$A225,FERIADOS_343),IF($B225="281",NETWORKDAYS($A225,$A225,FERIADOS_281),NETWORKDAYS($A225,$A225,FERIADOS_342)))=1,"SIM","NÃO"))</f>
      </c>
      <c r="P225" s="232">
        <f>IF($A225="","",$A225-WEEKDAY($A225,2)+5)</f>
      </c>
    </row>
    <row r="226">
      <c r="A226" s="220" t="n"/>
      <c r="B226" s="218" t="n"/>
      <c r="C226" s="218" t="n"/>
      <c r="D226" s="218" t="n"/>
      <c r="E226" s="218" t="n"/>
      <c r="F226" s="328" t="n"/>
      <c r="G226" s="218" t="n"/>
      <c r="H226" s="218" t="n"/>
      <c r="I226" s="218" t="n"/>
      <c r="J226" s="218" t="n"/>
      <c r="K226" s="218" t="n"/>
      <c r="L226" s="218" t="n"/>
      <c r="M226" s="218" t="n"/>
      <c r="N226" s="218" t="n"/>
      <c r="O226" s="222">
        <f>IF($A226="","",IF(IF($B226="343",NETWORKDAYS($A226,$A226,FERIADOS_343),IF($B226="281",NETWORKDAYS($A226,$A226,FERIADOS_281),NETWORKDAYS($A226,$A226,FERIADOS_342)))=1,"SIM","NÃO"))</f>
      </c>
      <c r="P226" s="232">
        <f>IF($A226="","",$A226-WEEKDAY($A226,2)+5)</f>
      </c>
    </row>
    <row r="227">
      <c r="A227" s="220" t="n"/>
      <c r="B227" s="218" t="n"/>
      <c r="C227" s="218" t="n"/>
      <c r="D227" s="218" t="n"/>
      <c r="E227" s="218" t="n"/>
      <c r="F227" s="328" t="n"/>
      <c r="G227" s="218" t="n"/>
      <c r="H227" s="218" t="n"/>
      <c r="I227" s="218" t="n"/>
      <c r="J227" s="218" t="n"/>
      <c r="K227" s="218" t="n"/>
      <c r="L227" s="218" t="n"/>
      <c r="M227" s="218" t="n"/>
      <c r="N227" s="218" t="n"/>
      <c r="O227" s="222">
        <f>IF($A227="","",IF(IF($B227="343",NETWORKDAYS($A227,$A227,FERIADOS_343),IF($B227="281",NETWORKDAYS($A227,$A227,FERIADOS_281),NETWORKDAYS($A227,$A227,FERIADOS_342)))=1,"SIM","NÃO"))</f>
      </c>
      <c r="P227" s="232">
        <f>IF($A227="","",$A227-WEEKDAY($A227,2)+5)</f>
      </c>
    </row>
    <row r="228">
      <c r="A228" s="220" t="n"/>
      <c r="B228" s="218" t="n"/>
      <c r="C228" s="218" t="n"/>
      <c r="D228" s="218" t="n"/>
      <c r="E228" s="218" t="n"/>
      <c r="F228" s="328" t="n"/>
      <c r="G228" s="218" t="n"/>
      <c r="H228" s="218" t="n"/>
      <c r="I228" s="218" t="n"/>
      <c r="J228" s="218" t="n"/>
      <c r="K228" s="218" t="n"/>
      <c r="L228" s="218" t="n"/>
      <c r="M228" s="218" t="n"/>
      <c r="N228" s="218" t="n"/>
      <c r="O228" s="222">
        <f>IF($A228="","",IF(IF($B228="343",NETWORKDAYS($A228,$A228,FERIADOS_343),IF($B228="281",NETWORKDAYS($A228,$A228,FERIADOS_281),NETWORKDAYS($A228,$A228,FERIADOS_342)))=1,"SIM","NÃO"))</f>
      </c>
      <c r="P228" s="232">
        <f>IF($A228="","",$A228-WEEKDAY($A228,2)+5)</f>
      </c>
    </row>
    <row r="229">
      <c r="A229" s="220" t="n"/>
      <c r="B229" s="218" t="n"/>
      <c r="C229" s="218" t="n"/>
      <c r="D229" s="218" t="n"/>
      <c r="E229" s="218" t="n"/>
      <c r="F229" s="328" t="n"/>
      <c r="G229" s="218" t="n"/>
      <c r="H229" s="218" t="n"/>
      <c r="I229" s="218" t="n"/>
      <c r="J229" s="218" t="n"/>
      <c r="K229" s="218" t="n"/>
      <c r="L229" s="218" t="n"/>
      <c r="M229" s="218" t="n"/>
      <c r="N229" s="218" t="n"/>
      <c r="O229" s="222">
        <f>IF($A229="","",IF(IF($B229="343",NETWORKDAYS($A229,$A229,FERIADOS_343),IF($B229="281",NETWORKDAYS($A229,$A229,FERIADOS_281),NETWORKDAYS($A229,$A229,FERIADOS_342)))=1,"SIM","NÃO"))</f>
      </c>
      <c r="P229" s="232">
        <f>IF($A229="","",$A229-WEEKDAY($A229,2)+5)</f>
      </c>
    </row>
    <row r="230">
      <c r="A230" s="220" t="n"/>
      <c r="B230" s="218" t="n"/>
      <c r="C230" s="218" t="n"/>
      <c r="D230" s="218" t="n"/>
      <c r="E230" s="218" t="n"/>
      <c r="F230" s="328" t="n"/>
      <c r="G230" s="218" t="n"/>
      <c r="H230" s="218" t="n"/>
      <c r="I230" s="218" t="n"/>
      <c r="J230" s="218" t="n"/>
      <c r="K230" s="218" t="n"/>
      <c r="L230" s="218" t="n"/>
      <c r="M230" s="218" t="n"/>
      <c r="N230" s="218" t="n"/>
      <c r="O230" s="222">
        <f>IF($A230="","",IF(IF($B230="343",NETWORKDAYS($A230,$A230,FERIADOS_343),IF($B230="281",NETWORKDAYS($A230,$A230,FERIADOS_281),NETWORKDAYS($A230,$A230,FERIADOS_342)))=1,"SIM","NÃO"))</f>
      </c>
      <c r="P230" s="232">
        <f>IF($A230="","",$A230-WEEKDAY($A230,2)+5)</f>
      </c>
    </row>
    <row r="231">
      <c r="A231" s="220" t="n"/>
      <c r="B231" s="218" t="n"/>
      <c r="C231" s="218" t="n"/>
      <c r="D231" s="218" t="n"/>
      <c r="E231" s="218" t="n"/>
      <c r="F231" s="328" t="n"/>
      <c r="G231" s="218" t="n"/>
      <c r="H231" s="218" t="n"/>
      <c r="I231" s="218" t="n"/>
      <c r="J231" s="218" t="n"/>
      <c r="K231" s="218" t="n"/>
      <c r="L231" s="218" t="n"/>
      <c r="M231" s="218" t="n"/>
      <c r="N231" s="218" t="n"/>
      <c r="O231" s="222">
        <f>IF($A231="","",IF(IF($B231="343",NETWORKDAYS($A231,$A231,FERIADOS_343),IF($B231="281",NETWORKDAYS($A231,$A231,FERIADOS_281),NETWORKDAYS($A231,$A231,FERIADOS_342)))=1,"SIM","NÃO"))</f>
      </c>
      <c r="P231" s="232">
        <f>IF($A231="","",$A231-WEEKDAY($A231,2)+5)</f>
      </c>
    </row>
    <row r="232">
      <c r="A232" s="220" t="n"/>
      <c r="B232" s="218" t="n"/>
      <c r="C232" s="218" t="n"/>
      <c r="D232" s="218" t="n"/>
      <c r="E232" s="218" t="n"/>
      <c r="F232" s="328" t="n"/>
      <c r="G232" s="218" t="n"/>
      <c r="H232" s="218" t="n"/>
      <c r="I232" s="218" t="n"/>
      <c r="J232" s="218" t="n"/>
      <c r="K232" s="218" t="n"/>
      <c r="L232" s="218" t="n"/>
      <c r="M232" s="218" t="n"/>
      <c r="N232" s="218" t="n"/>
      <c r="O232" s="222">
        <f>IF($A232="","",IF(IF($B232="343",NETWORKDAYS($A232,$A232,FERIADOS_343),IF($B232="281",NETWORKDAYS($A232,$A232,FERIADOS_281),NETWORKDAYS($A232,$A232,FERIADOS_342)))=1,"SIM","NÃO"))</f>
      </c>
      <c r="P232" s="232">
        <f>IF($A232="","",$A232-WEEKDAY($A232,2)+5)</f>
      </c>
    </row>
    <row r="233">
      <c r="A233" s="220" t="n"/>
      <c r="B233" s="218" t="n"/>
      <c r="C233" s="218" t="n"/>
      <c r="D233" s="218" t="n"/>
      <c r="E233" s="218" t="n"/>
      <c r="F233" s="328" t="n"/>
      <c r="G233" s="218" t="n"/>
      <c r="H233" s="218" t="n"/>
      <c r="I233" s="218" t="n"/>
      <c r="J233" s="218" t="n"/>
      <c r="K233" s="218" t="n"/>
      <c r="L233" s="218" t="n"/>
      <c r="M233" s="218" t="n"/>
      <c r="N233" s="218" t="n"/>
      <c r="O233" s="222">
        <f>IF($A233="","",IF(IF($B233="343",NETWORKDAYS($A233,$A233,FERIADOS_343),IF($B233="281",NETWORKDAYS($A233,$A233,FERIADOS_281),NETWORKDAYS($A233,$A233,FERIADOS_342)))=1,"SIM","NÃO"))</f>
      </c>
      <c r="P233" s="232">
        <f>IF($A233="","",$A233-WEEKDAY($A233,2)+5)</f>
      </c>
    </row>
    <row r="234">
      <c r="A234" s="220" t="n"/>
      <c r="B234" s="218" t="n"/>
      <c r="C234" s="218" t="n"/>
      <c r="D234" s="218" t="n"/>
      <c r="E234" s="218" t="n"/>
      <c r="F234" s="328" t="n"/>
      <c r="G234" s="218" t="n"/>
      <c r="H234" s="218" t="n"/>
      <c r="I234" s="218" t="n"/>
      <c r="J234" s="218" t="n"/>
      <c r="K234" s="218" t="n"/>
      <c r="L234" s="218" t="n"/>
      <c r="M234" s="218" t="n"/>
      <c r="N234" s="218" t="n"/>
      <c r="O234" s="222">
        <f>IF($A234="","",IF(IF($B234="343",NETWORKDAYS($A234,$A234,FERIADOS_343),IF($B234="281",NETWORKDAYS($A234,$A234,FERIADOS_281),NETWORKDAYS($A234,$A234,FERIADOS_342)))=1,"SIM","NÃO"))</f>
      </c>
      <c r="P234" s="232">
        <f>IF($A234="","",$A234-WEEKDAY($A234,2)+5)</f>
      </c>
    </row>
    <row r="235">
      <c r="A235" s="220" t="n"/>
      <c r="B235" s="218" t="n"/>
      <c r="C235" s="218" t="n"/>
      <c r="D235" s="218" t="n"/>
      <c r="E235" s="218" t="n"/>
      <c r="F235" s="328" t="n"/>
      <c r="G235" s="218" t="n"/>
      <c r="H235" s="218" t="n"/>
      <c r="I235" s="218" t="n"/>
      <c r="J235" s="218" t="n"/>
      <c r="K235" s="218" t="n"/>
      <c r="L235" s="218" t="n"/>
      <c r="M235" s="218" t="n"/>
      <c r="N235" s="218" t="n"/>
      <c r="O235" s="222">
        <f>IF($A235="","",IF(IF($B235="343",NETWORKDAYS($A235,$A235,FERIADOS_343),IF($B235="281",NETWORKDAYS($A235,$A235,FERIADOS_281),NETWORKDAYS($A235,$A235,FERIADOS_342)))=1,"SIM","NÃO"))</f>
      </c>
      <c r="P235" s="232">
        <f>IF($A235="","",$A235-WEEKDAY($A235,2)+5)</f>
      </c>
    </row>
    <row r="236">
      <c r="A236" s="220" t="n"/>
      <c r="B236" s="218" t="n"/>
      <c r="C236" s="218" t="n"/>
      <c r="D236" s="218" t="n"/>
      <c r="E236" s="218" t="n"/>
      <c r="F236" s="328" t="n"/>
      <c r="G236" s="218" t="n"/>
      <c r="H236" s="218" t="n"/>
      <c r="I236" s="218" t="n"/>
      <c r="J236" s="218" t="n"/>
      <c r="K236" s="218" t="n"/>
      <c r="L236" s="218" t="n"/>
      <c r="M236" s="218" t="n"/>
      <c r="N236" s="218" t="n"/>
      <c r="O236" s="222">
        <f>IF($A236="","",IF(IF($B236="343",NETWORKDAYS($A236,$A236,FERIADOS_343),IF($B236="281",NETWORKDAYS($A236,$A236,FERIADOS_281),NETWORKDAYS($A236,$A236,FERIADOS_342)))=1,"SIM","NÃO"))</f>
      </c>
      <c r="P236" s="232">
        <f>IF($A236="","",$A236-WEEKDAY($A236,2)+5)</f>
      </c>
    </row>
    <row r="237">
      <c r="A237" s="220" t="n"/>
      <c r="B237" s="218" t="n"/>
      <c r="C237" s="218" t="n"/>
      <c r="D237" s="218" t="n"/>
      <c r="E237" s="218" t="n"/>
      <c r="F237" s="328" t="n"/>
      <c r="G237" s="218" t="n"/>
      <c r="H237" s="218" t="n"/>
      <c r="I237" s="218" t="n"/>
      <c r="J237" s="218" t="n"/>
      <c r="K237" s="218" t="n"/>
      <c r="L237" s="218" t="n"/>
      <c r="M237" s="218" t="n"/>
      <c r="N237" s="218" t="n"/>
      <c r="O237" s="222">
        <f>IF($A237="","",IF(IF($B237="343",NETWORKDAYS($A237,$A237,FERIADOS_343),IF($B237="281",NETWORKDAYS($A237,$A237,FERIADOS_281),NETWORKDAYS($A237,$A237,FERIADOS_342)))=1,"SIM","NÃO"))</f>
      </c>
      <c r="P237" s="232">
        <f>IF($A237="","",$A237-WEEKDAY($A237,2)+5)</f>
      </c>
    </row>
    <row r="238">
      <c r="A238" s="220" t="n"/>
      <c r="B238" s="218" t="n"/>
      <c r="C238" s="218" t="n"/>
      <c r="D238" s="218" t="n"/>
      <c r="E238" s="218" t="n"/>
      <c r="F238" s="328" t="n"/>
      <c r="G238" s="218" t="n"/>
      <c r="H238" s="218" t="n"/>
      <c r="I238" s="218" t="n"/>
      <c r="J238" s="218" t="n"/>
      <c r="K238" s="218" t="n"/>
      <c r="L238" s="218" t="n"/>
      <c r="M238" s="218" t="n"/>
      <c r="N238" s="218" t="n"/>
      <c r="O238" s="222">
        <f>IF($A238="","",IF(IF($B238="343",NETWORKDAYS($A238,$A238,FERIADOS_343),IF($B238="281",NETWORKDAYS($A238,$A238,FERIADOS_281),NETWORKDAYS($A238,$A238,FERIADOS_342)))=1,"SIM","NÃO"))</f>
      </c>
      <c r="P238" s="232">
        <f>IF($A238="","",$A238-WEEKDAY($A238,2)+5)</f>
      </c>
    </row>
    <row r="239">
      <c r="A239" s="220" t="n"/>
      <c r="B239" s="218" t="n"/>
      <c r="C239" s="218" t="n"/>
      <c r="D239" s="218" t="n"/>
      <c r="E239" s="218" t="n"/>
      <c r="F239" s="328" t="n"/>
      <c r="G239" s="218" t="n"/>
      <c r="H239" s="218" t="n"/>
      <c r="I239" s="218" t="n"/>
      <c r="J239" s="218" t="n"/>
      <c r="K239" s="218" t="n"/>
      <c r="L239" s="218" t="n"/>
      <c r="M239" s="218" t="n"/>
      <c r="N239" s="218" t="n"/>
      <c r="O239" s="222">
        <f>IF($A239="","",IF(IF($B239="343",NETWORKDAYS($A239,$A239,FERIADOS_343),IF($B239="281",NETWORKDAYS($A239,$A239,FERIADOS_281),NETWORKDAYS($A239,$A239,FERIADOS_342)))=1,"SIM","NÃO"))</f>
      </c>
      <c r="P239" s="232">
        <f>IF($A239="","",$A239-WEEKDAY($A239,2)+5)</f>
      </c>
    </row>
    <row r="240">
      <c r="A240" s="220" t="n"/>
      <c r="B240" s="218" t="n"/>
      <c r="C240" s="218" t="n"/>
      <c r="D240" s="218" t="n"/>
      <c r="E240" s="218" t="n"/>
      <c r="F240" s="328" t="n"/>
      <c r="G240" s="218" t="n"/>
      <c r="H240" s="218" t="n"/>
      <c r="I240" s="218" t="n"/>
      <c r="J240" s="218" t="n"/>
      <c r="K240" s="218" t="n"/>
      <c r="L240" s="218" t="n"/>
      <c r="M240" s="218" t="n"/>
      <c r="N240" s="218" t="n"/>
      <c r="O240" s="222">
        <f>IF($A240="","",IF(IF($B240="343",NETWORKDAYS($A240,$A240,FERIADOS_343),IF($B240="281",NETWORKDAYS($A240,$A240,FERIADOS_281),NETWORKDAYS($A240,$A240,FERIADOS_342)))=1,"SIM","NÃO"))</f>
      </c>
      <c r="P240" s="232">
        <f>IF($A240="","",$A240-WEEKDAY($A240,2)+5)</f>
      </c>
    </row>
    <row r="241">
      <c r="A241" s="220" t="n"/>
      <c r="B241" s="218" t="n"/>
      <c r="C241" s="218" t="n"/>
      <c r="D241" s="218" t="n"/>
      <c r="E241" s="218" t="n"/>
      <c r="F241" s="328" t="n"/>
      <c r="G241" s="218" t="n"/>
      <c r="H241" s="218" t="n"/>
      <c r="I241" s="218" t="n"/>
      <c r="J241" s="218" t="n"/>
      <c r="K241" s="218" t="n"/>
      <c r="L241" s="218" t="n"/>
      <c r="M241" s="218" t="n"/>
      <c r="N241" s="218" t="n"/>
      <c r="O241" s="222">
        <f>IF($A241="","",IF(IF($B241="343",NETWORKDAYS($A241,$A241,FERIADOS_343),IF($B241="281",NETWORKDAYS($A241,$A241,FERIADOS_281),NETWORKDAYS($A241,$A241,FERIADOS_342)))=1,"SIM","NÃO"))</f>
      </c>
      <c r="P241" s="232">
        <f>IF($A241="","",$A241-WEEKDAY($A241,2)+5)</f>
      </c>
    </row>
    <row r="242">
      <c r="A242" s="220" t="n"/>
      <c r="B242" s="218" t="n"/>
      <c r="C242" s="218" t="n"/>
      <c r="D242" s="218" t="n"/>
      <c r="E242" s="218" t="n"/>
      <c r="F242" s="328" t="n"/>
      <c r="G242" s="218" t="n"/>
      <c r="H242" s="218" t="n"/>
      <c r="I242" s="218" t="n"/>
      <c r="J242" s="218" t="n"/>
      <c r="K242" s="218" t="n"/>
      <c r="L242" s="218" t="n"/>
      <c r="M242" s="218" t="n"/>
      <c r="N242" s="218" t="n"/>
      <c r="O242" s="222">
        <f>IF($A242="","",IF(IF($B242="343",NETWORKDAYS($A242,$A242,FERIADOS_343),IF($B242="281",NETWORKDAYS($A242,$A242,FERIADOS_281),NETWORKDAYS($A242,$A242,FERIADOS_342)))=1,"SIM","NÃO"))</f>
      </c>
      <c r="P242" s="232">
        <f>IF($A242="","",$A242-WEEKDAY($A242,2)+5)</f>
      </c>
    </row>
    <row r="243">
      <c r="A243" s="220" t="n"/>
      <c r="B243" s="218" t="n"/>
      <c r="C243" s="218" t="n"/>
      <c r="D243" s="218" t="n"/>
      <c r="E243" s="218" t="n"/>
      <c r="F243" s="328" t="n"/>
      <c r="G243" s="218" t="n"/>
      <c r="H243" s="218" t="n"/>
      <c r="I243" s="218" t="n"/>
      <c r="J243" s="218" t="n"/>
      <c r="K243" s="218" t="n"/>
      <c r="L243" s="218" t="n"/>
      <c r="M243" s="218" t="n"/>
      <c r="N243" s="218" t="n"/>
      <c r="O243" s="222">
        <f>IF($A243="","",IF(IF($B243="343",NETWORKDAYS($A243,$A243,FERIADOS_343),IF($B243="281",NETWORKDAYS($A243,$A243,FERIADOS_281),NETWORKDAYS($A243,$A243,FERIADOS_342)))=1,"SIM","NÃO"))</f>
      </c>
      <c r="P243" s="232">
        <f>IF($A243="","",$A243-WEEKDAY($A243,2)+5)</f>
      </c>
    </row>
    <row r="244">
      <c r="A244" s="220" t="n"/>
      <c r="B244" s="218" t="n"/>
      <c r="C244" s="218" t="n"/>
      <c r="D244" s="218" t="n"/>
      <c r="E244" s="218" t="n"/>
      <c r="F244" s="328" t="n"/>
      <c r="G244" s="218" t="n"/>
      <c r="H244" s="218" t="n"/>
      <c r="I244" s="218" t="n"/>
      <c r="J244" s="218" t="n"/>
      <c r="K244" s="218" t="n"/>
      <c r="L244" s="218" t="n"/>
      <c r="M244" s="218" t="n"/>
      <c r="N244" s="218" t="n"/>
      <c r="O244" s="222">
        <f>IF($A244="","",IF(IF($B244="343",NETWORKDAYS($A244,$A244,FERIADOS_343),IF($B244="281",NETWORKDAYS($A244,$A244,FERIADOS_281),NETWORKDAYS($A244,$A244,FERIADOS_342)))=1,"SIM","NÃO"))</f>
      </c>
      <c r="P244" s="232">
        <f>IF($A244="","",$A244-WEEKDAY($A244,2)+5)</f>
      </c>
    </row>
    <row r="245">
      <c r="A245" s="220" t="n"/>
      <c r="B245" s="218" t="n"/>
      <c r="C245" s="218" t="n"/>
      <c r="D245" s="218" t="n"/>
      <c r="E245" s="218" t="n"/>
      <c r="F245" s="328" t="n"/>
      <c r="G245" s="218" t="n"/>
      <c r="H245" s="218" t="n"/>
      <c r="I245" s="218" t="n"/>
      <c r="J245" s="218" t="n"/>
      <c r="K245" s="218" t="n"/>
      <c r="L245" s="218" t="n"/>
      <c r="M245" s="218" t="n"/>
      <c r="N245" s="218" t="n"/>
      <c r="O245" s="222">
        <f>IF($A245="","",IF(IF($B245="343",NETWORKDAYS($A245,$A245,FERIADOS_343),IF($B245="281",NETWORKDAYS($A245,$A245,FERIADOS_281),NETWORKDAYS($A245,$A245,FERIADOS_342)))=1,"SIM","NÃO"))</f>
      </c>
      <c r="P245" s="232">
        <f>IF($A245="","",$A245-WEEKDAY($A245,2)+5)</f>
      </c>
    </row>
    <row r="246">
      <c r="A246" s="220" t="n"/>
      <c r="B246" s="218" t="n"/>
      <c r="C246" s="218" t="n"/>
      <c r="D246" s="218" t="n"/>
      <c r="E246" s="218" t="n"/>
      <c r="F246" s="328" t="n"/>
      <c r="G246" s="218" t="n"/>
      <c r="H246" s="218" t="n"/>
      <c r="I246" s="218" t="n"/>
      <c r="J246" s="218" t="n"/>
      <c r="K246" s="218" t="n"/>
      <c r="L246" s="218" t="n"/>
      <c r="M246" s="218" t="n"/>
      <c r="N246" s="218" t="n"/>
      <c r="O246" s="222">
        <f>IF($A246="","",IF(IF($B246="343",NETWORKDAYS($A246,$A246,FERIADOS_343),IF($B246="281",NETWORKDAYS($A246,$A246,FERIADOS_281),NETWORKDAYS($A246,$A246,FERIADOS_342)))=1,"SIM","NÃO"))</f>
      </c>
      <c r="P246" s="232">
        <f>IF($A246="","",$A246-WEEKDAY($A246,2)+5)</f>
      </c>
    </row>
    <row r="247">
      <c r="A247" s="220" t="n"/>
      <c r="B247" s="218" t="n"/>
      <c r="C247" s="218" t="n"/>
      <c r="D247" s="218" t="n"/>
      <c r="E247" s="218" t="n"/>
      <c r="F247" s="328" t="n"/>
      <c r="G247" s="218" t="n"/>
      <c r="H247" s="218" t="n"/>
      <c r="I247" s="218" t="n"/>
      <c r="J247" s="218" t="n"/>
      <c r="K247" s="218" t="n"/>
      <c r="L247" s="218" t="n"/>
      <c r="M247" s="218" t="n"/>
      <c r="N247" s="218" t="n"/>
      <c r="O247" s="222">
        <f>IF($A247="","",IF(IF($B247="343",NETWORKDAYS($A247,$A247,FERIADOS_343),IF($B247="281",NETWORKDAYS($A247,$A247,FERIADOS_281),NETWORKDAYS($A247,$A247,FERIADOS_342)))=1,"SIM","NÃO"))</f>
      </c>
      <c r="P247" s="232">
        <f>IF($A247="","",$A247-WEEKDAY($A247,2)+5)</f>
      </c>
    </row>
    <row r="248">
      <c r="A248" s="220" t="n"/>
      <c r="B248" s="218" t="n"/>
      <c r="C248" s="218" t="n"/>
      <c r="D248" s="218" t="n"/>
      <c r="E248" s="218" t="n"/>
      <c r="F248" s="328" t="n"/>
      <c r="G248" s="218" t="n"/>
      <c r="H248" s="218" t="n"/>
      <c r="I248" s="218" t="n"/>
      <c r="J248" s="218" t="n"/>
      <c r="K248" s="218" t="n"/>
      <c r="L248" s="218" t="n"/>
      <c r="M248" s="218" t="n"/>
      <c r="N248" s="218" t="n"/>
      <c r="O248" s="222">
        <f>IF($A248="","",IF(IF($B248="343",NETWORKDAYS($A248,$A248,FERIADOS_343),IF($B248="281",NETWORKDAYS($A248,$A248,FERIADOS_281),NETWORKDAYS($A248,$A248,FERIADOS_342)))=1,"SIM","NÃO"))</f>
      </c>
      <c r="P248" s="232">
        <f>IF($A248="","",$A248-WEEKDAY($A248,2)+5)</f>
      </c>
    </row>
    <row r="249">
      <c r="A249" s="220" t="n"/>
      <c r="B249" s="218" t="n"/>
      <c r="C249" s="218" t="n"/>
      <c r="D249" s="218" t="n"/>
      <c r="E249" s="218" t="n"/>
      <c r="F249" s="328" t="n"/>
      <c r="G249" s="218" t="n"/>
      <c r="H249" s="218" t="n"/>
      <c r="I249" s="218" t="n"/>
      <c r="J249" s="218" t="n"/>
      <c r="K249" s="218" t="n"/>
      <c r="L249" s="218" t="n"/>
      <c r="M249" s="218" t="n"/>
      <c r="N249" s="218" t="n"/>
      <c r="O249" s="222">
        <f>IF($A249="","",IF(IF($B249="343",NETWORKDAYS($A249,$A249,FERIADOS_343),IF($B249="281",NETWORKDAYS($A249,$A249,FERIADOS_281),NETWORKDAYS($A249,$A249,FERIADOS_342)))=1,"SIM","NÃO"))</f>
      </c>
      <c r="P249" s="232">
        <f>IF($A249="","",$A249-WEEKDAY($A249,2)+5)</f>
      </c>
    </row>
    <row r="250">
      <c r="A250" s="220" t="n"/>
      <c r="B250" s="218" t="n"/>
      <c r="C250" s="218" t="n"/>
      <c r="D250" s="218" t="n"/>
      <c r="E250" s="218" t="n"/>
      <c r="F250" s="328" t="n"/>
      <c r="G250" s="218" t="n"/>
      <c r="H250" s="218" t="n"/>
      <c r="I250" s="218" t="n"/>
      <c r="J250" s="218" t="n"/>
      <c r="K250" s="218" t="n"/>
      <c r="L250" s="218" t="n"/>
      <c r="M250" s="218" t="n"/>
      <c r="N250" s="218" t="n"/>
      <c r="O250" s="222">
        <f>IF($A250="","",IF(IF($B250="343",NETWORKDAYS($A250,$A250,FERIADOS_343),IF($B250="281",NETWORKDAYS($A250,$A250,FERIADOS_281),NETWORKDAYS($A250,$A250,FERIADOS_342)))=1,"SIM","NÃO"))</f>
      </c>
      <c r="P250" s="232">
        <f>IF($A250="","",$A250-WEEKDAY($A250,2)+5)</f>
      </c>
    </row>
    <row r="251">
      <c r="A251" s="220" t="n"/>
      <c r="B251" s="218" t="n"/>
      <c r="C251" s="218" t="n"/>
      <c r="D251" s="218" t="n"/>
      <c r="E251" s="218" t="n"/>
      <c r="F251" s="328" t="n"/>
      <c r="G251" s="218" t="n"/>
      <c r="H251" s="218" t="n"/>
      <c r="I251" s="218" t="n"/>
      <c r="J251" s="218" t="n"/>
      <c r="K251" s="218" t="n"/>
      <c r="L251" s="218" t="n"/>
      <c r="M251" s="218" t="n"/>
      <c r="N251" s="218" t="n"/>
      <c r="O251" s="222">
        <f>IF($A251="","",IF(IF($B251="343",NETWORKDAYS($A251,$A251,FERIADOS_343),IF($B251="281",NETWORKDAYS($A251,$A251,FERIADOS_281),NETWORKDAYS($A251,$A251,FERIADOS_342)))=1,"SIM","NÃO"))</f>
      </c>
      <c r="P251" s="232">
        <f>IF($A251="","",$A251-WEEKDAY($A251,2)+5)</f>
      </c>
    </row>
    <row r="252">
      <c r="A252" s="220" t="n"/>
      <c r="B252" s="218" t="n"/>
      <c r="C252" s="218" t="n"/>
      <c r="D252" s="218" t="n"/>
      <c r="E252" s="218" t="n"/>
      <c r="F252" s="328" t="n"/>
      <c r="G252" s="218" t="n"/>
      <c r="H252" s="218" t="n"/>
      <c r="I252" s="218" t="n"/>
      <c r="J252" s="218" t="n"/>
      <c r="K252" s="218" t="n"/>
      <c r="L252" s="218" t="n"/>
      <c r="M252" s="218" t="n"/>
      <c r="N252" s="218" t="n"/>
      <c r="O252" s="222">
        <f>IF($A252="","",IF(IF($B252="343",NETWORKDAYS($A252,$A252,FERIADOS_343),IF($B252="281",NETWORKDAYS($A252,$A252,FERIADOS_281),NETWORKDAYS($A252,$A252,FERIADOS_342)))=1,"SIM","NÃO"))</f>
      </c>
      <c r="P252" s="232">
        <f>IF($A252="","",$A252-WEEKDAY($A252,2)+5)</f>
      </c>
    </row>
    <row r="253">
      <c r="A253" s="220" t="n"/>
      <c r="B253" s="218" t="n"/>
      <c r="C253" s="218" t="n"/>
      <c r="D253" s="218" t="n"/>
      <c r="E253" s="218" t="n"/>
      <c r="F253" s="328" t="n"/>
      <c r="G253" s="218" t="n"/>
      <c r="H253" s="218" t="n"/>
      <c r="I253" s="218" t="n"/>
      <c r="J253" s="218" t="n"/>
      <c r="K253" s="218" t="n"/>
      <c r="L253" s="218" t="n"/>
      <c r="M253" s="218" t="n"/>
      <c r="N253" s="218" t="n"/>
      <c r="O253" s="222">
        <f>IF($A253="","",IF(IF($B253="343",NETWORKDAYS($A253,$A253,FERIADOS_343),IF($B253="281",NETWORKDAYS($A253,$A253,FERIADOS_281),NETWORKDAYS($A253,$A253,FERIADOS_342)))=1,"SIM","NÃO"))</f>
      </c>
      <c r="P253" s="232">
        <f>IF($A253="","",$A253-WEEKDAY($A253,2)+5)</f>
      </c>
    </row>
    <row r="254">
      <c r="A254" s="220" t="n"/>
      <c r="B254" s="218" t="n"/>
      <c r="C254" s="218" t="n"/>
      <c r="D254" s="218" t="n"/>
      <c r="E254" s="218" t="n"/>
      <c r="F254" s="328" t="n"/>
      <c r="G254" s="218" t="n"/>
      <c r="H254" s="218" t="n"/>
      <c r="I254" s="218" t="n"/>
      <c r="J254" s="218" t="n"/>
      <c r="K254" s="218" t="n"/>
      <c r="L254" s="218" t="n"/>
      <c r="M254" s="218" t="n"/>
      <c r="N254" s="218" t="n"/>
      <c r="O254" s="222">
        <f>IF($A254="","",IF(IF($B254="343",NETWORKDAYS($A254,$A254,FERIADOS_343),IF($B254="281",NETWORKDAYS($A254,$A254,FERIADOS_281),NETWORKDAYS($A254,$A254,FERIADOS_342)))=1,"SIM","NÃO"))</f>
      </c>
      <c r="P254" s="232">
        <f>IF($A254="","",$A254-WEEKDAY($A254,2)+5)</f>
      </c>
    </row>
    <row r="255">
      <c r="A255" s="220" t="n"/>
      <c r="B255" s="218" t="n"/>
      <c r="C255" s="218" t="n"/>
      <c r="D255" s="218" t="n"/>
      <c r="E255" s="218" t="n"/>
      <c r="F255" s="328" t="n"/>
      <c r="G255" s="218" t="n"/>
      <c r="H255" s="218" t="n"/>
      <c r="I255" s="218" t="n"/>
      <c r="J255" s="218" t="n"/>
      <c r="K255" s="218" t="n"/>
      <c r="L255" s="218" t="n"/>
      <c r="M255" s="218" t="n"/>
      <c r="N255" s="218" t="n"/>
      <c r="O255" s="222">
        <f>IF($A255="","",IF(IF($B255="343",NETWORKDAYS($A255,$A255,FERIADOS_343),IF($B255="281",NETWORKDAYS($A255,$A255,FERIADOS_281),NETWORKDAYS($A255,$A255,FERIADOS_342)))=1,"SIM","NÃO"))</f>
      </c>
      <c r="P255" s="232">
        <f>IF($A255="","",$A255-WEEKDAY($A255,2)+5)</f>
      </c>
    </row>
    <row r="256">
      <c r="A256" s="220" t="n"/>
      <c r="B256" s="218" t="n"/>
      <c r="C256" s="218" t="n"/>
      <c r="D256" s="218" t="n"/>
      <c r="E256" s="218" t="n"/>
      <c r="F256" s="328" t="n"/>
      <c r="G256" s="218" t="n"/>
      <c r="H256" s="218" t="n"/>
      <c r="I256" s="218" t="n"/>
      <c r="J256" s="218" t="n"/>
      <c r="K256" s="218" t="n"/>
      <c r="L256" s="218" t="n"/>
      <c r="M256" s="218" t="n"/>
      <c r="N256" s="218" t="n"/>
      <c r="O256" s="222">
        <f>IF($A256="","",IF(IF($B256="343",NETWORKDAYS($A256,$A256,FERIADOS_343),IF($B256="281",NETWORKDAYS($A256,$A256,FERIADOS_281),NETWORKDAYS($A256,$A256,FERIADOS_342)))=1,"SIM","NÃO"))</f>
      </c>
      <c r="P256" s="232">
        <f>IF($A256="","",$A256-WEEKDAY($A256,2)+5)</f>
      </c>
    </row>
    <row r="257">
      <c r="A257" s="220" t="n"/>
      <c r="B257" s="218" t="n"/>
      <c r="C257" s="218" t="n"/>
      <c r="D257" s="218" t="n"/>
      <c r="E257" s="218" t="n"/>
      <c r="F257" s="328" t="n"/>
      <c r="G257" s="218" t="n"/>
      <c r="H257" s="218" t="n"/>
      <c r="I257" s="218" t="n"/>
      <c r="J257" s="218" t="n"/>
      <c r="K257" s="218" t="n"/>
      <c r="L257" s="218" t="n"/>
      <c r="M257" s="218" t="n"/>
      <c r="N257" s="218" t="n"/>
      <c r="O257" s="222">
        <f>IF($A257="","",IF(IF($B257="343",NETWORKDAYS($A257,$A257,FERIADOS_343),IF($B257="281",NETWORKDAYS($A257,$A257,FERIADOS_281),NETWORKDAYS($A257,$A257,FERIADOS_342)))=1,"SIM","NÃO"))</f>
      </c>
      <c r="P257" s="232">
        <f>IF($A257="","",$A257-WEEKDAY($A257,2)+5)</f>
      </c>
    </row>
    <row r="258">
      <c r="A258" s="220" t="n"/>
      <c r="B258" s="218" t="n"/>
      <c r="C258" s="218" t="n"/>
      <c r="D258" s="218" t="n"/>
      <c r="E258" s="218" t="n"/>
      <c r="F258" s="328" t="n"/>
      <c r="G258" s="218" t="n"/>
      <c r="H258" s="218" t="n"/>
      <c r="I258" s="218" t="n"/>
      <c r="J258" s="218" t="n"/>
      <c r="K258" s="218" t="n"/>
      <c r="L258" s="218" t="n"/>
      <c r="M258" s="218" t="n"/>
      <c r="N258" s="218" t="n"/>
      <c r="O258" s="222">
        <f>IF($A258="","",IF(IF($B258="343",NETWORKDAYS($A258,$A258,FERIADOS_343),IF($B258="281",NETWORKDAYS($A258,$A258,FERIADOS_281),NETWORKDAYS($A258,$A258,FERIADOS_342)))=1,"SIM","NÃO"))</f>
      </c>
      <c r="P258" s="232">
        <f>IF($A258="","",$A258-WEEKDAY($A258,2)+5)</f>
      </c>
    </row>
    <row r="259">
      <c r="A259" s="220" t="n"/>
      <c r="B259" s="218" t="n"/>
      <c r="C259" s="218" t="n"/>
      <c r="D259" s="218" t="n"/>
      <c r="E259" s="218" t="n"/>
      <c r="F259" s="328" t="n"/>
      <c r="G259" s="218" t="n"/>
      <c r="H259" s="218" t="n"/>
      <c r="I259" s="218" t="n"/>
      <c r="J259" s="218" t="n"/>
      <c r="K259" s="218" t="n"/>
      <c r="L259" s="218" t="n"/>
      <c r="M259" s="218" t="n"/>
      <c r="N259" s="218" t="n"/>
      <c r="O259" s="222">
        <f>IF($A259="","",IF(IF($B259="343",NETWORKDAYS($A259,$A259,FERIADOS_343),IF($B259="281",NETWORKDAYS($A259,$A259,FERIADOS_281),NETWORKDAYS($A259,$A259,FERIADOS_342)))=1,"SIM","NÃO"))</f>
      </c>
      <c r="P259" s="232">
        <f>IF($A259="","",$A259-WEEKDAY($A259,2)+5)</f>
      </c>
    </row>
    <row r="260">
      <c r="A260" s="220" t="n"/>
      <c r="B260" s="218" t="n"/>
      <c r="C260" s="218" t="n"/>
      <c r="D260" s="218" t="n"/>
      <c r="E260" s="218" t="n"/>
      <c r="F260" s="328" t="n"/>
      <c r="G260" s="218" t="n"/>
      <c r="H260" s="218" t="n"/>
      <c r="I260" s="218" t="n"/>
      <c r="J260" s="218" t="n"/>
      <c r="K260" s="218" t="n"/>
      <c r="L260" s="218" t="n"/>
      <c r="M260" s="218" t="n"/>
      <c r="N260" s="218" t="n"/>
      <c r="O260" s="222">
        <f>IF($A260="","",IF(IF($B260="343",NETWORKDAYS($A260,$A260,FERIADOS_343),IF($B260="281",NETWORKDAYS($A260,$A260,FERIADOS_281),NETWORKDAYS($A260,$A260,FERIADOS_342)))=1,"SIM","NÃO"))</f>
      </c>
      <c r="P260" s="232">
        <f>IF($A260="","",$A260-WEEKDAY($A260,2)+5)</f>
      </c>
    </row>
    <row r="261">
      <c r="A261" s="220" t="n"/>
      <c r="B261" s="218" t="n"/>
      <c r="C261" s="218" t="n"/>
      <c r="D261" s="218" t="n"/>
      <c r="E261" s="218" t="n"/>
      <c r="F261" s="328" t="n"/>
      <c r="G261" s="218" t="n"/>
      <c r="H261" s="218" t="n"/>
      <c r="I261" s="218" t="n"/>
      <c r="J261" s="218" t="n"/>
      <c r="K261" s="218" t="n"/>
      <c r="L261" s="218" t="n"/>
      <c r="M261" s="218" t="n"/>
      <c r="N261" s="218" t="n"/>
      <c r="O261" s="222">
        <f>IF($A261="","",IF(IF($B261="343",NETWORKDAYS($A261,$A261,FERIADOS_343),IF($B261="281",NETWORKDAYS($A261,$A261,FERIADOS_281),NETWORKDAYS($A261,$A261,FERIADOS_342)))=1,"SIM","NÃO"))</f>
      </c>
      <c r="P261" s="232">
        <f>IF($A261="","",$A261-WEEKDAY($A261,2)+5)</f>
      </c>
    </row>
    <row r="262">
      <c r="A262" s="220" t="n"/>
      <c r="B262" s="218" t="n"/>
      <c r="C262" s="218" t="n"/>
      <c r="D262" s="218" t="n"/>
      <c r="E262" s="218" t="n"/>
      <c r="F262" s="328" t="n"/>
      <c r="G262" s="218" t="n"/>
      <c r="H262" s="218" t="n"/>
      <c r="I262" s="218" t="n"/>
      <c r="J262" s="218" t="n"/>
      <c r="K262" s="218" t="n"/>
      <c r="L262" s="218" t="n"/>
      <c r="M262" s="218" t="n"/>
      <c r="N262" s="218" t="n"/>
      <c r="O262" s="222">
        <f>IF($A262="","",IF(IF($B262="343",NETWORKDAYS($A262,$A262,FERIADOS_343),IF($B262="281",NETWORKDAYS($A262,$A262,FERIADOS_281),NETWORKDAYS($A262,$A262,FERIADOS_342)))=1,"SIM","NÃO"))</f>
      </c>
      <c r="P262" s="232">
        <f>IF($A262="","",$A262-WEEKDAY($A262,2)+5)</f>
      </c>
    </row>
    <row r="263">
      <c r="A263" s="220" t="n"/>
      <c r="B263" s="218" t="n"/>
      <c r="C263" s="218" t="n"/>
      <c r="D263" s="218" t="n"/>
      <c r="E263" s="218" t="n"/>
      <c r="F263" s="328" t="n"/>
      <c r="G263" s="218" t="n"/>
      <c r="H263" s="218" t="n"/>
      <c r="I263" s="218" t="n"/>
      <c r="J263" s="218" t="n"/>
      <c r="K263" s="218" t="n"/>
      <c r="L263" s="218" t="n"/>
      <c r="M263" s="218" t="n"/>
      <c r="N263" s="218" t="n"/>
      <c r="O263" s="222">
        <f>IF($A263="","",IF(IF($B263="343",NETWORKDAYS($A263,$A263,FERIADOS_343),IF($B263="281",NETWORKDAYS($A263,$A263,FERIADOS_281),NETWORKDAYS($A263,$A263,FERIADOS_342)))=1,"SIM","NÃO"))</f>
      </c>
      <c r="P263" s="232">
        <f>IF($A263="","",$A263-WEEKDAY($A263,2)+5)</f>
      </c>
    </row>
    <row r="264">
      <c r="A264" s="220" t="n"/>
      <c r="B264" s="218" t="n"/>
      <c r="C264" s="218" t="n"/>
      <c r="D264" s="218" t="n"/>
      <c r="E264" s="218" t="n"/>
      <c r="F264" s="328" t="n"/>
      <c r="G264" s="218" t="n"/>
      <c r="H264" s="218" t="n"/>
      <c r="I264" s="218" t="n"/>
      <c r="J264" s="218" t="n"/>
      <c r="K264" s="218" t="n"/>
      <c r="L264" s="218" t="n"/>
      <c r="M264" s="218" t="n"/>
      <c r="N264" s="218" t="n"/>
      <c r="O264" s="222">
        <f>IF($A264="","",IF(IF($B264="343",NETWORKDAYS($A264,$A264,FERIADOS_343),IF($B264="281",NETWORKDAYS($A264,$A264,FERIADOS_281),NETWORKDAYS($A264,$A264,FERIADOS_342)))=1,"SIM","NÃO"))</f>
      </c>
      <c r="P264" s="232">
        <f>IF($A264="","",$A264-WEEKDAY($A264,2)+5)</f>
      </c>
    </row>
    <row r="265">
      <c r="A265" s="220" t="n"/>
      <c r="B265" s="218" t="n"/>
      <c r="C265" s="218" t="n"/>
      <c r="D265" s="218" t="n"/>
      <c r="E265" s="218" t="n"/>
      <c r="F265" s="328" t="n"/>
      <c r="G265" s="218" t="n"/>
      <c r="H265" s="218" t="n"/>
      <c r="I265" s="218" t="n"/>
      <c r="J265" s="218" t="n"/>
      <c r="K265" s="218" t="n"/>
      <c r="L265" s="218" t="n"/>
      <c r="M265" s="218" t="n"/>
      <c r="N265" s="218" t="n"/>
      <c r="O265" s="222">
        <f>IF($A265="","",IF(IF($B265="343",NETWORKDAYS($A265,$A265,FERIADOS_343),IF($B265="281",NETWORKDAYS($A265,$A265,FERIADOS_281),NETWORKDAYS($A265,$A265,FERIADOS_342)))=1,"SIM","NÃO"))</f>
      </c>
      <c r="P265" s="232">
        <f>IF($A265="","",$A265-WEEKDAY($A265,2)+5)</f>
      </c>
    </row>
    <row r="266">
      <c r="A266" s="220" t="n"/>
      <c r="B266" s="218" t="n"/>
      <c r="C266" s="218" t="n"/>
      <c r="D266" s="218" t="n"/>
      <c r="E266" s="218" t="n"/>
      <c r="F266" s="328" t="n"/>
      <c r="G266" s="218" t="n"/>
      <c r="H266" s="218" t="n"/>
      <c r="I266" s="218" t="n"/>
      <c r="J266" s="218" t="n"/>
      <c r="K266" s="218" t="n"/>
      <c r="L266" s="218" t="n"/>
      <c r="M266" s="218" t="n"/>
      <c r="N266" s="218" t="n"/>
      <c r="O266" s="222">
        <f>IF($A266="","",IF(IF($B266="343",NETWORKDAYS($A266,$A266,FERIADOS_343),IF($B266="281",NETWORKDAYS($A266,$A266,FERIADOS_281),NETWORKDAYS($A266,$A266,FERIADOS_342)))=1,"SIM","NÃO"))</f>
      </c>
      <c r="P266" s="232">
        <f>IF($A266="","",$A266-WEEKDAY($A266,2)+5)</f>
      </c>
    </row>
    <row r="267">
      <c r="A267" s="220" t="n"/>
      <c r="B267" s="218" t="n"/>
      <c r="C267" s="218" t="n"/>
      <c r="D267" s="218" t="n"/>
      <c r="E267" s="218" t="n"/>
      <c r="F267" s="328" t="n"/>
      <c r="G267" s="218" t="n"/>
      <c r="H267" s="218" t="n"/>
      <c r="I267" s="218" t="n"/>
      <c r="J267" s="218" t="n"/>
      <c r="K267" s="218" t="n"/>
      <c r="L267" s="218" t="n"/>
      <c r="M267" s="218" t="n"/>
      <c r="N267" s="218" t="n"/>
      <c r="O267" s="222">
        <f>IF($A267="","",IF(IF($B267="343",NETWORKDAYS($A267,$A267,FERIADOS_343),IF($B267="281",NETWORKDAYS($A267,$A267,FERIADOS_281),NETWORKDAYS($A267,$A267,FERIADOS_342)))=1,"SIM","NÃO"))</f>
      </c>
      <c r="P267" s="232">
        <f>IF($A267="","",$A267-WEEKDAY($A267,2)+5)</f>
      </c>
    </row>
    <row r="268">
      <c r="A268" s="220" t="n"/>
      <c r="B268" s="218" t="n"/>
      <c r="C268" s="218" t="n"/>
      <c r="D268" s="218" t="n"/>
      <c r="E268" s="218" t="n"/>
      <c r="F268" s="328" t="n"/>
      <c r="G268" s="218" t="n"/>
      <c r="H268" s="218" t="n"/>
      <c r="I268" s="218" t="n"/>
      <c r="J268" s="218" t="n"/>
      <c r="K268" s="218" t="n"/>
      <c r="L268" s="218" t="n"/>
      <c r="M268" s="218" t="n"/>
      <c r="N268" s="218" t="n"/>
      <c r="O268" s="222">
        <f>IF($A268="","",IF(IF($B268="343",NETWORKDAYS($A268,$A268,FERIADOS_343),IF($B268="281",NETWORKDAYS($A268,$A268,FERIADOS_281),NETWORKDAYS($A268,$A268,FERIADOS_342)))=1,"SIM","NÃO"))</f>
      </c>
      <c r="P268" s="232">
        <f>IF($A268="","",$A268-WEEKDAY($A268,2)+5)</f>
      </c>
    </row>
    <row r="269">
      <c r="A269" s="220" t="n"/>
      <c r="B269" s="218" t="n"/>
      <c r="C269" s="218" t="n"/>
      <c r="D269" s="218" t="n"/>
      <c r="E269" s="218" t="n"/>
      <c r="F269" s="328" t="n"/>
      <c r="G269" s="218" t="n"/>
      <c r="H269" s="218" t="n"/>
      <c r="I269" s="218" t="n"/>
      <c r="J269" s="218" t="n"/>
      <c r="K269" s="218" t="n"/>
      <c r="L269" s="218" t="n"/>
      <c r="M269" s="218" t="n"/>
      <c r="N269" s="218" t="n"/>
      <c r="O269" s="222">
        <f>IF($A269="","",IF(IF($B269="343",NETWORKDAYS($A269,$A269,FERIADOS_343),IF($B269="281",NETWORKDAYS($A269,$A269,FERIADOS_281),NETWORKDAYS($A269,$A269,FERIADOS_342)))=1,"SIM","NÃO"))</f>
      </c>
      <c r="P269" s="232">
        <f>IF($A269="","",$A269-WEEKDAY($A269,2)+5)</f>
      </c>
    </row>
    <row r="270">
      <c r="A270" s="220" t="n"/>
      <c r="B270" s="218" t="n"/>
      <c r="C270" s="218" t="n"/>
      <c r="D270" s="218" t="n"/>
      <c r="E270" s="218" t="n"/>
      <c r="F270" s="328" t="n"/>
      <c r="G270" s="218" t="n"/>
      <c r="H270" s="218" t="n"/>
      <c r="I270" s="218" t="n"/>
      <c r="J270" s="218" t="n"/>
      <c r="K270" s="218" t="n"/>
      <c r="L270" s="218" t="n"/>
      <c r="M270" s="218" t="n"/>
      <c r="N270" s="218" t="n"/>
      <c r="O270" s="222">
        <f>IF($A270="","",IF(IF($B270="343",NETWORKDAYS($A270,$A270,FERIADOS_343),IF($B270="281",NETWORKDAYS($A270,$A270,FERIADOS_281),NETWORKDAYS($A270,$A270,FERIADOS_342)))=1,"SIM","NÃO"))</f>
      </c>
      <c r="P270" s="232">
        <f>IF($A270="","",$A270-WEEKDAY($A270,2)+5)</f>
      </c>
    </row>
    <row r="271">
      <c r="A271" s="220" t="n"/>
      <c r="B271" s="218" t="n"/>
      <c r="C271" s="218" t="n"/>
      <c r="D271" s="218" t="n"/>
      <c r="E271" s="218" t="n"/>
      <c r="F271" s="328" t="n"/>
      <c r="G271" s="218" t="n"/>
      <c r="H271" s="218" t="n"/>
      <c r="I271" s="218" t="n"/>
      <c r="J271" s="218" t="n"/>
      <c r="K271" s="218" t="n"/>
      <c r="L271" s="218" t="n"/>
      <c r="M271" s="218" t="n"/>
      <c r="N271" s="218" t="n"/>
      <c r="O271" s="222">
        <f>IF($A271="","",IF(IF($B271="343",NETWORKDAYS($A271,$A271,FERIADOS_343),IF($B271="281",NETWORKDAYS($A271,$A271,FERIADOS_281),NETWORKDAYS($A271,$A271,FERIADOS_342)))=1,"SIM","NÃO"))</f>
      </c>
      <c r="P271" s="232">
        <f>IF($A271="","",$A271-WEEKDAY($A271,2)+5)</f>
      </c>
    </row>
    <row r="272">
      <c r="A272" s="220" t="n"/>
      <c r="B272" s="218" t="n"/>
      <c r="C272" s="218" t="n"/>
      <c r="D272" s="218" t="n"/>
      <c r="E272" s="218" t="n"/>
      <c r="F272" s="328" t="n"/>
      <c r="G272" s="218" t="n"/>
      <c r="H272" s="218" t="n"/>
      <c r="I272" s="218" t="n"/>
      <c r="J272" s="218" t="n"/>
      <c r="K272" s="218" t="n"/>
      <c r="L272" s="218" t="n"/>
      <c r="M272" s="218" t="n"/>
      <c r="N272" s="218" t="n"/>
      <c r="O272" s="222">
        <f>IF($A272="","",IF(IF($B272="343",NETWORKDAYS($A272,$A272,FERIADOS_343),IF($B272="281",NETWORKDAYS($A272,$A272,FERIADOS_281),NETWORKDAYS($A272,$A272,FERIADOS_342)))=1,"SIM","NÃO"))</f>
      </c>
      <c r="P272" s="232">
        <f>IF($A272="","",$A272-WEEKDAY($A272,2)+5)</f>
      </c>
    </row>
    <row r="273">
      <c r="A273" s="220" t="n"/>
      <c r="B273" s="218" t="n"/>
      <c r="C273" s="218" t="n"/>
      <c r="D273" s="218" t="n"/>
      <c r="E273" s="218" t="n"/>
      <c r="F273" s="328" t="n"/>
      <c r="G273" s="218" t="n"/>
      <c r="H273" s="218" t="n"/>
      <c r="I273" s="218" t="n"/>
      <c r="J273" s="218" t="n"/>
      <c r="K273" s="218" t="n"/>
      <c r="L273" s="218" t="n"/>
      <c r="M273" s="218" t="n"/>
      <c r="N273" s="218" t="n"/>
      <c r="O273" s="222">
        <f>IF($A273="","",IF(IF($B273="343",NETWORKDAYS($A273,$A273,FERIADOS_343),IF($B273="281",NETWORKDAYS($A273,$A273,FERIADOS_281),NETWORKDAYS($A273,$A273,FERIADOS_342)))=1,"SIM","NÃO"))</f>
      </c>
      <c r="P273" s="232">
        <f>IF($A273="","",$A273-WEEKDAY($A273,2)+5)</f>
      </c>
    </row>
    <row r="274">
      <c r="A274" s="220" t="n"/>
      <c r="B274" s="218" t="n"/>
      <c r="C274" s="218" t="n"/>
      <c r="D274" s="218" t="n"/>
      <c r="E274" s="218" t="n"/>
      <c r="F274" s="328" t="n"/>
      <c r="G274" s="218" t="n"/>
      <c r="H274" s="218" t="n"/>
      <c r="I274" s="218" t="n"/>
      <c r="J274" s="218" t="n"/>
      <c r="K274" s="218" t="n"/>
      <c r="L274" s="218" t="n"/>
      <c r="M274" s="218" t="n"/>
      <c r="N274" s="218" t="n"/>
      <c r="O274" s="222">
        <f>IF($A274="","",IF(IF($B274="343",NETWORKDAYS($A274,$A274,FERIADOS_343),IF($B274="281",NETWORKDAYS($A274,$A274,FERIADOS_281),NETWORKDAYS($A274,$A274,FERIADOS_342)))=1,"SIM","NÃO"))</f>
      </c>
      <c r="P274" s="232">
        <f>IF($A274="","",$A274-WEEKDAY($A274,2)+5)</f>
      </c>
    </row>
    <row r="275">
      <c r="A275" s="220" t="n"/>
      <c r="B275" s="218" t="n"/>
      <c r="C275" s="218" t="n"/>
      <c r="D275" s="218" t="n"/>
      <c r="E275" s="218" t="n"/>
      <c r="F275" s="328" t="n"/>
      <c r="G275" s="218" t="n"/>
      <c r="H275" s="218" t="n"/>
      <c r="I275" s="218" t="n"/>
      <c r="J275" s="218" t="n"/>
      <c r="K275" s="218" t="n"/>
      <c r="L275" s="218" t="n"/>
      <c r="M275" s="218" t="n"/>
      <c r="N275" s="218" t="n"/>
      <c r="O275" s="222">
        <f>IF($A275="","",IF(IF($B275="343",NETWORKDAYS($A275,$A275,FERIADOS_343),IF($B275="281",NETWORKDAYS($A275,$A275,FERIADOS_281),NETWORKDAYS($A275,$A275,FERIADOS_342)))=1,"SIM","NÃO"))</f>
      </c>
      <c r="P275" s="232">
        <f>IF($A275="","",$A275-WEEKDAY($A275,2)+5)</f>
      </c>
    </row>
    <row r="276">
      <c r="A276" s="220" t="n"/>
      <c r="B276" s="218" t="n"/>
      <c r="C276" s="218" t="n"/>
      <c r="D276" s="218" t="n"/>
      <c r="E276" s="218" t="n"/>
      <c r="F276" s="328" t="n"/>
      <c r="G276" s="218" t="n"/>
      <c r="H276" s="218" t="n"/>
      <c r="I276" s="218" t="n"/>
      <c r="J276" s="218" t="n"/>
      <c r="K276" s="218" t="n"/>
      <c r="L276" s="218" t="n"/>
      <c r="M276" s="218" t="n"/>
      <c r="N276" s="218" t="n"/>
      <c r="O276" s="222">
        <f>IF($A276="","",IF(IF($B276="343",NETWORKDAYS($A276,$A276,FERIADOS_343),IF($B276="281",NETWORKDAYS($A276,$A276,FERIADOS_281),NETWORKDAYS($A276,$A276,FERIADOS_342)))=1,"SIM","NÃO"))</f>
      </c>
      <c r="P276" s="232">
        <f>IF($A276="","",$A276-WEEKDAY($A276,2)+5)</f>
      </c>
    </row>
    <row r="277">
      <c r="A277" s="220" t="n"/>
      <c r="B277" s="218" t="n"/>
      <c r="C277" s="218" t="n"/>
      <c r="D277" s="218" t="n"/>
      <c r="E277" s="218" t="n"/>
      <c r="F277" s="328" t="n"/>
      <c r="G277" s="218" t="n"/>
      <c r="H277" s="218" t="n"/>
      <c r="I277" s="218" t="n"/>
      <c r="J277" s="218" t="n"/>
      <c r="K277" s="218" t="n"/>
      <c r="L277" s="218" t="n"/>
      <c r="M277" s="218" t="n"/>
      <c r="N277" s="218" t="n"/>
      <c r="O277" s="222">
        <f>IF($A277="","",IF(IF($B277="343",NETWORKDAYS($A277,$A277,FERIADOS_343),IF($B277="281",NETWORKDAYS($A277,$A277,FERIADOS_281),NETWORKDAYS($A277,$A277,FERIADOS_342)))=1,"SIM","NÃO"))</f>
      </c>
      <c r="P277" s="232">
        <f>IF($A277="","",$A277-WEEKDAY($A277,2)+5)</f>
      </c>
    </row>
    <row r="278">
      <c r="A278" s="220" t="n"/>
      <c r="B278" s="218" t="n"/>
      <c r="C278" s="218" t="n"/>
      <c r="D278" s="218" t="n"/>
      <c r="E278" s="218" t="n"/>
      <c r="F278" s="328" t="n"/>
      <c r="G278" s="218" t="n"/>
      <c r="H278" s="218" t="n"/>
      <c r="I278" s="218" t="n"/>
      <c r="J278" s="218" t="n"/>
      <c r="K278" s="218" t="n"/>
      <c r="L278" s="218" t="n"/>
      <c r="M278" s="218" t="n"/>
      <c r="N278" s="218" t="n"/>
      <c r="O278" s="222">
        <f>IF($A278="","",IF(IF($B278="343",NETWORKDAYS($A278,$A278,FERIADOS_343),IF($B278="281",NETWORKDAYS($A278,$A278,FERIADOS_281),NETWORKDAYS($A278,$A278,FERIADOS_342)))=1,"SIM","NÃO"))</f>
      </c>
      <c r="P278" s="232">
        <f>IF($A278="","",$A278-WEEKDAY($A278,2)+5)</f>
      </c>
    </row>
    <row r="279">
      <c r="A279" s="220" t="n"/>
      <c r="B279" s="218" t="n"/>
      <c r="C279" s="218" t="n"/>
      <c r="D279" s="218" t="n"/>
      <c r="E279" s="218" t="n"/>
      <c r="F279" s="328" t="n"/>
      <c r="G279" s="218" t="n"/>
      <c r="H279" s="218" t="n"/>
      <c r="I279" s="218" t="n"/>
      <c r="J279" s="218" t="n"/>
      <c r="K279" s="218" t="n"/>
      <c r="L279" s="218" t="n"/>
      <c r="M279" s="218" t="n"/>
      <c r="N279" s="218" t="n"/>
      <c r="O279" s="222">
        <f>IF($A279="","",IF(IF($B279="343",NETWORKDAYS($A279,$A279,FERIADOS_343),IF($B279="281",NETWORKDAYS($A279,$A279,FERIADOS_281),NETWORKDAYS($A279,$A279,FERIADOS_342)))=1,"SIM","NÃO"))</f>
      </c>
      <c r="P279" s="232">
        <f>IF($A279="","",$A279-WEEKDAY($A279,2)+5)</f>
      </c>
    </row>
    <row r="280">
      <c r="A280" s="220" t="n"/>
      <c r="B280" s="218" t="n"/>
      <c r="C280" s="218" t="n"/>
      <c r="D280" s="218" t="n"/>
      <c r="E280" s="218" t="n"/>
      <c r="F280" s="328" t="n"/>
      <c r="G280" s="218" t="n"/>
      <c r="H280" s="218" t="n"/>
      <c r="I280" s="218" t="n"/>
      <c r="J280" s="218" t="n"/>
      <c r="K280" s="218" t="n"/>
      <c r="L280" s="218" t="n"/>
      <c r="M280" s="218" t="n"/>
      <c r="N280" s="218" t="n"/>
      <c r="O280" s="222">
        <f>IF($A280="","",IF(IF($B280="343",NETWORKDAYS($A280,$A280,FERIADOS_343),IF($B280="281",NETWORKDAYS($A280,$A280,FERIADOS_281),NETWORKDAYS($A280,$A280,FERIADOS_342)))=1,"SIM","NÃO"))</f>
      </c>
      <c r="P280" s="232">
        <f>IF($A280="","",$A280-WEEKDAY($A280,2)+5)</f>
      </c>
    </row>
    <row r="281">
      <c r="A281" s="220" t="n"/>
      <c r="B281" s="218" t="n"/>
      <c r="C281" s="218" t="n"/>
      <c r="D281" s="218" t="n"/>
      <c r="E281" s="218" t="n"/>
      <c r="F281" s="328" t="n"/>
      <c r="G281" s="218" t="n"/>
      <c r="H281" s="218" t="n"/>
      <c r="I281" s="218" t="n"/>
      <c r="J281" s="218" t="n"/>
      <c r="K281" s="218" t="n"/>
      <c r="L281" s="218" t="n"/>
      <c r="M281" s="218" t="n"/>
      <c r="N281" s="218" t="n"/>
      <c r="O281" s="222">
        <f>IF($A281="","",IF(IF($B281="343",NETWORKDAYS($A281,$A281,FERIADOS_343),IF($B281="281",NETWORKDAYS($A281,$A281,FERIADOS_281),NETWORKDAYS($A281,$A281,FERIADOS_342)))=1,"SIM","NÃO"))</f>
      </c>
      <c r="P281" s="232">
        <f>IF($A281="","",$A281-WEEKDAY($A281,2)+5)</f>
      </c>
    </row>
    <row r="282">
      <c r="A282" s="220" t="n"/>
      <c r="B282" s="218" t="n"/>
      <c r="C282" s="218" t="n"/>
      <c r="D282" s="218" t="n"/>
      <c r="E282" s="218" t="n"/>
      <c r="F282" s="328" t="n"/>
      <c r="G282" s="218" t="n"/>
      <c r="H282" s="218" t="n"/>
      <c r="I282" s="218" t="n"/>
      <c r="J282" s="218" t="n"/>
      <c r="K282" s="218" t="n"/>
      <c r="L282" s="218" t="n"/>
      <c r="M282" s="218" t="n"/>
      <c r="N282" s="218" t="n"/>
      <c r="O282" s="222">
        <f>IF($A282="","",IF(IF($B282="343",NETWORKDAYS($A282,$A282,FERIADOS_343),IF($B282="281",NETWORKDAYS($A282,$A282,FERIADOS_281),NETWORKDAYS($A282,$A282,FERIADOS_342)))=1,"SIM","NÃO"))</f>
      </c>
      <c r="P282" s="232">
        <f>IF($A282="","",$A282-WEEKDAY($A282,2)+5)</f>
      </c>
    </row>
    <row r="283">
      <c r="A283" s="220" t="n"/>
      <c r="B283" s="218" t="n"/>
      <c r="C283" s="218" t="n"/>
      <c r="D283" s="218" t="n"/>
      <c r="E283" s="218" t="n"/>
      <c r="F283" s="328" t="n"/>
      <c r="G283" s="218" t="n"/>
      <c r="H283" s="218" t="n"/>
      <c r="I283" s="218" t="n"/>
      <c r="J283" s="218" t="n"/>
      <c r="K283" s="218" t="n"/>
      <c r="L283" s="218" t="n"/>
      <c r="M283" s="218" t="n"/>
      <c r="N283" s="218" t="n"/>
      <c r="O283" s="222">
        <f>IF($A283="","",IF(IF($B283="343",NETWORKDAYS($A283,$A283,FERIADOS_343),IF($B283="281",NETWORKDAYS($A283,$A283,FERIADOS_281),NETWORKDAYS($A283,$A283,FERIADOS_342)))=1,"SIM","NÃO"))</f>
      </c>
      <c r="P283" s="232">
        <f>IF($A283="","",$A283-WEEKDAY($A283,2)+5)</f>
      </c>
    </row>
    <row r="284">
      <c r="A284" s="220" t="n"/>
      <c r="B284" s="218" t="n"/>
      <c r="C284" s="218" t="n"/>
      <c r="D284" s="218" t="n"/>
      <c r="E284" s="218" t="n"/>
      <c r="F284" s="328" t="n"/>
      <c r="G284" s="218" t="n"/>
      <c r="H284" s="218" t="n"/>
      <c r="I284" s="218" t="n"/>
      <c r="J284" s="218" t="n"/>
      <c r="K284" s="218" t="n"/>
      <c r="L284" s="218" t="n"/>
      <c r="M284" s="218" t="n"/>
      <c r="N284" s="218" t="n"/>
      <c r="O284" s="222">
        <f>IF($A284="","",IF(IF($B284="343",NETWORKDAYS($A284,$A284,FERIADOS_343),IF($B284="281",NETWORKDAYS($A284,$A284,FERIADOS_281),NETWORKDAYS($A284,$A284,FERIADOS_342)))=1,"SIM","NÃO"))</f>
      </c>
      <c r="P284" s="232">
        <f>IF($A284="","",$A284-WEEKDAY($A284,2)+5)</f>
      </c>
    </row>
    <row r="285">
      <c r="A285" s="220" t="n"/>
      <c r="B285" s="218" t="n"/>
      <c r="C285" s="218" t="n"/>
      <c r="D285" s="218" t="n"/>
      <c r="E285" s="218" t="n"/>
      <c r="F285" s="328" t="n"/>
      <c r="G285" s="218" t="n"/>
      <c r="H285" s="218" t="n"/>
      <c r="I285" s="218" t="n"/>
      <c r="J285" s="218" t="n"/>
      <c r="K285" s="218" t="n"/>
      <c r="L285" s="218" t="n"/>
      <c r="M285" s="218" t="n"/>
      <c r="N285" s="218" t="n"/>
      <c r="O285" s="222">
        <f>IF($A285="","",IF(IF($B285="343",NETWORKDAYS($A285,$A285,FERIADOS_343),IF($B285="281",NETWORKDAYS($A285,$A285,FERIADOS_281),NETWORKDAYS($A285,$A285,FERIADOS_342)))=1,"SIM","NÃO"))</f>
      </c>
      <c r="P285" s="232">
        <f>IF($A285="","",$A285-WEEKDAY($A285,2)+5)</f>
      </c>
    </row>
    <row r="286">
      <c r="A286" s="220" t="n"/>
      <c r="B286" s="218" t="n"/>
      <c r="C286" s="218" t="n"/>
      <c r="D286" s="218" t="n"/>
      <c r="E286" s="218" t="n"/>
      <c r="F286" s="328" t="n"/>
      <c r="G286" s="218" t="n"/>
      <c r="H286" s="218" t="n"/>
      <c r="I286" s="218" t="n"/>
      <c r="J286" s="218" t="n"/>
      <c r="K286" s="218" t="n"/>
      <c r="L286" s="218" t="n"/>
      <c r="M286" s="218" t="n"/>
      <c r="N286" s="218" t="n"/>
      <c r="O286" s="222">
        <f>IF($A286="","",IF(IF($B286="343",NETWORKDAYS($A286,$A286,FERIADOS_343),IF($B286="281",NETWORKDAYS($A286,$A286,FERIADOS_281),NETWORKDAYS($A286,$A286,FERIADOS_342)))=1,"SIM","NÃO"))</f>
      </c>
      <c r="P286" s="232">
        <f>IF($A286="","",$A286-WEEKDAY($A286,2)+5)</f>
      </c>
    </row>
    <row r="287">
      <c r="A287" s="220" t="n"/>
      <c r="B287" s="218" t="n"/>
      <c r="C287" s="218" t="n"/>
      <c r="D287" s="218" t="n"/>
      <c r="E287" s="218" t="n"/>
      <c r="F287" s="328" t="n"/>
      <c r="G287" s="218" t="n"/>
      <c r="H287" s="218" t="n"/>
      <c r="I287" s="218" t="n"/>
      <c r="J287" s="218" t="n"/>
      <c r="K287" s="218" t="n"/>
      <c r="L287" s="218" t="n"/>
      <c r="M287" s="218" t="n"/>
      <c r="N287" s="218" t="n"/>
      <c r="O287" s="222">
        <f>IF($A287="","",IF(IF($B287="343",NETWORKDAYS($A287,$A287,FERIADOS_343),IF($B287="281",NETWORKDAYS($A287,$A287,FERIADOS_281),NETWORKDAYS($A287,$A287,FERIADOS_342)))=1,"SIM","NÃO"))</f>
      </c>
      <c r="P287" s="232">
        <f>IF($A287="","",$A287-WEEKDAY($A287,2)+5)</f>
      </c>
    </row>
    <row r="288">
      <c r="A288" s="220" t="n"/>
      <c r="B288" s="218" t="n"/>
      <c r="C288" s="218" t="n"/>
      <c r="D288" s="218" t="n"/>
      <c r="E288" s="218" t="n"/>
      <c r="F288" s="328" t="n"/>
      <c r="G288" s="218" t="n"/>
      <c r="H288" s="218" t="n"/>
      <c r="I288" s="218" t="n"/>
      <c r="J288" s="218" t="n"/>
      <c r="K288" s="218" t="n"/>
      <c r="L288" s="218" t="n"/>
      <c r="M288" s="218" t="n"/>
      <c r="N288" s="218" t="n"/>
      <c r="O288" s="222">
        <f>IF($A288="","",IF(IF($B288="343",NETWORKDAYS($A288,$A288,FERIADOS_343),IF($B288="281",NETWORKDAYS($A288,$A288,FERIADOS_281),NETWORKDAYS($A288,$A288,FERIADOS_342)))=1,"SIM","NÃO"))</f>
      </c>
      <c r="P288" s="232">
        <f>IF($A288="","",$A288-WEEKDAY($A288,2)+5)</f>
      </c>
    </row>
    <row r="289">
      <c r="A289" s="220" t="n"/>
      <c r="B289" s="218" t="n"/>
      <c r="C289" s="218" t="n"/>
      <c r="D289" s="218" t="n"/>
      <c r="E289" s="218" t="n"/>
      <c r="F289" s="328" t="n"/>
      <c r="G289" s="218" t="n"/>
      <c r="H289" s="218" t="n"/>
      <c r="I289" s="218" t="n"/>
      <c r="J289" s="218" t="n"/>
      <c r="K289" s="218" t="n"/>
      <c r="L289" s="218" t="n"/>
      <c r="M289" s="218" t="n"/>
      <c r="N289" s="218" t="n"/>
      <c r="O289" s="222">
        <f>IF($A289="","",IF(IF($B289="343",NETWORKDAYS($A289,$A289,FERIADOS_343),IF($B289="281",NETWORKDAYS($A289,$A289,FERIADOS_281),NETWORKDAYS($A289,$A289,FERIADOS_342)))=1,"SIM","NÃO"))</f>
      </c>
      <c r="P289" s="232">
        <f>IF($A289="","",$A289-WEEKDAY($A289,2)+5)</f>
      </c>
    </row>
    <row r="290">
      <c r="A290" s="220" t="n"/>
      <c r="B290" s="218" t="n"/>
      <c r="C290" s="218" t="n"/>
      <c r="D290" s="218" t="n"/>
      <c r="E290" s="218" t="n"/>
      <c r="F290" s="328" t="n"/>
      <c r="G290" s="218" t="n"/>
      <c r="H290" s="218" t="n"/>
      <c r="I290" s="218" t="n"/>
      <c r="J290" s="218" t="n"/>
      <c r="K290" s="218" t="n"/>
      <c r="L290" s="218" t="n"/>
      <c r="M290" s="218" t="n"/>
      <c r="N290" s="218" t="n"/>
      <c r="O290" s="222">
        <f>IF($A290="","",IF(IF($B290="343",NETWORKDAYS($A290,$A290,FERIADOS_343),IF($B290="281",NETWORKDAYS($A290,$A290,FERIADOS_281),NETWORKDAYS($A290,$A290,FERIADOS_342)))=1,"SIM","NÃO"))</f>
      </c>
      <c r="P290" s="232">
        <f>IF($A290="","",$A290-WEEKDAY($A290,2)+5)</f>
      </c>
    </row>
    <row r="291">
      <c r="A291" s="220" t="n"/>
      <c r="B291" s="218" t="n"/>
      <c r="C291" s="218" t="n"/>
      <c r="D291" s="218" t="n"/>
      <c r="E291" s="218" t="n"/>
      <c r="F291" s="328" t="n"/>
      <c r="G291" s="218" t="n"/>
      <c r="H291" s="218" t="n"/>
      <c r="I291" s="218" t="n"/>
      <c r="J291" s="218" t="n"/>
      <c r="K291" s="218" t="n"/>
      <c r="L291" s="218" t="n"/>
      <c r="M291" s="218" t="n"/>
      <c r="N291" s="218" t="n"/>
      <c r="O291" s="222">
        <f>IF($A291="","",IF(IF($B291="343",NETWORKDAYS($A291,$A291,FERIADOS_343),IF($B291="281",NETWORKDAYS($A291,$A291,FERIADOS_281),NETWORKDAYS($A291,$A291,FERIADOS_342)))=1,"SIM","NÃO"))</f>
      </c>
      <c r="P291" s="232">
        <f>IF($A291="","",$A291-WEEKDAY($A291,2)+5)</f>
      </c>
    </row>
    <row r="292">
      <c r="A292" s="220" t="n"/>
      <c r="B292" s="218" t="n"/>
      <c r="C292" s="218" t="n"/>
      <c r="D292" s="218" t="n"/>
      <c r="E292" s="218" t="n"/>
      <c r="F292" s="328" t="n"/>
      <c r="G292" s="218" t="n"/>
      <c r="H292" s="218" t="n"/>
      <c r="I292" s="218" t="n"/>
      <c r="J292" s="218" t="n"/>
      <c r="K292" s="218" t="n"/>
      <c r="L292" s="218" t="n"/>
      <c r="M292" s="218" t="n"/>
      <c r="N292" s="218" t="n"/>
      <c r="O292" s="222">
        <f>IF($A292="","",IF(IF($B292="343",NETWORKDAYS($A292,$A292,FERIADOS_343),IF($B292="281",NETWORKDAYS($A292,$A292,FERIADOS_281),NETWORKDAYS($A292,$A292,FERIADOS_342)))=1,"SIM","NÃO"))</f>
      </c>
      <c r="P292" s="232">
        <f>IF($A292="","",$A292-WEEKDAY($A292,2)+5)</f>
      </c>
    </row>
    <row r="293">
      <c r="A293" s="220" t="n"/>
      <c r="B293" s="218" t="n"/>
      <c r="C293" s="218" t="n"/>
      <c r="D293" s="218" t="n"/>
      <c r="E293" s="218" t="n"/>
      <c r="F293" s="328" t="n"/>
      <c r="G293" s="218" t="n"/>
      <c r="H293" s="218" t="n"/>
      <c r="I293" s="218" t="n"/>
      <c r="J293" s="218" t="n"/>
      <c r="K293" s="218" t="n"/>
      <c r="L293" s="218" t="n"/>
      <c r="M293" s="218" t="n"/>
      <c r="N293" s="218" t="n"/>
      <c r="O293" s="222">
        <f>IF($A293="","",IF(IF($B293="343",NETWORKDAYS($A293,$A293,FERIADOS_343),IF($B293="281",NETWORKDAYS($A293,$A293,FERIADOS_281),NETWORKDAYS($A293,$A293,FERIADOS_342)))=1,"SIM","NÃO"))</f>
      </c>
      <c r="P293" s="232">
        <f>IF($A293="","",$A293-WEEKDAY($A293,2)+5)</f>
      </c>
    </row>
    <row r="294">
      <c r="A294" s="220" t="n"/>
      <c r="B294" s="218" t="n"/>
      <c r="C294" s="218" t="n"/>
      <c r="D294" s="218" t="n"/>
      <c r="E294" s="218" t="n"/>
      <c r="F294" s="328" t="n"/>
      <c r="G294" s="218" t="n"/>
      <c r="H294" s="218" t="n"/>
      <c r="I294" s="218" t="n"/>
      <c r="J294" s="218" t="n"/>
      <c r="K294" s="218" t="n"/>
      <c r="L294" s="218" t="n"/>
      <c r="M294" s="218" t="n"/>
      <c r="N294" s="218" t="n"/>
      <c r="O294" s="222">
        <f>IF($A294="","",IF(IF($B294="343",NETWORKDAYS($A294,$A294,FERIADOS_343),IF($B294="281",NETWORKDAYS($A294,$A294,FERIADOS_281),NETWORKDAYS($A294,$A294,FERIADOS_342)))=1,"SIM","NÃO"))</f>
      </c>
      <c r="P294" s="232">
        <f>IF($A294="","",$A294-WEEKDAY($A294,2)+5)</f>
      </c>
    </row>
    <row r="295">
      <c r="A295" s="220" t="n"/>
      <c r="B295" s="218" t="n"/>
      <c r="C295" s="218" t="n"/>
      <c r="D295" s="218" t="n"/>
      <c r="E295" s="218" t="n"/>
      <c r="F295" s="328" t="n"/>
      <c r="G295" s="218" t="n"/>
      <c r="H295" s="218" t="n"/>
      <c r="I295" s="218" t="n"/>
      <c r="J295" s="218" t="n"/>
      <c r="K295" s="218" t="n"/>
      <c r="L295" s="218" t="n"/>
      <c r="M295" s="218" t="n"/>
      <c r="N295" s="218" t="n"/>
      <c r="O295" s="222">
        <f>IF($A295="","",IF(IF($B295="343",NETWORKDAYS($A295,$A295,FERIADOS_343),IF($B295="281",NETWORKDAYS($A295,$A295,FERIADOS_281),NETWORKDAYS($A295,$A295,FERIADOS_342)))=1,"SIM","NÃO"))</f>
      </c>
      <c r="P295" s="232">
        <f>IF($A295="","",$A295-WEEKDAY($A295,2)+5)</f>
      </c>
    </row>
    <row r="296">
      <c r="A296" s="220" t="n"/>
      <c r="B296" s="218" t="n"/>
      <c r="C296" s="218" t="n"/>
      <c r="D296" s="218" t="n"/>
      <c r="E296" s="218" t="n"/>
      <c r="F296" s="328" t="n"/>
      <c r="G296" s="218" t="n"/>
      <c r="H296" s="218" t="n"/>
      <c r="I296" s="218" t="n"/>
      <c r="J296" s="218" t="n"/>
      <c r="K296" s="218" t="n"/>
      <c r="L296" s="218" t="n"/>
      <c r="M296" s="218" t="n"/>
      <c r="N296" s="218" t="n"/>
      <c r="O296" s="222">
        <f>IF($A296="","",IF(IF($B296="343",NETWORKDAYS($A296,$A296,FERIADOS_343),IF($B296="281",NETWORKDAYS($A296,$A296,FERIADOS_281),NETWORKDAYS($A296,$A296,FERIADOS_342)))=1,"SIM","NÃO"))</f>
      </c>
      <c r="P296" s="232">
        <f>IF($A296="","",$A296-WEEKDAY($A296,2)+5)</f>
      </c>
    </row>
    <row r="297">
      <c r="A297" s="220" t="n"/>
      <c r="B297" s="218" t="n"/>
      <c r="C297" s="218" t="n"/>
      <c r="D297" s="218" t="n"/>
      <c r="E297" s="218" t="n"/>
      <c r="F297" s="328" t="n"/>
      <c r="G297" s="218" t="n"/>
      <c r="H297" s="218" t="n"/>
      <c r="I297" s="218" t="n"/>
      <c r="J297" s="218" t="n"/>
      <c r="K297" s="218" t="n"/>
      <c r="L297" s="218" t="n"/>
      <c r="M297" s="218" t="n"/>
      <c r="N297" s="218" t="n"/>
      <c r="O297" s="222">
        <f>IF($A297="","",IF(IF($B297="343",NETWORKDAYS($A297,$A297,FERIADOS_343),IF($B297="281",NETWORKDAYS($A297,$A297,FERIADOS_281),NETWORKDAYS($A297,$A297,FERIADOS_342)))=1,"SIM","NÃO"))</f>
      </c>
      <c r="P297" s="232">
        <f>IF($A297="","",$A297-WEEKDAY($A297,2)+5)</f>
      </c>
    </row>
    <row r="298">
      <c r="A298" s="220" t="n"/>
      <c r="B298" s="218" t="n"/>
      <c r="C298" s="218" t="n"/>
      <c r="D298" s="218" t="n"/>
      <c r="E298" s="218" t="n"/>
      <c r="F298" s="328" t="n"/>
      <c r="G298" s="218" t="n"/>
      <c r="H298" s="218" t="n"/>
      <c r="I298" s="218" t="n"/>
      <c r="J298" s="218" t="n"/>
      <c r="K298" s="218" t="n"/>
      <c r="L298" s="218" t="n"/>
      <c r="M298" s="218" t="n"/>
      <c r="N298" s="218" t="n"/>
      <c r="O298" s="222">
        <f>IF($A298="","",IF(IF($B298="343",NETWORKDAYS($A298,$A298,FERIADOS_343),IF($B298="281",NETWORKDAYS($A298,$A298,FERIADOS_281),NETWORKDAYS($A298,$A298,FERIADOS_342)))=1,"SIM","NÃO"))</f>
      </c>
      <c r="P298" s="232">
        <f>IF($A298="","",$A298-WEEKDAY($A298,2)+5)</f>
      </c>
    </row>
    <row r="299">
      <c r="A299" s="220" t="n"/>
      <c r="B299" s="218" t="n"/>
      <c r="C299" s="218" t="n"/>
      <c r="D299" s="218" t="n"/>
      <c r="E299" s="218" t="n"/>
      <c r="F299" s="328" t="n"/>
      <c r="G299" s="218" t="n"/>
      <c r="H299" s="218" t="n"/>
      <c r="I299" s="218" t="n"/>
      <c r="J299" s="218" t="n"/>
      <c r="K299" s="218" t="n"/>
      <c r="L299" s="218" t="n"/>
      <c r="M299" s="218" t="n"/>
      <c r="N299" s="218" t="n"/>
      <c r="O299" s="222">
        <f>IF($A299="","",IF(IF($B299="343",NETWORKDAYS($A299,$A299,FERIADOS_343),IF($B299="281",NETWORKDAYS($A299,$A299,FERIADOS_281),NETWORKDAYS($A299,$A299,FERIADOS_342)))=1,"SIM","NÃO"))</f>
      </c>
      <c r="P299" s="232">
        <f>IF($A299="","",$A299-WEEKDAY($A299,2)+5)</f>
      </c>
    </row>
    <row r="300">
      <c r="A300" s="220" t="n"/>
      <c r="B300" s="218" t="n"/>
      <c r="C300" s="218" t="n"/>
      <c r="D300" s="218" t="n"/>
      <c r="E300" s="218" t="n"/>
      <c r="F300" s="328" t="n"/>
      <c r="G300" s="218" t="n"/>
      <c r="H300" s="218" t="n"/>
      <c r="I300" s="218" t="n"/>
      <c r="J300" s="218" t="n"/>
      <c r="K300" s="218" t="n"/>
      <c r="L300" s="218" t="n"/>
      <c r="M300" s="218" t="n"/>
      <c r="N300" s="218" t="n"/>
      <c r="O300" s="222">
        <f>IF($A300="","",IF(IF($B300="343",NETWORKDAYS($A300,$A300,FERIADOS_343),IF($B300="281",NETWORKDAYS($A300,$A300,FERIADOS_281),NETWORKDAYS($A300,$A300,FERIADOS_342)))=1,"SIM","NÃO"))</f>
      </c>
      <c r="P300" s="232">
        <f>IF($A300="","",$A300-WEEKDAY($A300,2)+5)</f>
      </c>
    </row>
    <row r="301">
      <c r="A301" s="220" t="n"/>
      <c r="B301" s="218" t="n"/>
      <c r="C301" s="218" t="n"/>
      <c r="D301" s="218" t="n"/>
      <c r="E301" s="218" t="n"/>
      <c r="F301" s="328" t="n"/>
      <c r="G301" s="218" t="n"/>
      <c r="H301" s="218" t="n"/>
      <c r="I301" s="218" t="n"/>
      <c r="J301" s="218" t="n"/>
      <c r="K301" s="218" t="n"/>
      <c r="L301" s="218" t="n"/>
      <c r="M301" s="218" t="n"/>
      <c r="N301" s="218" t="n"/>
      <c r="O301" s="222">
        <f>IF($A301="","",IF(IF($B301="343",NETWORKDAYS($A301,$A301,FERIADOS_343),IF($B301="281",NETWORKDAYS($A301,$A301,FERIADOS_281),NETWORKDAYS($A301,$A301,FERIADOS_342)))=1,"SIM","NÃO"))</f>
      </c>
      <c r="P301" s="232">
        <f>IF($A301="","",$A301-WEEKDAY($A301,2)+5)</f>
      </c>
    </row>
    <row r="302">
      <c r="A302" s="220" t="n"/>
      <c r="B302" s="218" t="n"/>
      <c r="C302" s="218" t="n"/>
      <c r="D302" s="218" t="n"/>
      <c r="E302" s="218" t="n"/>
      <c r="F302" s="328" t="n"/>
      <c r="G302" s="218" t="n"/>
      <c r="H302" s="218" t="n"/>
      <c r="I302" s="218" t="n"/>
      <c r="J302" s="218" t="n"/>
      <c r="K302" s="218" t="n"/>
      <c r="L302" s="218" t="n"/>
      <c r="M302" s="218" t="n"/>
      <c r="N302" s="218" t="n"/>
      <c r="O302" s="222">
        <f>IF($A302="","",IF(IF($B302="343",NETWORKDAYS($A302,$A302,FERIADOS_343),IF($B302="281",NETWORKDAYS($A302,$A302,FERIADOS_281),NETWORKDAYS($A302,$A302,FERIADOS_342)))=1,"SIM","NÃO"))</f>
      </c>
      <c r="P302" s="232">
        <f>IF($A302="","",$A302-WEEKDAY($A302,2)+5)</f>
      </c>
    </row>
    <row r="303">
      <c r="A303" s="220" t="n"/>
      <c r="B303" s="218" t="n"/>
      <c r="C303" s="218" t="n"/>
      <c r="D303" s="218" t="n"/>
      <c r="E303" s="218" t="n"/>
      <c r="F303" s="328" t="n"/>
      <c r="G303" s="218" t="n"/>
      <c r="H303" s="218" t="n"/>
      <c r="I303" s="218" t="n"/>
      <c r="J303" s="218" t="n"/>
      <c r="K303" s="218" t="n"/>
      <c r="L303" s="218" t="n"/>
      <c r="M303" s="218" t="n"/>
      <c r="N303" s="218" t="n"/>
      <c r="O303" s="222">
        <f>IF($A303="","",IF(IF($B303="343",NETWORKDAYS($A303,$A303,FERIADOS_343),IF($B303="281",NETWORKDAYS($A303,$A303,FERIADOS_281),NETWORKDAYS($A303,$A303,FERIADOS_342)))=1,"SIM","NÃO"))</f>
      </c>
      <c r="P303" s="232">
        <f>IF($A303="","",$A303-WEEKDAY($A303,2)+5)</f>
      </c>
    </row>
    <row r="304">
      <c r="A304" s="220" t="n"/>
      <c r="B304" s="218" t="n"/>
      <c r="C304" s="218" t="n"/>
      <c r="D304" s="218" t="n"/>
      <c r="E304" s="218" t="n"/>
      <c r="F304" s="328" t="n"/>
      <c r="G304" s="218" t="n"/>
      <c r="H304" s="218" t="n"/>
      <c r="I304" s="218" t="n"/>
      <c r="J304" s="218" t="n"/>
      <c r="K304" s="218" t="n"/>
      <c r="L304" s="218" t="n"/>
      <c r="M304" s="218" t="n"/>
      <c r="N304" s="218" t="n"/>
      <c r="O304" s="222">
        <f>IF($A304="","",IF(IF($B304="343",NETWORKDAYS($A304,$A304,FERIADOS_343),IF($B304="281",NETWORKDAYS($A304,$A304,FERIADOS_281),NETWORKDAYS($A304,$A304,FERIADOS_342)))=1,"SIM","NÃO"))</f>
      </c>
      <c r="P304" s="232">
        <f>IF($A304="","",$A304-WEEKDAY($A304,2)+5)</f>
      </c>
    </row>
    <row r="305">
      <c r="A305" s="220" t="n"/>
      <c r="B305" s="218" t="n"/>
      <c r="C305" s="218" t="n"/>
      <c r="D305" s="218" t="n"/>
      <c r="E305" s="218" t="n"/>
      <c r="F305" s="328" t="n"/>
      <c r="G305" s="218" t="n"/>
      <c r="H305" s="218" t="n"/>
      <c r="I305" s="218" t="n"/>
      <c r="J305" s="218" t="n"/>
      <c r="K305" s="218" t="n"/>
      <c r="L305" s="218" t="n"/>
      <c r="M305" s="218" t="n"/>
      <c r="N305" s="218" t="n"/>
      <c r="O305" s="222">
        <f>IF($A305="","",IF(IF($B305="343",NETWORKDAYS($A305,$A305,FERIADOS_343),IF($B305="281",NETWORKDAYS($A305,$A305,FERIADOS_281),NETWORKDAYS($A305,$A305,FERIADOS_342)))=1,"SIM","NÃO"))</f>
      </c>
      <c r="P305" s="232">
        <f>IF($A305="","",$A305-WEEKDAY($A305,2)+5)</f>
      </c>
    </row>
    <row r="306">
      <c r="A306" s="220" t="n"/>
      <c r="B306" s="218" t="n"/>
      <c r="C306" s="218" t="n"/>
      <c r="D306" s="218" t="n"/>
      <c r="E306" s="218" t="n"/>
      <c r="F306" s="328" t="n"/>
      <c r="G306" s="218" t="n"/>
      <c r="H306" s="218" t="n"/>
      <c r="I306" s="218" t="n"/>
      <c r="J306" s="218" t="n"/>
      <c r="K306" s="218" t="n"/>
      <c r="L306" s="218" t="n"/>
      <c r="M306" s="218" t="n"/>
      <c r="N306" s="218" t="n"/>
      <c r="O306" s="222">
        <f>IF($A306="","",IF(IF($B306="343",NETWORKDAYS($A306,$A306,FERIADOS_343),IF($B306="281",NETWORKDAYS($A306,$A306,FERIADOS_281),NETWORKDAYS($A306,$A306,FERIADOS_342)))=1,"SIM","NÃO"))</f>
      </c>
      <c r="P306" s="232">
        <f>IF($A306="","",$A306-WEEKDAY($A306,2)+5)</f>
      </c>
    </row>
    <row r="307">
      <c r="A307" s="220" t="n"/>
      <c r="B307" s="218" t="n"/>
      <c r="C307" s="218" t="n"/>
      <c r="D307" s="218" t="n"/>
      <c r="E307" s="218" t="n"/>
      <c r="F307" s="328" t="n"/>
      <c r="G307" s="218" t="n"/>
      <c r="H307" s="218" t="n"/>
      <c r="I307" s="218" t="n"/>
      <c r="J307" s="218" t="n"/>
      <c r="K307" s="218" t="n"/>
      <c r="L307" s="218" t="n"/>
      <c r="M307" s="218" t="n"/>
      <c r="N307" s="218" t="n"/>
      <c r="O307" s="222">
        <f>IF($A307="","",IF(IF($B307="343",NETWORKDAYS($A307,$A307,FERIADOS_343),IF($B307="281",NETWORKDAYS($A307,$A307,FERIADOS_281),NETWORKDAYS($A307,$A307,FERIADOS_342)))=1,"SIM","NÃO"))</f>
      </c>
      <c r="P307" s="232">
        <f>IF($A307="","",$A307-WEEKDAY($A307,2)+5)</f>
      </c>
    </row>
    <row r="308">
      <c r="A308" s="220" t="n"/>
      <c r="B308" s="218" t="n"/>
      <c r="C308" s="218" t="n"/>
      <c r="D308" s="218" t="n"/>
      <c r="E308" s="218" t="n"/>
      <c r="F308" s="328" t="n"/>
      <c r="G308" s="218" t="n"/>
      <c r="H308" s="218" t="n"/>
      <c r="I308" s="218" t="n"/>
      <c r="J308" s="218" t="n"/>
      <c r="K308" s="218" t="n"/>
      <c r="L308" s="218" t="n"/>
      <c r="M308" s="218" t="n"/>
      <c r="N308" s="218" t="n"/>
      <c r="O308" s="222">
        <f>IF($A308="","",IF(IF($B308="343",NETWORKDAYS($A308,$A308,FERIADOS_343),IF($B308="281",NETWORKDAYS($A308,$A308,FERIADOS_281),NETWORKDAYS($A308,$A308,FERIADOS_342)))=1,"SIM","NÃO"))</f>
      </c>
      <c r="P308" s="232">
        <f>IF($A308="","",$A308-WEEKDAY($A308,2)+5)</f>
      </c>
    </row>
    <row r="309">
      <c r="A309" s="220" t="n"/>
      <c r="B309" s="218" t="n"/>
      <c r="C309" s="218" t="n"/>
      <c r="D309" s="218" t="n"/>
      <c r="E309" s="218" t="n"/>
      <c r="F309" s="328" t="n"/>
      <c r="G309" s="218" t="n"/>
      <c r="H309" s="218" t="n"/>
      <c r="I309" s="218" t="n"/>
      <c r="J309" s="218" t="n"/>
      <c r="K309" s="218" t="n"/>
      <c r="L309" s="218" t="n"/>
      <c r="M309" s="218" t="n"/>
      <c r="N309" s="218" t="n"/>
      <c r="O309" s="222">
        <f>IF($A309="","",IF(IF($B309="343",NETWORKDAYS($A309,$A309,FERIADOS_343),IF($B309="281",NETWORKDAYS($A309,$A309,FERIADOS_281),NETWORKDAYS($A309,$A309,FERIADOS_342)))=1,"SIM","NÃO"))</f>
      </c>
      <c r="P309" s="232">
        <f>IF($A309="","",$A309-WEEKDAY($A309,2)+5)</f>
      </c>
    </row>
    <row r="310">
      <c r="A310" s="220" t="n"/>
      <c r="B310" s="218" t="n"/>
      <c r="C310" s="218" t="n"/>
      <c r="D310" s="218" t="n"/>
      <c r="E310" s="218" t="n"/>
      <c r="F310" s="328" t="n"/>
      <c r="G310" s="218" t="n"/>
      <c r="H310" s="218" t="n"/>
      <c r="I310" s="218" t="n"/>
      <c r="J310" s="218" t="n"/>
      <c r="K310" s="218" t="n"/>
      <c r="L310" s="218" t="n"/>
      <c r="M310" s="218" t="n"/>
      <c r="N310" s="218" t="n"/>
      <c r="O310" s="222">
        <f>IF($A310="","",IF(IF($B310="343",NETWORKDAYS($A310,$A310,FERIADOS_343),IF($B310="281",NETWORKDAYS($A310,$A310,FERIADOS_281),NETWORKDAYS($A310,$A310,FERIADOS_342)))=1,"SIM","NÃO"))</f>
      </c>
      <c r="P310" s="232">
        <f>IF($A310="","",$A310-WEEKDAY($A310,2)+5)</f>
      </c>
    </row>
    <row r="311">
      <c r="A311" s="220" t="n"/>
      <c r="B311" s="218" t="n"/>
      <c r="C311" s="218" t="n"/>
      <c r="D311" s="218" t="n"/>
      <c r="E311" s="218" t="n"/>
      <c r="F311" s="328" t="n"/>
      <c r="G311" s="218" t="n"/>
      <c r="H311" s="218" t="n"/>
      <c r="I311" s="218" t="n"/>
      <c r="J311" s="218" t="n"/>
      <c r="K311" s="218" t="n"/>
      <c r="L311" s="218" t="n"/>
      <c r="M311" s="218" t="n"/>
      <c r="N311" s="218" t="n"/>
      <c r="O311" s="222">
        <f>IF($A311="","",IF(IF($B311="343",NETWORKDAYS($A311,$A311,FERIADOS_343),IF($B311="281",NETWORKDAYS($A311,$A311,FERIADOS_281),NETWORKDAYS($A311,$A311,FERIADOS_342)))=1,"SIM","NÃO"))</f>
      </c>
      <c r="P311" s="232">
        <f>IF($A311="","",$A311-WEEKDAY($A311,2)+5)</f>
      </c>
    </row>
    <row r="312">
      <c r="A312" s="220" t="n"/>
      <c r="B312" s="218" t="n"/>
      <c r="C312" s="218" t="n"/>
      <c r="D312" s="218" t="n"/>
      <c r="E312" s="218" t="n"/>
      <c r="F312" s="328" t="n"/>
      <c r="G312" s="218" t="n"/>
      <c r="H312" s="218" t="n"/>
      <c r="I312" s="218" t="n"/>
      <c r="J312" s="218" t="n"/>
      <c r="K312" s="218" t="n"/>
      <c r="L312" s="218" t="n"/>
      <c r="M312" s="218" t="n"/>
      <c r="N312" s="218" t="n"/>
      <c r="O312" s="222">
        <f>IF($A312="","",IF(IF($B312="343",NETWORKDAYS($A312,$A312,FERIADOS_343),IF($B312="281",NETWORKDAYS($A312,$A312,FERIADOS_281),NETWORKDAYS($A312,$A312,FERIADOS_342)))=1,"SIM","NÃO"))</f>
      </c>
      <c r="P312" s="232">
        <f>IF($A312="","",$A312-WEEKDAY($A312,2)+5)</f>
      </c>
    </row>
    <row r="313">
      <c r="A313" s="220" t="n"/>
      <c r="B313" s="218" t="n"/>
      <c r="C313" s="218" t="n"/>
      <c r="D313" s="218" t="n"/>
      <c r="E313" s="218" t="n"/>
      <c r="F313" s="328" t="n"/>
      <c r="G313" s="218" t="n"/>
      <c r="H313" s="218" t="n"/>
      <c r="I313" s="218" t="n"/>
      <c r="J313" s="218" t="n"/>
      <c r="K313" s="218" t="n"/>
      <c r="L313" s="218" t="n"/>
      <c r="M313" s="218" t="n"/>
      <c r="N313" s="218" t="n"/>
      <c r="O313" s="222">
        <f>IF($A313="","",IF(IF($B313="343",NETWORKDAYS($A313,$A313,FERIADOS_343),IF($B313="281",NETWORKDAYS($A313,$A313,FERIADOS_281),NETWORKDAYS($A313,$A313,FERIADOS_342)))=1,"SIM","NÃO"))</f>
      </c>
      <c r="P313" s="232">
        <f>IF($A313="","",$A313-WEEKDAY($A313,2)+5)</f>
      </c>
    </row>
    <row r="314">
      <c r="A314" s="220" t="n"/>
      <c r="B314" s="218" t="n"/>
      <c r="C314" s="218" t="n"/>
      <c r="D314" s="218" t="n"/>
      <c r="E314" s="218" t="n"/>
      <c r="F314" s="328" t="n"/>
      <c r="G314" s="218" t="n"/>
      <c r="H314" s="218" t="n"/>
      <c r="I314" s="218" t="n"/>
      <c r="J314" s="218" t="n"/>
      <c r="K314" s="218" t="n"/>
      <c r="L314" s="218" t="n"/>
      <c r="M314" s="218" t="n"/>
      <c r="N314" s="218" t="n"/>
      <c r="O314" s="222">
        <f>IF($A314="","",IF(IF($B314="343",NETWORKDAYS($A314,$A314,FERIADOS_343),IF($B314="281",NETWORKDAYS($A314,$A314,FERIADOS_281),NETWORKDAYS($A314,$A314,FERIADOS_342)))=1,"SIM","NÃO"))</f>
      </c>
      <c r="P314" s="232">
        <f>IF($A314="","",$A314-WEEKDAY($A314,2)+5)</f>
      </c>
    </row>
    <row r="315">
      <c r="A315" s="220" t="n"/>
      <c r="B315" s="218" t="n"/>
      <c r="C315" s="218" t="n"/>
      <c r="D315" s="218" t="n"/>
      <c r="E315" s="218" t="n"/>
      <c r="F315" s="328" t="n"/>
      <c r="G315" s="218" t="n"/>
      <c r="H315" s="218" t="n"/>
      <c r="I315" s="218" t="n"/>
      <c r="J315" s="218" t="n"/>
      <c r="K315" s="218" t="n"/>
      <c r="L315" s="218" t="n"/>
      <c r="M315" s="218" t="n"/>
      <c r="N315" s="218" t="n"/>
      <c r="O315" s="222">
        <f>IF($A315="","",IF(IF($B315="343",NETWORKDAYS($A315,$A315,FERIADOS_343),IF($B315="281",NETWORKDAYS($A315,$A315,FERIADOS_281),NETWORKDAYS($A315,$A315,FERIADOS_342)))=1,"SIM","NÃO"))</f>
      </c>
      <c r="P315" s="232">
        <f>IF($A315="","",$A315-WEEKDAY($A315,2)+5)</f>
      </c>
    </row>
    <row r="316">
      <c r="A316" s="220" t="n"/>
      <c r="B316" s="218" t="n"/>
      <c r="C316" s="218" t="n"/>
      <c r="D316" s="218" t="n"/>
      <c r="E316" s="218" t="n"/>
      <c r="F316" s="328" t="n"/>
      <c r="G316" s="218" t="n"/>
      <c r="H316" s="218" t="n"/>
      <c r="I316" s="218" t="n"/>
      <c r="J316" s="218" t="n"/>
      <c r="K316" s="218" t="n"/>
      <c r="L316" s="218" t="n"/>
      <c r="M316" s="218" t="n"/>
      <c r="N316" s="218" t="n"/>
      <c r="O316" s="222">
        <f>IF($A316="","",IF(IF($B316="343",NETWORKDAYS($A316,$A316,FERIADOS_343),IF($B316="281",NETWORKDAYS($A316,$A316,FERIADOS_281),NETWORKDAYS($A316,$A316,FERIADOS_342)))=1,"SIM","NÃO"))</f>
      </c>
      <c r="P316" s="232">
        <f>IF($A316="","",$A316-WEEKDAY($A316,2)+5)</f>
      </c>
    </row>
    <row r="317">
      <c r="A317" s="220" t="n"/>
      <c r="B317" s="218" t="n"/>
      <c r="C317" s="218" t="n"/>
      <c r="D317" s="218" t="n"/>
      <c r="E317" s="218" t="n"/>
      <c r="F317" s="328" t="n"/>
      <c r="G317" s="218" t="n"/>
      <c r="H317" s="218" t="n"/>
      <c r="I317" s="218" t="n"/>
      <c r="J317" s="218" t="n"/>
      <c r="K317" s="218" t="n"/>
      <c r="L317" s="218" t="n"/>
      <c r="M317" s="218" t="n"/>
      <c r="N317" s="218" t="n"/>
      <c r="O317" s="222">
        <f>IF($A317="","",IF(IF($B317="343",NETWORKDAYS($A317,$A317,FERIADOS_343),IF($B317="281",NETWORKDAYS($A317,$A317,FERIADOS_281),NETWORKDAYS($A317,$A317,FERIADOS_342)))=1,"SIM","NÃO"))</f>
      </c>
      <c r="P317" s="232">
        <f>IF($A317="","",$A317-WEEKDAY($A317,2)+5)</f>
      </c>
    </row>
    <row r="318">
      <c r="A318" s="220" t="n"/>
      <c r="B318" s="218" t="n"/>
      <c r="C318" s="218" t="n"/>
      <c r="D318" s="218" t="n"/>
      <c r="E318" s="218" t="n"/>
      <c r="F318" s="328" t="n"/>
      <c r="G318" s="218" t="n"/>
      <c r="H318" s="218" t="n"/>
      <c r="I318" s="218" t="n"/>
      <c r="J318" s="218" t="n"/>
      <c r="K318" s="218" t="n"/>
      <c r="L318" s="218" t="n"/>
      <c r="M318" s="218" t="n"/>
      <c r="N318" s="218" t="n"/>
      <c r="O318" s="222">
        <f>IF($A318="","",IF(IF($B318="343",NETWORKDAYS($A318,$A318,FERIADOS_343),IF($B318="281",NETWORKDAYS($A318,$A318,FERIADOS_281),NETWORKDAYS($A318,$A318,FERIADOS_342)))=1,"SIM","NÃO"))</f>
      </c>
      <c r="P318" s="232">
        <f>IF($A318="","",$A318-WEEKDAY($A318,2)+5)</f>
      </c>
    </row>
    <row r="319">
      <c r="A319" s="220" t="n"/>
      <c r="B319" s="218" t="n"/>
      <c r="C319" s="218" t="n"/>
      <c r="D319" s="218" t="n"/>
      <c r="E319" s="218" t="n"/>
      <c r="F319" s="328" t="n"/>
      <c r="G319" s="218" t="n"/>
      <c r="H319" s="218" t="n"/>
      <c r="I319" s="218" t="n"/>
      <c r="J319" s="218" t="n"/>
      <c r="K319" s="218" t="n"/>
      <c r="L319" s="218" t="n"/>
      <c r="M319" s="218" t="n"/>
      <c r="N319" s="218" t="n"/>
      <c r="O319" s="222">
        <f>IF($A319="","",IF(IF($B319="343",NETWORKDAYS($A319,$A319,FERIADOS_343),IF($B319="281",NETWORKDAYS($A319,$A319,FERIADOS_281),NETWORKDAYS($A319,$A319,FERIADOS_342)))=1,"SIM","NÃO"))</f>
      </c>
      <c r="P319" s="232">
        <f>IF($A319="","",$A319-WEEKDAY($A319,2)+5)</f>
      </c>
    </row>
    <row r="320">
      <c r="A320" s="220" t="n"/>
      <c r="B320" s="218" t="n"/>
      <c r="C320" s="218" t="n"/>
      <c r="D320" s="218" t="n"/>
      <c r="E320" s="218" t="n"/>
      <c r="F320" s="328" t="n"/>
      <c r="G320" s="218" t="n"/>
      <c r="H320" s="218" t="n"/>
      <c r="I320" s="218" t="n"/>
      <c r="J320" s="218" t="n"/>
      <c r="K320" s="218" t="n"/>
      <c r="L320" s="218" t="n"/>
      <c r="M320" s="218" t="n"/>
      <c r="N320" s="218" t="n"/>
      <c r="O320" s="222">
        <f>IF($A320="","",IF(IF($B320="343",NETWORKDAYS($A320,$A320,FERIADOS_343),IF($B320="281",NETWORKDAYS($A320,$A320,FERIADOS_281),NETWORKDAYS($A320,$A320,FERIADOS_342)))=1,"SIM","NÃO"))</f>
      </c>
      <c r="P320" s="232">
        <f>IF($A320="","",$A320-WEEKDAY($A320,2)+5)</f>
      </c>
    </row>
    <row r="321">
      <c r="A321" s="220" t="n"/>
      <c r="B321" s="218" t="n"/>
      <c r="C321" s="218" t="n"/>
      <c r="D321" s="218" t="n"/>
      <c r="E321" s="218" t="n"/>
      <c r="F321" s="328" t="n"/>
      <c r="G321" s="218" t="n"/>
      <c r="H321" s="218" t="n"/>
      <c r="I321" s="218" t="n"/>
      <c r="J321" s="218" t="n"/>
      <c r="K321" s="218" t="n"/>
      <c r="L321" s="218" t="n"/>
      <c r="M321" s="218" t="n"/>
      <c r="N321" s="218" t="n"/>
      <c r="O321" s="222">
        <f>IF($A321="","",IF(IF($B321="343",NETWORKDAYS($A321,$A321,FERIADOS_343),IF($B321="281",NETWORKDAYS($A321,$A321,FERIADOS_281),NETWORKDAYS($A321,$A321,FERIADOS_342)))=1,"SIM","NÃO"))</f>
      </c>
      <c r="P321" s="232">
        <f>IF($A321="","",$A321-WEEKDAY($A321,2)+5)</f>
      </c>
    </row>
    <row r="322">
      <c r="A322" s="220" t="n"/>
      <c r="B322" s="218" t="n"/>
      <c r="C322" s="218" t="n"/>
      <c r="D322" s="218" t="n"/>
      <c r="E322" s="218" t="n"/>
      <c r="F322" s="328" t="n"/>
      <c r="G322" s="218" t="n"/>
      <c r="H322" s="218" t="n"/>
      <c r="I322" s="218" t="n"/>
      <c r="J322" s="218" t="n"/>
      <c r="K322" s="218" t="n"/>
      <c r="L322" s="218" t="n"/>
      <c r="M322" s="218" t="n"/>
      <c r="N322" s="218" t="n"/>
      <c r="O322" s="222">
        <f>IF($A322="","",IF(IF($B322="343",NETWORKDAYS($A322,$A322,FERIADOS_343),IF($B322="281",NETWORKDAYS($A322,$A322,FERIADOS_281),NETWORKDAYS($A322,$A322,FERIADOS_342)))=1,"SIM","NÃO"))</f>
      </c>
      <c r="P322" s="232">
        <f>IF($A322="","",$A322-WEEKDAY($A322,2)+5)</f>
      </c>
    </row>
    <row r="323">
      <c r="A323" s="220" t="n"/>
      <c r="B323" s="218" t="n"/>
      <c r="C323" s="218" t="n"/>
      <c r="D323" s="218" t="n"/>
      <c r="E323" s="218" t="n"/>
      <c r="F323" s="328" t="n"/>
      <c r="G323" s="218" t="n"/>
      <c r="H323" s="218" t="n"/>
      <c r="I323" s="218" t="n"/>
      <c r="J323" s="218" t="n"/>
      <c r="K323" s="218" t="n"/>
      <c r="L323" s="218" t="n"/>
      <c r="M323" s="218" t="n"/>
      <c r="N323" s="218" t="n"/>
      <c r="O323" s="222">
        <f>IF($A323="","",IF(IF($B323="343",NETWORKDAYS($A323,$A323,FERIADOS_343),IF($B323="281",NETWORKDAYS($A323,$A323,FERIADOS_281),NETWORKDAYS($A323,$A323,FERIADOS_342)))=1,"SIM","NÃO"))</f>
      </c>
      <c r="P323" s="232">
        <f>IF($A323="","",$A323-WEEKDAY($A323,2)+5)</f>
      </c>
    </row>
    <row r="324">
      <c r="A324" s="220" t="n"/>
      <c r="B324" s="218" t="n"/>
      <c r="C324" s="218" t="n"/>
      <c r="D324" s="218" t="n"/>
      <c r="E324" s="218" t="n"/>
      <c r="F324" s="328" t="n"/>
      <c r="G324" s="218" t="n"/>
      <c r="H324" s="218" t="n"/>
      <c r="I324" s="218" t="n"/>
      <c r="J324" s="218" t="n"/>
      <c r="K324" s="218" t="n"/>
      <c r="L324" s="218" t="n"/>
      <c r="M324" s="218" t="n"/>
      <c r="N324" s="218" t="n"/>
      <c r="O324" s="222">
        <f>IF($A324="","",IF(IF($B324="343",NETWORKDAYS($A324,$A324,FERIADOS_343),IF($B324="281",NETWORKDAYS($A324,$A324,FERIADOS_281),NETWORKDAYS($A324,$A324,FERIADOS_342)))=1,"SIM","NÃO"))</f>
      </c>
      <c r="P324" s="232">
        <f>IF($A324="","",$A324-WEEKDAY($A324,2)+5)</f>
      </c>
    </row>
    <row r="325">
      <c r="A325" s="220" t="n"/>
      <c r="B325" s="218" t="n"/>
      <c r="C325" s="218" t="n"/>
      <c r="D325" s="218" t="n"/>
      <c r="E325" s="218" t="n"/>
      <c r="F325" s="328" t="n"/>
      <c r="G325" s="218" t="n"/>
      <c r="H325" s="218" t="n"/>
      <c r="I325" s="218" t="n"/>
      <c r="J325" s="218" t="n"/>
      <c r="K325" s="218" t="n"/>
      <c r="L325" s="218" t="n"/>
      <c r="M325" s="218" t="n"/>
      <c r="N325" s="218" t="n"/>
      <c r="O325" s="222">
        <f>IF($A325="","",IF(IF($B325="343",NETWORKDAYS($A325,$A325,FERIADOS_343),IF($B325="281",NETWORKDAYS($A325,$A325,FERIADOS_281),NETWORKDAYS($A325,$A325,FERIADOS_342)))=1,"SIM","NÃO"))</f>
      </c>
      <c r="P325" s="232">
        <f>IF($A325="","",$A325-WEEKDAY($A325,2)+5)</f>
      </c>
    </row>
    <row r="326">
      <c r="A326" s="220" t="n"/>
      <c r="B326" s="218" t="n"/>
      <c r="C326" s="218" t="n"/>
      <c r="D326" s="218" t="n"/>
      <c r="E326" s="218" t="n"/>
      <c r="F326" s="328" t="n"/>
      <c r="G326" s="218" t="n"/>
      <c r="H326" s="218" t="n"/>
      <c r="I326" s="218" t="n"/>
      <c r="J326" s="218" t="n"/>
      <c r="K326" s="218" t="n"/>
      <c r="L326" s="218" t="n"/>
      <c r="M326" s="218" t="n"/>
      <c r="N326" s="218" t="n"/>
      <c r="O326" s="222">
        <f>IF($A326="","",IF(IF($B326="343",NETWORKDAYS($A326,$A326,FERIADOS_343),IF($B326="281",NETWORKDAYS($A326,$A326,FERIADOS_281),NETWORKDAYS($A326,$A326,FERIADOS_342)))=1,"SIM","NÃO"))</f>
      </c>
      <c r="P326" s="232">
        <f>IF($A326="","",$A326-WEEKDAY($A326,2)+5)</f>
      </c>
    </row>
    <row r="327">
      <c r="A327" s="220" t="n"/>
      <c r="B327" s="218" t="n"/>
      <c r="C327" s="218" t="n"/>
      <c r="D327" s="218" t="n"/>
      <c r="E327" s="218" t="n"/>
      <c r="F327" s="328" t="n"/>
      <c r="G327" s="218" t="n"/>
      <c r="H327" s="218" t="n"/>
      <c r="I327" s="218" t="n"/>
      <c r="J327" s="218" t="n"/>
      <c r="K327" s="218" t="n"/>
      <c r="L327" s="218" t="n"/>
      <c r="M327" s="218" t="n"/>
      <c r="N327" s="218" t="n"/>
      <c r="O327" s="222">
        <f>IF($A327="","",IF(IF($B327="343",NETWORKDAYS($A327,$A327,FERIADOS_343),IF($B327="281",NETWORKDAYS($A327,$A327,FERIADOS_281),NETWORKDAYS($A327,$A327,FERIADOS_342)))=1,"SIM","NÃO"))</f>
      </c>
      <c r="P327" s="232">
        <f>IF($A327="","",$A327-WEEKDAY($A327,2)+5)</f>
      </c>
    </row>
    <row r="328">
      <c r="A328" s="220" t="n"/>
      <c r="B328" s="218" t="n"/>
      <c r="C328" s="218" t="n"/>
      <c r="D328" s="218" t="n"/>
      <c r="E328" s="218" t="n"/>
      <c r="F328" s="328" t="n"/>
      <c r="G328" s="218" t="n"/>
      <c r="H328" s="218" t="n"/>
      <c r="I328" s="218" t="n"/>
      <c r="J328" s="218" t="n"/>
      <c r="K328" s="218" t="n"/>
      <c r="L328" s="218" t="n"/>
      <c r="M328" s="218" t="n"/>
      <c r="N328" s="218" t="n"/>
      <c r="O328" s="222">
        <f>IF($A328="","",IF(IF($B328="343",NETWORKDAYS($A328,$A328,FERIADOS_343),IF($B328="281",NETWORKDAYS($A328,$A328,FERIADOS_281),NETWORKDAYS($A328,$A328,FERIADOS_342)))=1,"SIM","NÃO"))</f>
      </c>
      <c r="P328" s="232">
        <f>IF($A328="","",$A328-WEEKDAY($A328,2)+5)</f>
      </c>
    </row>
    <row r="329">
      <c r="A329" s="220" t="n"/>
      <c r="B329" s="218" t="n"/>
      <c r="C329" s="218" t="n"/>
      <c r="D329" s="218" t="n"/>
      <c r="E329" s="218" t="n"/>
      <c r="F329" s="328" t="n"/>
      <c r="G329" s="218" t="n"/>
      <c r="H329" s="218" t="n"/>
      <c r="I329" s="218" t="n"/>
      <c r="J329" s="218" t="n"/>
      <c r="K329" s="218" t="n"/>
      <c r="L329" s="218" t="n"/>
      <c r="M329" s="218" t="n"/>
      <c r="N329" s="218" t="n"/>
      <c r="O329" s="222">
        <f>IF($A329="","",IF(IF($B329="343",NETWORKDAYS($A329,$A329,FERIADOS_343),IF($B329="281",NETWORKDAYS($A329,$A329,FERIADOS_281),NETWORKDAYS($A329,$A329,FERIADOS_342)))=1,"SIM","NÃO"))</f>
      </c>
      <c r="P329" s="232">
        <f>IF($A329="","",$A329-WEEKDAY($A329,2)+5)</f>
      </c>
    </row>
    <row r="330">
      <c r="A330" s="220" t="n"/>
      <c r="B330" s="218" t="n"/>
      <c r="C330" s="218" t="n"/>
      <c r="D330" s="218" t="n"/>
      <c r="E330" s="218" t="n"/>
      <c r="F330" s="328" t="n"/>
      <c r="G330" s="218" t="n"/>
      <c r="H330" s="218" t="n"/>
      <c r="I330" s="218" t="n"/>
      <c r="J330" s="218" t="n"/>
      <c r="K330" s="218" t="n"/>
      <c r="L330" s="218" t="n"/>
      <c r="M330" s="218" t="n"/>
      <c r="N330" s="218" t="n"/>
      <c r="O330" s="222">
        <f>IF($A330="","",IF(IF($B330="343",NETWORKDAYS($A330,$A330,FERIADOS_343),IF($B330="281",NETWORKDAYS($A330,$A330,FERIADOS_281),NETWORKDAYS($A330,$A330,FERIADOS_342)))=1,"SIM","NÃO"))</f>
      </c>
      <c r="P330" s="232">
        <f>IF($A330="","",$A330-WEEKDAY($A330,2)+5)</f>
      </c>
    </row>
    <row r="331">
      <c r="A331" s="220" t="n"/>
      <c r="B331" s="218" t="n"/>
      <c r="C331" s="218" t="n"/>
      <c r="D331" s="218" t="n"/>
      <c r="E331" s="218" t="n"/>
      <c r="F331" s="328" t="n"/>
      <c r="G331" s="218" t="n"/>
      <c r="H331" s="218" t="n"/>
      <c r="I331" s="218" t="n"/>
      <c r="J331" s="218" t="n"/>
      <c r="K331" s="218" t="n"/>
      <c r="L331" s="218" t="n"/>
      <c r="M331" s="218" t="n"/>
      <c r="N331" s="218" t="n"/>
      <c r="O331" s="222">
        <f>IF($A331="","",IF(IF($B331="343",NETWORKDAYS($A331,$A331,FERIADOS_343),IF($B331="281",NETWORKDAYS($A331,$A331,FERIADOS_281),NETWORKDAYS($A331,$A331,FERIADOS_342)))=1,"SIM","NÃO"))</f>
      </c>
      <c r="P331" s="232">
        <f>IF($A331="","",$A331-WEEKDAY($A331,2)+5)</f>
      </c>
    </row>
    <row r="332">
      <c r="A332" s="220" t="n"/>
      <c r="B332" s="218" t="n"/>
      <c r="C332" s="218" t="n"/>
      <c r="D332" s="218" t="n"/>
      <c r="E332" s="218" t="n"/>
      <c r="F332" s="328" t="n"/>
      <c r="G332" s="218" t="n"/>
      <c r="H332" s="218" t="n"/>
      <c r="I332" s="218" t="n"/>
      <c r="J332" s="218" t="n"/>
      <c r="K332" s="218" t="n"/>
      <c r="L332" s="218" t="n"/>
      <c r="M332" s="218" t="n"/>
      <c r="N332" s="218" t="n"/>
      <c r="O332" s="222">
        <f>IF($A332="","",IF(IF($B332="343",NETWORKDAYS($A332,$A332,FERIADOS_343),IF($B332="281",NETWORKDAYS($A332,$A332,FERIADOS_281),NETWORKDAYS($A332,$A332,FERIADOS_342)))=1,"SIM","NÃO"))</f>
      </c>
      <c r="P332" s="232">
        <f>IF($A332="","",$A332-WEEKDAY($A332,2)+5)</f>
      </c>
    </row>
    <row r="333">
      <c r="A333" s="220" t="n"/>
      <c r="B333" s="218" t="n"/>
      <c r="C333" s="218" t="n"/>
      <c r="D333" s="218" t="n"/>
      <c r="E333" s="218" t="n"/>
      <c r="F333" s="328" t="n"/>
      <c r="G333" s="218" t="n"/>
      <c r="H333" s="218" t="n"/>
      <c r="I333" s="218" t="n"/>
      <c r="J333" s="218" t="n"/>
      <c r="K333" s="218" t="n"/>
      <c r="L333" s="218" t="n"/>
      <c r="M333" s="218" t="n"/>
      <c r="N333" s="218" t="n"/>
      <c r="O333" s="222">
        <f>IF($A333="","",IF(IF($B333="343",NETWORKDAYS($A333,$A333,FERIADOS_343),IF($B333="281",NETWORKDAYS($A333,$A333,FERIADOS_281),NETWORKDAYS($A333,$A333,FERIADOS_342)))=1,"SIM","NÃO"))</f>
      </c>
      <c r="P333" s="232">
        <f>IF($A333="","",$A333-WEEKDAY($A333,2)+5)</f>
      </c>
    </row>
    <row r="334">
      <c r="A334" s="220" t="n"/>
      <c r="B334" s="218" t="n"/>
      <c r="C334" s="218" t="n"/>
      <c r="D334" s="218" t="n"/>
      <c r="E334" s="218" t="n"/>
      <c r="F334" s="328" t="n"/>
      <c r="G334" s="218" t="n"/>
      <c r="H334" s="218" t="n"/>
      <c r="I334" s="218" t="n"/>
      <c r="J334" s="218" t="n"/>
      <c r="K334" s="218" t="n"/>
      <c r="L334" s="218" t="n"/>
      <c r="M334" s="218" t="n"/>
      <c r="N334" s="218" t="n"/>
      <c r="O334" s="222">
        <f>IF($A334="","",IF(IF($B334="343",NETWORKDAYS($A334,$A334,FERIADOS_343),IF($B334="281",NETWORKDAYS($A334,$A334,FERIADOS_281),NETWORKDAYS($A334,$A334,FERIADOS_342)))=1,"SIM","NÃO"))</f>
      </c>
      <c r="P334" s="232">
        <f>IF($A334="","",$A334-WEEKDAY($A334,2)+5)</f>
      </c>
    </row>
    <row r="335">
      <c r="A335" s="220" t="n"/>
      <c r="B335" s="218" t="n"/>
      <c r="C335" s="218" t="n"/>
      <c r="D335" s="218" t="n"/>
      <c r="E335" s="218" t="n"/>
      <c r="F335" s="328" t="n"/>
      <c r="G335" s="218" t="n"/>
      <c r="H335" s="218" t="n"/>
      <c r="I335" s="218" t="n"/>
      <c r="J335" s="218" t="n"/>
      <c r="K335" s="218" t="n"/>
      <c r="L335" s="218" t="n"/>
      <c r="M335" s="218" t="n"/>
      <c r="N335" s="218" t="n"/>
      <c r="O335" s="222">
        <f>IF($A335="","",IF(IF($B335="343",NETWORKDAYS($A335,$A335,FERIADOS_343),IF($B335="281",NETWORKDAYS($A335,$A335,FERIADOS_281),NETWORKDAYS($A335,$A335,FERIADOS_342)))=1,"SIM","NÃO"))</f>
      </c>
      <c r="P335" s="232">
        <f>IF($A335="","",$A335-WEEKDAY($A335,2)+5)</f>
      </c>
    </row>
    <row r="336">
      <c r="A336" s="220" t="n"/>
      <c r="B336" s="218" t="n"/>
      <c r="C336" s="218" t="n"/>
      <c r="D336" s="218" t="n"/>
      <c r="E336" s="218" t="n"/>
      <c r="F336" s="328" t="n"/>
      <c r="G336" s="218" t="n"/>
      <c r="H336" s="218" t="n"/>
      <c r="I336" s="218" t="n"/>
      <c r="J336" s="218" t="n"/>
      <c r="K336" s="218" t="n"/>
      <c r="L336" s="218" t="n"/>
      <c r="M336" s="218" t="n"/>
      <c r="N336" s="218" t="n"/>
      <c r="O336" s="222">
        <f>IF($A336="","",IF(IF($B336="343",NETWORKDAYS($A336,$A336,FERIADOS_343),IF($B336="281",NETWORKDAYS($A336,$A336,FERIADOS_281),NETWORKDAYS($A336,$A336,FERIADOS_342)))=1,"SIM","NÃO"))</f>
      </c>
      <c r="P336" s="232">
        <f>IF($A336="","",$A336-WEEKDAY($A336,2)+5)</f>
      </c>
    </row>
    <row r="337">
      <c r="A337" s="220" t="n"/>
      <c r="B337" s="218" t="n"/>
      <c r="C337" s="218" t="n"/>
      <c r="D337" s="218" t="n"/>
      <c r="E337" s="218" t="n"/>
      <c r="F337" s="328" t="n"/>
      <c r="G337" s="218" t="n"/>
      <c r="H337" s="218" t="n"/>
      <c r="I337" s="218" t="n"/>
      <c r="J337" s="218" t="n"/>
      <c r="K337" s="218" t="n"/>
      <c r="L337" s="218" t="n"/>
      <c r="M337" s="218" t="n"/>
      <c r="N337" s="218" t="n"/>
      <c r="O337" s="222">
        <f>IF($A337="","",IF(IF($B337="343",NETWORKDAYS($A337,$A337,FERIADOS_343),IF($B337="281",NETWORKDAYS($A337,$A337,FERIADOS_281),NETWORKDAYS($A337,$A337,FERIADOS_342)))=1,"SIM","NÃO"))</f>
      </c>
      <c r="P337" s="232">
        <f>IF($A337="","",$A337-WEEKDAY($A337,2)+5)</f>
      </c>
    </row>
    <row r="338">
      <c r="A338" s="220" t="n"/>
      <c r="B338" s="218" t="n"/>
      <c r="C338" s="218" t="n"/>
      <c r="D338" s="218" t="n"/>
      <c r="E338" s="218" t="n"/>
      <c r="F338" s="328" t="n"/>
      <c r="G338" s="218" t="n"/>
      <c r="H338" s="218" t="n"/>
      <c r="I338" s="218" t="n"/>
      <c r="J338" s="218" t="n"/>
      <c r="K338" s="218" t="n"/>
      <c r="L338" s="218" t="n"/>
      <c r="M338" s="218" t="n"/>
      <c r="N338" s="218" t="n"/>
      <c r="O338" s="222">
        <f>IF($A338="","",IF(IF($B338="343",NETWORKDAYS($A338,$A338,FERIADOS_343),IF($B338="281",NETWORKDAYS($A338,$A338,FERIADOS_281),NETWORKDAYS($A338,$A338,FERIADOS_342)))=1,"SIM","NÃO"))</f>
      </c>
      <c r="P338" s="232">
        <f>IF($A338="","",$A338-WEEKDAY($A338,2)+5)</f>
      </c>
    </row>
    <row r="339">
      <c r="A339" s="220" t="n"/>
      <c r="B339" s="218" t="n"/>
      <c r="C339" s="218" t="n"/>
      <c r="D339" s="218" t="n"/>
      <c r="E339" s="218" t="n"/>
      <c r="F339" s="328" t="n"/>
      <c r="G339" s="218" t="n"/>
      <c r="H339" s="218" t="n"/>
      <c r="I339" s="218" t="n"/>
      <c r="J339" s="218" t="n"/>
      <c r="K339" s="218" t="n"/>
      <c r="L339" s="218" t="n"/>
      <c r="M339" s="218" t="n"/>
      <c r="N339" s="218" t="n"/>
      <c r="O339" s="222">
        <f>IF($A339="","",IF(IF($B339="343",NETWORKDAYS($A339,$A339,FERIADOS_343),IF($B339="281",NETWORKDAYS($A339,$A339,FERIADOS_281),NETWORKDAYS($A339,$A339,FERIADOS_342)))=1,"SIM","NÃO"))</f>
      </c>
      <c r="P339" s="232">
        <f>IF($A339="","",$A339-WEEKDAY($A339,2)+5)</f>
      </c>
    </row>
    <row r="340">
      <c r="A340" s="220" t="n"/>
      <c r="B340" s="218" t="n"/>
      <c r="C340" s="218" t="n"/>
      <c r="D340" s="218" t="n"/>
      <c r="E340" s="218" t="n"/>
      <c r="F340" s="328" t="n"/>
      <c r="G340" s="218" t="n"/>
      <c r="H340" s="218" t="n"/>
      <c r="I340" s="218" t="n"/>
      <c r="J340" s="218" t="n"/>
      <c r="K340" s="218" t="n"/>
      <c r="L340" s="218" t="n"/>
      <c r="M340" s="218" t="n"/>
      <c r="N340" s="218" t="n"/>
      <c r="O340" s="222">
        <f>IF($A340="","",IF(IF($B340="343",NETWORKDAYS($A340,$A340,FERIADOS_343),IF($B340="281",NETWORKDAYS($A340,$A340,FERIADOS_281),NETWORKDAYS($A340,$A340,FERIADOS_342)))=1,"SIM","NÃO"))</f>
      </c>
      <c r="P340" s="232">
        <f>IF($A340="","",$A340-WEEKDAY($A340,2)+5)</f>
      </c>
    </row>
    <row r="341">
      <c r="A341" s="220" t="n"/>
      <c r="B341" s="218" t="n"/>
      <c r="C341" s="218" t="n"/>
      <c r="D341" s="218" t="n"/>
      <c r="E341" s="218" t="n"/>
      <c r="F341" s="328" t="n"/>
      <c r="G341" s="218" t="n"/>
      <c r="H341" s="218" t="n"/>
      <c r="I341" s="218" t="n"/>
      <c r="J341" s="218" t="n"/>
      <c r="K341" s="218" t="n"/>
      <c r="L341" s="218" t="n"/>
      <c r="M341" s="218" t="n"/>
      <c r="N341" s="218" t="n"/>
      <c r="O341" s="222">
        <f>IF($A341="","",IF(IF($B341="343",NETWORKDAYS($A341,$A341,FERIADOS_343),IF($B341="281",NETWORKDAYS($A341,$A341,FERIADOS_281),NETWORKDAYS($A341,$A341,FERIADOS_342)))=1,"SIM","NÃO"))</f>
      </c>
      <c r="P341" s="232">
        <f>IF($A341="","",$A341-WEEKDAY($A341,2)+5)</f>
      </c>
    </row>
    <row r="342">
      <c r="A342" s="220" t="n"/>
      <c r="B342" s="218" t="n"/>
      <c r="C342" s="218" t="n"/>
      <c r="D342" s="218" t="n"/>
      <c r="E342" s="218" t="n"/>
      <c r="F342" s="328" t="n"/>
      <c r="G342" s="218" t="n"/>
      <c r="H342" s="218" t="n"/>
      <c r="I342" s="218" t="n"/>
      <c r="J342" s="218" t="n"/>
      <c r="K342" s="218" t="n"/>
      <c r="L342" s="218" t="n"/>
      <c r="M342" s="218" t="n"/>
      <c r="N342" s="218" t="n"/>
      <c r="O342" s="222">
        <f>IF($A342="","",IF(IF($B342="343",NETWORKDAYS($A342,$A342,FERIADOS_343),IF($B342="281",NETWORKDAYS($A342,$A342,FERIADOS_281),NETWORKDAYS($A342,$A342,FERIADOS_342)))=1,"SIM","NÃO"))</f>
      </c>
      <c r="P342" s="232">
        <f>IF($A342="","",$A342-WEEKDAY($A342,2)+5)</f>
      </c>
    </row>
    <row r="343">
      <c r="A343" s="220" t="n"/>
      <c r="B343" s="218" t="n"/>
      <c r="C343" s="218" t="n"/>
      <c r="D343" s="218" t="n"/>
      <c r="E343" s="218" t="n"/>
      <c r="F343" s="328" t="n"/>
      <c r="G343" s="218" t="n"/>
      <c r="H343" s="218" t="n"/>
      <c r="I343" s="218" t="n"/>
      <c r="J343" s="218" t="n"/>
      <c r="K343" s="218" t="n"/>
      <c r="L343" s="218" t="n"/>
      <c r="M343" s="218" t="n"/>
      <c r="N343" s="218" t="n"/>
      <c r="O343" s="222">
        <f>IF($A343="","",IF(IF($B343="343",NETWORKDAYS($A343,$A343,FERIADOS_343),IF($B343="281",NETWORKDAYS($A343,$A343,FERIADOS_281),NETWORKDAYS($A343,$A343,FERIADOS_342)))=1,"SIM","NÃO"))</f>
      </c>
      <c r="P343" s="232">
        <f>IF($A343="","",$A343-WEEKDAY($A343,2)+5)</f>
      </c>
    </row>
    <row r="344">
      <c r="A344" s="220" t="n"/>
      <c r="B344" s="218" t="n"/>
      <c r="C344" s="218" t="n"/>
      <c r="D344" s="218" t="n"/>
      <c r="E344" s="218" t="n"/>
      <c r="F344" s="328" t="n"/>
      <c r="G344" s="218" t="n"/>
      <c r="H344" s="218" t="n"/>
      <c r="I344" s="218" t="n"/>
      <c r="J344" s="218" t="n"/>
      <c r="K344" s="218" t="n"/>
      <c r="L344" s="218" t="n"/>
      <c r="M344" s="218" t="n"/>
      <c r="N344" s="218" t="n"/>
      <c r="O344" s="222">
        <f>IF($A344="","",IF(IF($B344="343",NETWORKDAYS($A344,$A344,FERIADOS_343),IF($B344="281",NETWORKDAYS($A344,$A344,FERIADOS_281),NETWORKDAYS($A344,$A344,FERIADOS_342)))=1,"SIM","NÃO"))</f>
      </c>
      <c r="P344" s="232">
        <f>IF($A344="","",$A344-WEEKDAY($A344,2)+5)</f>
      </c>
    </row>
    <row r="345">
      <c r="A345" s="220" t="n"/>
      <c r="B345" s="218" t="n"/>
      <c r="C345" s="218" t="n"/>
      <c r="D345" s="218" t="n"/>
      <c r="E345" s="218" t="n"/>
      <c r="F345" s="328" t="n"/>
      <c r="G345" s="218" t="n"/>
      <c r="H345" s="218" t="n"/>
      <c r="I345" s="218" t="n"/>
      <c r="J345" s="218" t="n"/>
      <c r="K345" s="218" t="n"/>
      <c r="L345" s="218" t="n"/>
      <c r="M345" s="218" t="n"/>
      <c r="N345" s="218" t="n"/>
      <c r="O345" s="222">
        <f>IF($A345="","",IF(IF($B345="343",NETWORKDAYS($A345,$A345,FERIADOS_343),IF($B345="281",NETWORKDAYS($A345,$A345,FERIADOS_281),NETWORKDAYS($A345,$A345,FERIADOS_342)))=1,"SIM","NÃO"))</f>
      </c>
      <c r="P345" s="232">
        <f>IF($A345="","",$A345-WEEKDAY($A345,2)+5)</f>
      </c>
    </row>
    <row r="346">
      <c r="A346" s="220" t="n"/>
      <c r="B346" s="218" t="n"/>
      <c r="C346" s="218" t="n"/>
      <c r="D346" s="218" t="n"/>
      <c r="E346" s="218" t="n"/>
      <c r="F346" s="328" t="n"/>
      <c r="G346" s="218" t="n"/>
      <c r="H346" s="218" t="n"/>
      <c r="I346" s="218" t="n"/>
      <c r="J346" s="218" t="n"/>
      <c r="K346" s="218" t="n"/>
      <c r="L346" s="218" t="n"/>
      <c r="M346" s="218" t="n"/>
      <c r="N346" s="218" t="n"/>
      <c r="O346" s="222">
        <f>IF($A346="","",IF(IF($B346="343",NETWORKDAYS($A346,$A346,FERIADOS_343),IF($B346="281",NETWORKDAYS($A346,$A346,FERIADOS_281),NETWORKDAYS($A346,$A346,FERIADOS_342)))=1,"SIM","NÃO"))</f>
      </c>
      <c r="P346" s="232">
        <f>IF($A346="","",$A346-WEEKDAY($A346,2)+5)</f>
      </c>
    </row>
    <row r="347">
      <c r="A347" s="220" t="n"/>
      <c r="B347" s="218" t="n"/>
      <c r="C347" s="218" t="n"/>
      <c r="D347" s="218" t="n"/>
      <c r="E347" s="218" t="n"/>
      <c r="F347" s="328" t="n"/>
      <c r="G347" s="218" t="n"/>
      <c r="H347" s="218" t="n"/>
      <c r="I347" s="218" t="n"/>
      <c r="J347" s="218" t="n"/>
      <c r="K347" s="218" t="n"/>
      <c r="L347" s="218" t="n"/>
      <c r="M347" s="218" t="n"/>
      <c r="N347" s="218" t="n"/>
      <c r="O347" s="222">
        <f>IF($A347="","",IF(IF($B347="343",NETWORKDAYS($A347,$A347,FERIADOS_343),IF($B347="281",NETWORKDAYS($A347,$A347,FERIADOS_281),NETWORKDAYS($A347,$A347,FERIADOS_342)))=1,"SIM","NÃO"))</f>
      </c>
      <c r="P347" s="232">
        <f>IF($A347="","",$A347-WEEKDAY($A347,2)+5)</f>
      </c>
    </row>
    <row r="348">
      <c r="A348" s="220" t="n"/>
      <c r="B348" s="218" t="n"/>
      <c r="C348" s="218" t="n"/>
      <c r="D348" s="218" t="n"/>
      <c r="E348" s="218" t="n"/>
      <c r="F348" s="328" t="n"/>
      <c r="G348" s="218" t="n"/>
      <c r="H348" s="218" t="n"/>
      <c r="I348" s="218" t="n"/>
      <c r="J348" s="218" t="n"/>
      <c r="K348" s="218" t="n"/>
      <c r="L348" s="218" t="n"/>
      <c r="M348" s="218" t="n"/>
      <c r="N348" s="218" t="n"/>
      <c r="O348" s="222">
        <f>IF($A348="","",IF(IF($B348="343",NETWORKDAYS($A348,$A348,FERIADOS_343),IF($B348="281",NETWORKDAYS($A348,$A348,FERIADOS_281),NETWORKDAYS($A348,$A348,FERIADOS_342)))=1,"SIM","NÃO"))</f>
      </c>
      <c r="P348" s="232">
        <f>IF($A348="","",$A348-WEEKDAY($A348,2)+5)</f>
      </c>
    </row>
    <row r="349">
      <c r="A349" s="220" t="n"/>
      <c r="B349" s="218" t="n"/>
      <c r="C349" s="218" t="n"/>
      <c r="D349" s="218" t="n"/>
      <c r="E349" s="218" t="n"/>
      <c r="F349" s="328" t="n"/>
      <c r="G349" s="218" t="n"/>
      <c r="H349" s="218" t="n"/>
      <c r="I349" s="218" t="n"/>
      <c r="J349" s="218" t="n"/>
      <c r="K349" s="218" t="n"/>
      <c r="L349" s="218" t="n"/>
      <c r="M349" s="218" t="n"/>
      <c r="N349" s="218" t="n"/>
      <c r="O349" s="222">
        <f>IF($A349="","",IF(IF($B349="343",NETWORKDAYS($A349,$A349,FERIADOS_343),IF($B349="281",NETWORKDAYS($A349,$A349,FERIADOS_281),NETWORKDAYS($A349,$A349,FERIADOS_342)))=1,"SIM","NÃO"))</f>
      </c>
      <c r="P349" s="232">
        <f>IF($A349="","",$A349-WEEKDAY($A349,2)+5)</f>
      </c>
    </row>
    <row r="350">
      <c r="A350" s="220" t="n"/>
      <c r="B350" s="218" t="n"/>
      <c r="C350" s="218" t="n"/>
      <c r="D350" s="218" t="n"/>
      <c r="E350" s="218" t="n"/>
      <c r="F350" s="328" t="n"/>
      <c r="G350" s="218" t="n"/>
      <c r="H350" s="218" t="n"/>
      <c r="I350" s="218" t="n"/>
      <c r="J350" s="218" t="n"/>
      <c r="K350" s="218" t="n"/>
      <c r="L350" s="218" t="n"/>
      <c r="M350" s="218" t="n"/>
      <c r="N350" s="218" t="n"/>
      <c r="O350" s="222">
        <f>IF($A350="","",IF(IF($B350="343",NETWORKDAYS($A350,$A350,FERIADOS_343),IF($B350="281",NETWORKDAYS($A350,$A350,FERIADOS_281),NETWORKDAYS($A350,$A350,FERIADOS_342)))=1,"SIM","NÃO"))</f>
      </c>
      <c r="P350" s="232">
        <f>IF($A350="","",$A350-WEEKDAY($A350,2)+5)</f>
      </c>
    </row>
    <row r="351">
      <c r="A351" s="220" t="n"/>
      <c r="B351" s="218" t="n"/>
      <c r="C351" s="218" t="n"/>
      <c r="D351" s="218" t="n"/>
      <c r="E351" s="218" t="n"/>
      <c r="F351" s="328" t="n"/>
      <c r="G351" s="218" t="n"/>
      <c r="H351" s="218" t="n"/>
      <c r="I351" s="218" t="n"/>
      <c r="J351" s="218" t="n"/>
      <c r="K351" s="218" t="n"/>
      <c r="L351" s="218" t="n"/>
      <c r="M351" s="218" t="n"/>
      <c r="N351" s="218" t="n"/>
      <c r="O351" s="222">
        <f>IF($A351="","",IF(IF($B351="343",NETWORKDAYS($A351,$A351,FERIADOS_343),IF($B351="281",NETWORKDAYS($A351,$A351,FERIADOS_281),NETWORKDAYS($A351,$A351,FERIADOS_342)))=1,"SIM","NÃO"))</f>
      </c>
      <c r="P351" s="232">
        <f>IF($A351="","",$A351-WEEKDAY($A351,2)+5)</f>
      </c>
    </row>
    <row r="352">
      <c r="A352" s="220" t="n"/>
      <c r="B352" s="218" t="n"/>
      <c r="C352" s="218" t="n"/>
      <c r="D352" s="218" t="n"/>
      <c r="E352" s="218" t="n"/>
      <c r="F352" s="328" t="n"/>
      <c r="G352" s="218" t="n"/>
      <c r="H352" s="218" t="n"/>
      <c r="I352" s="218" t="n"/>
      <c r="J352" s="218" t="n"/>
      <c r="K352" s="218" t="n"/>
      <c r="L352" s="218" t="n"/>
      <c r="M352" s="218" t="n"/>
      <c r="N352" s="218" t="n"/>
      <c r="O352" s="222">
        <f>IF($A352="","",IF(IF($B352="343",NETWORKDAYS($A352,$A352,FERIADOS_343),IF($B352="281",NETWORKDAYS($A352,$A352,FERIADOS_281),NETWORKDAYS($A352,$A352,FERIADOS_342)))=1,"SIM","NÃO"))</f>
      </c>
      <c r="P352" s="232">
        <f>IF($A352="","",$A352-WEEKDAY($A352,2)+5)</f>
      </c>
    </row>
    <row r="353">
      <c r="A353" s="220" t="n"/>
      <c r="B353" s="218" t="n"/>
      <c r="C353" s="218" t="n"/>
      <c r="D353" s="218" t="n"/>
      <c r="E353" s="218" t="n"/>
      <c r="F353" s="328" t="n"/>
      <c r="G353" s="218" t="n"/>
      <c r="H353" s="218" t="n"/>
      <c r="I353" s="218" t="n"/>
      <c r="J353" s="218" t="n"/>
      <c r="K353" s="218" t="n"/>
      <c r="L353" s="218" t="n"/>
      <c r="M353" s="218" t="n"/>
      <c r="N353" s="218" t="n"/>
      <c r="O353" s="222">
        <f>IF($A353="","",IF(IF($B353="343",NETWORKDAYS($A353,$A353,FERIADOS_343),IF($B353="281",NETWORKDAYS($A353,$A353,FERIADOS_281),NETWORKDAYS($A353,$A353,FERIADOS_342)))=1,"SIM","NÃO"))</f>
      </c>
      <c r="P353" s="232">
        <f>IF($A353="","",$A353-WEEKDAY($A353,2)+5)</f>
      </c>
    </row>
    <row r="354">
      <c r="A354" s="220" t="n"/>
      <c r="B354" s="218" t="n"/>
      <c r="C354" s="218" t="n"/>
      <c r="D354" s="218" t="n"/>
      <c r="E354" s="218" t="n"/>
      <c r="F354" s="328" t="n"/>
      <c r="G354" s="218" t="n"/>
      <c r="H354" s="218" t="n"/>
      <c r="I354" s="218" t="n"/>
      <c r="J354" s="218" t="n"/>
      <c r="K354" s="218" t="n"/>
      <c r="L354" s="218" t="n"/>
      <c r="M354" s="218" t="n"/>
      <c r="N354" s="218" t="n"/>
      <c r="O354" s="222">
        <f>IF($A354="","",IF(IF($B354="343",NETWORKDAYS($A354,$A354,FERIADOS_343),IF($B354="281",NETWORKDAYS($A354,$A354,FERIADOS_281),NETWORKDAYS($A354,$A354,FERIADOS_342)))=1,"SIM","NÃO"))</f>
      </c>
      <c r="P354" s="232">
        <f>IF($A354="","",$A354-WEEKDAY($A354,2)+5)</f>
      </c>
    </row>
    <row r="355">
      <c r="A355" s="220" t="n"/>
      <c r="B355" s="218" t="n"/>
      <c r="C355" s="218" t="n"/>
      <c r="D355" s="218" t="n"/>
      <c r="E355" s="218" t="n"/>
      <c r="F355" s="328" t="n"/>
      <c r="G355" s="218" t="n"/>
      <c r="H355" s="218" t="n"/>
      <c r="I355" s="218" t="n"/>
      <c r="J355" s="218" t="n"/>
      <c r="K355" s="218" t="n"/>
      <c r="L355" s="218" t="n"/>
      <c r="M355" s="218" t="n"/>
      <c r="N355" s="218" t="n"/>
      <c r="O355" s="222">
        <f>IF($A355="","",IF(IF($B355="343",NETWORKDAYS($A355,$A355,FERIADOS_343),IF($B355="281",NETWORKDAYS($A355,$A355,FERIADOS_281),NETWORKDAYS($A355,$A355,FERIADOS_342)))=1,"SIM","NÃO"))</f>
      </c>
      <c r="P355" s="232">
        <f>IF($A355="","",$A355-WEEKDAY($A355,2)+5)</f>
      </c>
    </row>
    <row r="356">
      <c r="A356" s="220" t="n"/>
      <c r="B356" s="218" t="n"/>
      <c r="C356" s="218" t="n"/>
      <c r="D356" s="218" t="n"/>
      <c r="E356" s="218" t="n"/>
      <c r="F356" s="328" t="n"/>
      <c r="G356" s="218" t="n"/>
      <c r="H356" s="218" t="n"/>
      <c r="I356" s="218" t="n"/>
      <c r="J356" s="218" t="n"/>
      <c r="K356" s="218" t="n"/>
      <c r="L356" s="218" t="n"/>
      <c r="M356" s="218" t="n"/>
      <c r="N356" s="218" t="n"/>
      <c r="O356" s="222">
        <f>IF($A356="","",IF(IF($B356="343",NETWORKDAYS($A356,$A356,FERIADOS_343),IF($B356="281",NETWORKDAYS($A356,$A356,FERIADOS_281),NETWORKDAYS($A356,$A356,FERIADOS_342)))=1,"SIM","NÃO"))</f>
      </c>
      <c r="P356" s="232">
        <f>IF($A356="","",$A356-WEEKDAY($A356,2)+5)</f>
      </c>
    </row>
    <row r="357">
      <c r="A357" s="220" t="n"/>
      <c r="B357" s="218" t="n"/>
      <c r="C357" s="218" t="n"/>
      <c r="D357" s="218" t="n"/>
      <c r="E357" s="218" t="n"/>
      <c r="F357" s="328" t="n"/>
      <c r="G357" s="218" t="n"/>
      <c r="H357" s="218" t="n"/>
      <c r="I357" s="218" t="n"/>
      <c r="J357" s="218" t="n"/>
      <c r="K357" s="218" t="n"/>
      <c r="L357" s="218" t="n"/>
      <c r="M357" s="218" t="n"/>
      <c r="N357" s="218" t="n"/>
      <c r="O357" s="222">
        <f>IF($A357="","",IF(IF($B357="343",NETWORKDAYS($A357,$A357,FERIADOS_343),IF($B357="281",NETWORKDAYS($A357,$A357,FERIADOS_281),NETWORKDAYS($A357,$A357,FERIADOS_342)))=1,"SIM","NÃO"))</f>
      </c>
      <c r="P357" s="232">
        <f>IF($A357="","",$A357-WEEKDAY($A357,2)+5)</f>
      </c>
    </row>
    <row r="358">
      <c r="A358" s="220" t="n"/>
      <c r="B358" s="218" t="n"/>
      <c r="C358" s="218" t="n"/>
      <c r="D358" s="218" t="n"/>
      <c r="E358" s="218" t="n"/>
      <c r="F358" s="328" t="n"/>
      <c r="G358" s="218" t="n"/>
      <c r="H358" s="218" t="n"/>
      <c r="I358" s="218" t="n"/>
      <c r="J358" s="218" t="n"/>
      <c r="K358" s="218" t="n"/>
      <c r="L358" s="218" t="n"/>
      <c r="M358" s="218" t="n"/>
      <c r="N358" s="218" t="n"/>
      <c r="O358" s="222">
        <f>IF($A358="","",IF(IF($B358="343",NETWORKDAYS($A358,$A358,FERIADOS_343),IF($B358="281",NETWORKDAYS($A358,$A358,FERIADOS_281),NETWORKDAYS($A358,$A358,FERIADOS_342)))=1,"SIM","NÃO"))</f>
      </c>
      <c r="P358" s="232">
        <f>IF($A358="","",$A358-WEEKDAY($A358,2)+5)</f>
      </c>
    </row>
    <row r="359">
      <c r="A359" s="220" t="n"/>
      <c r="B359" s="218" t="n"/>
      <c r="C359" s="218" t="n"/>
      <c r="D359" s="218" t="n"/>
      <c r="E359" s="218" t="n"/>
      <c r="F359" s="328" t="n"/>
      <c r="G359" s="218" t="n"/>
      <c r="H359" s="218" t="n"/>
      <c r="I359" s="218" t="n"/>
      <c r="J359" s="218" t="n"/>
      <c r="K359" s="218" t="n"/>
      <c r="L359" s="218" t="n"/>
      <c r="M359" s="218" t="n"/>
      <c r="N359" s="218" t="n"/>
      <c r="O359" s="222">
        <f>IF($A359="","",IF(IF($B359="343",NETWORKDAYS($A359,$A359,FERIADOS_343),IF($B359="281",NETWORKDAYS($A359,$A359,FERIADOS_281),NETWORKDAYS($A359,$A359,FERIADOS_342)))=1,"SIM","NÃO"))</f>
      </c>
      <c r="P359" s="232">
        <f>IF($A359="","",$A359-WEEKDAY($A359,2)+5)</f>
      </c>
    </row>
    <row r="360">
      <c r="A360" s="220" t="n"/>
      <c r="B360" s="218" t="n"/>
      <c r="C360" s="218" t="n"/>
      <c r="D360" s="218" t="n"/>
      <c r="E360" s="218" t="n"/>
      <c r="F360" s="328" t="n"/>
      <c r="G360" s="218" t="n"/>
      <c r="H360" s="218" t="n"/>
      <c r="I360" s="218" t="n"/>
      <c r="J360" s="218" t="n"/>
      <c r="K360" s="218" t="n"/>
      <c r="L360" s="218" t="n"/>
      <c r="M360" s="218" t="n"/>
      <c r="N360" s="218" t="n"/>
      <c r="O360" s="222">
        <f>IF($A360="","",IF(IF($B360="343",NETWORKDAYS($A360,$A360,FERIADOS_343),IF($B360="281",NETWORKDAYS($A360,$A360,FERIADOS_281),NETWORKDAYS($A360,$A360,FERIADOS_342)))=1,"SIM","NÃO"))</f>
      </c>
      <c r="P360" s="232">
        <f>IF($A360="","",$A360-WEEKDAY($A360,2)+5)</f>
      </c>
    </row>
    <row r="361">
      <c r="A361" s="220" t="n"/>
      <c r="B361" s="218" t="n"/>
      <c r="C361" s="218" t="n"/>
      <c r="D361" s="218" t="n"/>
      <c r="E361" s="218" t="n"/>
      <c r="F361" s="328" t="n"/>
      <c r="G361" s="218" t="n"/>
      <c r="H361" s="218" t="n"/>
      <c r="I361" s="218" t="n"/>
      <c r="J361" s="218" t="n"/>
      <c r="K361" s="218" t="n"/>
      <c r="L361" s="218" t="n"/>
      <c r="M361" s="218" t="n"/>
      <c r="N361" s="218" t="n"/>
      <c r="O361" s="222">
        <f>IF($A361="","",IF(IF($B361="343",NETWORKDAYS($A361,$A361,FERIADOS_343),IF($B361="281",NETWORKDAYS($A361,$A361,FERIADOS_281),NETWORKDAYS($A361,$A361,FERIADOS_342)))=1,"SIM","NÃO"))</f>
      </c>
      <c r="P361" s="232">
        <f>IF($A361="","",$A361-WEEKDAY($A361,2)+5)</f>
      </c>
    </row>
    <row r="362">
      <c r="A362" s="220" t="n"/>
      <c r="B362" s="218" t="n"/>
      <c r="C362" s="218" t="n"/>
      <c r="D362" s="218" t="n"/>
      <c r="E362" s="218" t="n"/>
      <c r="F362" s="328" t="n"/>
      <c r="G362" s="218" t="n"/>
      <c r="H362" s="218" t="n"/>
      <c r="I362" s="218" t="n"/>
      <c r="J362" s="218" t="n"/>
      <c r="K362" s="218" t="n"/>
      <c r="L362" s="218" t="n"/>
      <c r="M362" s="218" t="n"/>
      <c r="N362" s="218" t="n"/>
      <c r="O362" s="222">
        <f>IF($A362="","",IF(IF($B362="343",NETWORKDAYS($A362,$A362,FERIADOS_343),IF($B362="281",NETWORKDAYS($A362,$A362,FERIADOS_281),NETWORKDAYS($A362,$A362,FERIADOS_342)))=1,"SIM","NÃO"))</f>
      </c>
      <c r="P362" s="232">
        <f>IF($A362="","",$A362-WEEKDAY($A362,2)+5)</f>
      </c>
    </row>
    <row r="363">
      <c r="A363" s="220" t="n"/>
      <c r="B363" s="218" t="n"/>
      <c r="C363" s="218" t="n"/>
      <c r="D363" s="218" t="n"/>
      <c r="E363" s="218" t="n"/>
      <c r="F363" s="328" t="n"/>
      <c r="G363" s="218" t="n"/>
      <c r="H363" s="218" t="n"/>
      <c r="I363" s="218" t="n"/>
      <c r="J363" s="218" t="n"/>
      <c r="K363" s="218" t="n"/>
      <c r="L363" s="218" t="n"/>
      <c r="M363" s="218" t="n"/>
      <c r="N363" s="218" t="n"/>
      <c r="O363" s="222">
        <f>IF($A363="","",IF(IF($B363="343",NETWORKDAYS($A363,$A363,FERIADOS_343),IF($B363="281",NETWORKDAYS($A363,$A363,FERIADOS_281),NETWORKDAYS($A363,$A363,FERIADOS_342)))=1,"SIM","NÃO"))</f>
      </c>
      <c r="P363" s="232">
        <f>IF($A363="","",$A363-WEEKDAY($A363,2)+5)</f>
      </c>
    </row>
    <row r="364">
      <c r="A364" s="220" t="n"/>
      <c r="B364" s="218" t="n"/>
      <c r="C364" s="218" t="n"/>
      <c r="D364" s="218" t="n"/>
      <c r="E364" s="218" t="n"/>
      <c r="F364" s="328" t="n"/>
      <c r="G364" s="218" t="n"/>
      <c r="H364" s="218" t="n"/>
      <c r="I364" s="218" t="n"/>
      <c r="J364" s="218" t="n"/>
      <c r="K364" s="218" t="n"/>
      <c r="L364" s="218" t="n"/>
      <c r="M364" s="218" t="n"/>
      <c r="N364" s="218" t="n"/>
      <c r="O364" s="222">
        <f>IF($A364="","",IF(IF($B364="343",NETWORKDAYS($A364,$A364,FERIADOS_343),IF($B364="281",NETWORKDAYS($A364,$A364,FERIADOS_281),NETWORKDAYS($A364,$A364,FERIADOS_342)))=1,"SIM","NÃO"))</f>
      </c>
      <c r="P364" s="232">
        <f>IF($A364="","",$A364-WEEKDAY($A364,2)+5)</f>
      </c>
    </row>
    <row r="365">
      <c r="A365" s="220" t="n"/>
      <c r="B365" s="218" t="n"/>
      <c r="C365" s="218" t="n"/>
      <c r="D365" s="218" t="n"/>
      <c r="E365" s="218" t="n"/>
      <c r="F365" s="328" t="n"/>
      <c r="G365" s="218" t="n"/>
      <c r="H365" s="218" t="n"/>
      <c r="I365" s="218" t="n"/>
      <c r="J365" s="218" t="n"/>
      <c r="K365" s="218" t="n"/>
      <c r="L365" s="218" t="n"/>
      <c r="M365" s="218" t="n"/>
      <c r="N365" s="218" t="n"/>
      <c r="O365" s="222">
        <f>IF($A365="","",IF(IF($B365="343",NETWORKDAYS($A365,$A365,FERIADOS_343),IF($B365="281",NETWORKDAYS($A365,$A365,FERIADOS_281),NETWORKDAYS($A365,$A365,FERIADOS_342)))=1,"SIM","NÃO"))</f>
      </c>
      <c r="P365" s="232">
        <f>IF($A365="","",$A365-WEEKDAY($A365,2)+5)</f>
      </c>
    </row>
    <row r="366">
      <c r="A366" s="220" t="n"/>
      <c r="B366" s="218" t="n"/>
      <c r="C366" s="218" t="n"/>
      <c r="D366" s="218" t="n"/>
      <c r="E366" s="218" t="n"/>
      <c r="F366" s="328" t="n"/>
      <c r="G366" s="218" t="n"/>
      <c r="H366" s="218" t="n"/>
      <c r="I366" s="218" t="n"/>
      <c r="J366" s="218" t="n"/>
      <c r="K366" s="218" t="n"/>
      <c r="L366" s="218" t="n"/>
      <c r="M366" s="218" t="n"/>
      <c r="N366" s="218" t="n"/>
      <c r="O366" s="222">
        <f>IF($A366="","",IF(IF($B366="343",NETWORKDAYS($A366,$A366,FERIADOS_343),IF($B366="281",NETWORKDAYS($A366,$A366,FERIADOS_281),NETWORKDAYS($A366,$A366,FERIADOS_342)))=1,"SIM","NÃO"))</f>
      </c>
      <c r="P366" s="232">
        <f>IF($A366="","",$A366-WEEKDAY($A366,2)+5)</f>
      </c>
    </row>
    <row r="367">
      <c r="A367" s="220" t="n"/>
      <c r="B367" s="218" t="n"/>
      <c r="C367" s="218" t="n"/>
      <c r="D367" s="218" t="n"/>
      <c r="E367" s="218" t="n"/>
      <c r="F367" s="328" t="n"/>
      <c r="G367" s="218" t="n"/>
      <c r="H367" s="218" t="n"/>
      <c r="I367" s="218" t="n"/>
      <c r="J367" s="218" t="n"/>
      <c r="K367" s="218" t="n"/>
      <c r="L367" s="218" t="n"/>
      <c r="M367" s="218" t="n"/>
      <c r="N367" s="218" t="n"/>
      <c r="O367" s="222">
        <f>IF($A367="","",IF(IF($B367="343",NETWORKDAYS($A367,$A367,FERIADOS_343),IF($B367="281",NETWORKDAYS($A367,$A367,FERIADOS_281),NETWORKDAYS($A367,$A367,FERIADOS_342)))=1,"SIM","NÃO"))</f>
      </c>
      <c r="P367" s="232">
        <f>IF($A367="","",$A367-WEEKDAY($A367,2)+5)</f>
      </c>
    </row>
    <row r="368">
      <c r="A368" s="220" t="n"/>
      <c r="B368" s="218" t="n"/>
      <c r="C368" s="218" t="n"/>
      <c r="D368" s="218" t="n"/>
      <c r="E368" s="218" t="n"/>
      <c r="F368" s="328" t="n"/>
      <c r="G368" s="218" t="n"/>
      <c r="H368" s="218" t="n"/>
      <c r="I368" s="218" t="n"/>
      <c r="J368" s="218" t="n"/>
      <c r="K368" s="218" t="n"/>
      <c r="L368" s="218" t="n"/>
      <c r="M368" s="218" t="n"/>
      <c r="N368" s="218" t="n"/>
      <c r="O368" s="222">
        <f>IF($A368="","",IF(IF($B368="343",NETWORKDAYS($A368,$A368,FERIADOS_343),IF($B368="281",NETWORKDAYS($A368,$A368,FERIADOS_281),NETWORKDAYS($A368,$A368,FERIADOS_342)))=1,"SIM","NÃO"))</f>
      </c>
      <c r="P368" s="232">
        <f>IF($A368="","",$A368-WEEKDAY($A368,2)+5)</f>
      </c>
    </row>
    <row r="369">
      <c r="A369" s="220" t="n"/>
      <c r="B369" s="218" t="n"/>
      <c r="C369" s="218" t="n"/>
      <c r="D369" s="218" t="n"/>
      <c r="E369" s="218" t="n"/>
      <c r="F369" s="328" t="n"/>
      <c r="G369" s="218" t="n"/>
      <c r="H369" s="218" t="n"/>
      <c r="I369" s="218" t="n"/>
      <c r="J369" s="218" t="n"/>
      <c r="K369" s="218" t="n"/>
      <c r="L369" s="218" t="n"/>
      <c r="M369" s="218" t="n"/>
      <c r="N369" s="218" t="n"/>
      <c r="O369" s="222">
        <f>IF($A369="","",IF(IF($B369="343",NETWORKDAYS($A369,$A369,FERIADOS_343),IF($B369="281",NETWORKDAYS($A369,$A369,FERIADOS_281),NETWORKDAYS($A369,$A369,FERIADOS_342)))=1,"SIM","NÃO"))</f>
      </c>
      <c r="P369" s="232">
        <f>IF($A369="","",$A369-WEEKDAY($A369,2)+5)</f>
      </c>
    </row>
    <row r="370">
      <c r="A370" s="220" t="n"/>
      <c r="B370" s="218" t="n"/>
      <c r="C370" s="218" t="n"/>
      <c r="D370" s="218" t="n"/>
      <c r="E370" s="218" t="n"/>
      <c r="F370" s="328" t="n"/>
      <c r="G370" s="218" t="n"/>
      <c r="H370" s="218" t="n"/>
      <c r="I370" s="218" t="n"/>
      <c r="J370" s="218" t="n"/>
      <c r="K370" s="218" t="n"/>
      <c r="L370" s="218" t="n"/>
      <c r="M370" s="218" t="n"/>
      <c r="N370" s="218" t="n"/>
      <c r="O370" s="222">
        <f>IF($A370="","",IF(IF($B370="343",NETWORKDAYS($A370,$A370,FERIADOS_343),IF($B370="281",NETWORKDAYS($A370,$A370,FERIADOS_281),NETWORKDAYS($A370,$A370,FERIADOS_342)))=1,"SIM","NÃO"))</f>
      </c>
      <c r="P370" s="232">
        <f>IF($A370="","",$A370-WEEKDAY($A370,2)+5)</f>
      </c>
    </row>
    <row r="371">
      <c r="A371" s="220" t="n"/>
      <c r="B371" s="218" t="n"/>
      <c r="C371" s="218" t="n"/>
      <c r="D371" s="218" t="n"/>
      <c r="E371" s="218" t="n"/>
      <c r="F371" s="328" t="n"/>
      <c r="G371" s="218" t="n"/>
      <c r="H371" s="218" t="n"/>
      <c r="I371" s="218" t="n"/>
      <c r="J371" s="218" t="n"/>
      <c r="K371" s="218" t="n"/>
      <c r="L371" s="218" t="n"/>
      <c r="M371" s="218" t="n"/>
      <c r="N371" s="218" t="n"/>
      <c r="O371" s="222">
        <f>IF($A371="","",IF(IF($B371="343",NETWORKDAYS($A371,$A371,FERIADOS_343),IF($B371="281",NETWORKDAYS($A371,$A371,FERIADOS_281),NETWORKDAYS($A371,$A371,FERIADOS_342)))=1,"SIM","NÃO"))</f>
      </c>
      <c r="P371" s="232">
        <f>IF($A371="","",$A371-WEEKDAY($A371,2)+5)</f>
      </c>
    </row>
    <row r="372">
      <c r="A372" s="220" t="n"/>
      <c r="B372" s="218" t="n"/>
      <c r="C372" s="218" t="n"/>
      <c r="D372" s="218" t="n"/>
      <c r="E372" s="218" t="n"/>
      <c r="F372" s="328" t="n"/>
      <c r="G372" s="218" t="n"/>
      <c r="H372" s="218" t="n"/>
      <c r="I372" s="218" t="n"/>
      <c r="J372" s="218" t="n"/>
      <c r="K372" s="218" t="n"/>
      <c r="L372" s="218" t="n"/>
      <c r="M372" s="218" t="n"/>
      <c r="N372" s="218" t="n"/>
      <c r="O372" s="222">
        <f>IF($A372="","",IF(IF($B372="343",NETWORKDAYS($A372,$A372,FERIADOS_343),IF($B372="281",NETWORKDAYS($A372,$A372,FERIADOS_281),NETWORKDAYS($A372,$A372,FERIADOS_342)))=1,"SIM","NÃO"))</f>
      </c>
      <c r="P372" s="232">
        <f>IF($A372="","",$A372-WEEKDAY($A372,2)+5)</f>
      </c>
    </row>
    <row r="373">
      <c r="A373" s="220" t="n"/>
      <c r="B373" s="218" t="n"/>
      <c r="C373" s="218" t="n"/>
      <c r="D373" s="218" t="n"/>
      <c r="E373" s="218" t="n"/>
      <c r="F373" s="328" t="n"/>
      <c r="G373" s="218" t="n"/>
      <c r="H373" s="218" t="n"/>
      <c r="I373" s="218" t="n"/>
      <c r="J373" s="218" t="n"/>
      <c r="K373" s="218" t="n"/>
      <c r="L373" s="218" t="n"/>
      <c r="M373" s="218" t="n"/>
      <c r="N373" s="218" t="n"/>
      <c r="O373" s="222">
        <f>IF($A373="","",IF(IF($B373="343",NETWORKDAYS($A373,$A373,FERIADOS_343),IF($B373="281",NETWORKDAYS($A373,$A373,FERIADOS_281),NETWORKDAYS($A373,$A373,FERIADOS_342)))=1,"SIM","NÃO"))</f>
      </c>
      <c r="P373" s="232">
        <f>IF($A373="","",$A373-WEEKDAY($A373,2)+5)</f>
      </c>
    </row>
    <row r="374">
      <c r="A374" s="220" t="n"/>
      <c r="B374" s="218" t="n"/>
      <c r="C374" s="218" t="n"/>
      <c r="D374" s="218" t="n"/>
      <c r="E374" s="218" t="n"/>
      <c r="F374" s="328" t="n"/>
      <c r="G374" s="218" t="n"/>
      <c r="H374" s="218" t="n"/>
      <c r="I374" s="218" t="n"/>
      <c r="J374" s="218" t="n"/>
      <c r="K374" s="218" t="n"/>
      <c r="L374" s="218" t="n"/>
      <c r="M374" s="218" t="n"/>
      <c r="N374" s="218" t="n"/>
      <c r="O374" s="222">
        <f>IF($A374="","",IF(IF($B374="343",NETWORKDAYS($A374,$A374,FERIADOS_343),IF($B374="281",NETWORKDAYS($A374,$A374,FERIADOS_281),NETWORKDAYS($A374,$A374,FERIADOS_342)))=1,"SIM","NÃO"))</f>
      </c>
      <c r="P374" s="232">
        <f>IF($A374="","",$A374-WEEKDAY($A374,2)+5)</f>
      </c>
    </row>
    <row r="375">
      <c r="A375" s="220" t="n"/>
      <c r="B375" s="218" t="n"/>
      <c r="C375" s="218" t="n"/>
      <c r="D375" s="218" t="n"/>
      <c r="E375" s="218" t="n"/>
      <c r="F375" s="328" t="n"/>
      <c r="G375" s="218" t="n"/>
      <c r="H375" s="218" t="n"/>
      <c r="I375" s="218" t="n"/>
      <c r="J375" s="218" t="n"/>
      <c r="K375" s="218" t="n"/>
      <c r="L375" s="218" t="n"/>
      <c r="M375" s="218" t="n"/>
      <c r="N375" s="218" t="n"/>
      <c r="O375" s="222">
        <f>IF($A375="","",IF(IF($B375="343",NETWORKDAYS($A375,$A375,FERIADOS_343),IF($B375="281",NETWORKDAYS($A375,$A375,FERIADOS_281),NETWORKDAYS($A375,$A375,FERIADOS_342)))=1,"SIM","NÃO"))</f>
      </c>
      <c r="P375" s="232">
        <f>IF($A375="","",$A375-WEEKDAY($A375,2)+5)</f>
      </c>
    </row>
    <row r="376">
      <c r="A376" s="220" t="n"/>
      <c r="B376" s="218" t="n"/>
      <c r="C376" s="218" t="n"/>
      <c r="D376" s="218" t="n"/>
      <c r="E376" s="218" t="n"/>
      <c r="F376" s="328" t="n"/>
      <c r="G376" s="218" t="n"/>
      <c r="H376" s="218" t="n"/>
      <c r="I376" s="218" t="n"/>
      <c r="J376" s="218" t="n"/>
      <c r="K376" s="218" t="n"/>
      <c r="L376" s="218" t="n"/>
      <c r="M376" s="218" t="n"/>
      <c r="N376" s="218" t="n"/>
      <c r="O376" s="222">
        <f>IF($A376="","",IF(IF($B376="343",NETWORKDAYS($A376,$A376,FERIADOS_343),IF($B376="281",NETWORKDAYS($A376,$A376,FERIADOS_281),NETWORKDAYS($A376,$A376,FERIADOS_342)))=1,"SIM","NÃO"))</f>
      </c>
      <c r="P376" s="232">
        <f>IF($A376="","",$A376-WEEKDAY($A376,2)+5)</f>
      </c>
    </row>
    <row r="377">
      <c r="A377" s="220" t="n"/>
      <c r="B377" s="218" t="n"/>
      <c r="C377" s="218" t="n"/>
      <c r="D377" s="218" t="n"/>
      <c r="E377" s="218" t="n"/>
      <c r="F377" s="328" t="n"/>
      <c r="G377" s="218" t="n"/>
      <c r="H377" s="218" t="n"/>
      <c r="I377" s="218" t="n"/>
      <c r="J377" s="218" t="n"/>
      <c r="K377" s="218" t="n"/>
      <c r="L377" s="218" t="n"/>
      <c r="M377" s="218" t="n"/>
      <c r="N377" s="218" t="n"/>
      <c r="O377" s="222">
        <f>IF($A377="","",IF(IF($B377="343",NETWORKDAYS($A377,$A377,FERIADOS_343),IF($B377="281",NETWORKDAYS($A377,$A377,FERIADOS_281),NETWORKDAYS($A377,$A377,FERIADOS_342)))=1,"SIM","NÃO"))</f>
      </c>
      <c r="P377" s="232">
        <f>IF($A377="","",$A377-WEEKDAY($A377,2)+5)</f>
      </c>
    </row>
    <row r="378">
      <c r="A378" s="220" t="n"/>
      <c r="B378" s="218" t="n"/>
      <c r="C378" s="218" t="n"/>
      <c r="D378" s="218" t="n"/>
      <c r="E378" s="218" t="n"/>
      <c r="F378" s="328" t="n"/>
      <c r="G378" s="218" t="n"/>
      <c r="H378" s="218" t="n"/>
      <c r="I378" s="218" t="n"/>
      <c r="J378" s="218" t="n"/>
      <c r="K378" s="218" t="n"/>
      <c r="L378" s="218" t="n"/>
      <c r="M378" s="218" t="n"/>
      <c r="N378" s="218" t="n"/>
      <c r="O378" s="222">
        <f>IF($A378="","",IF(IF($B378="343",NETWORKDAYS($A378,$A378,FERIADOS_343),IF($B378="281",NETWORKDAYS($A378,$A378,FERIADOS_281),NETWORKDAYS($A378,$A378,FERIADOS_342)))=1,"SIM","NÃO"))</f>
      </c>
      <c r="P378" s="232">
        <f>IF($A378="","",$A378-WEEKDAY($A378,2)+5)</f>
      </c>
    </row>
    <row r="379">
      <c r="A379" s="220" t="n"/>
      <c r="B379" s="218" t="n"/>
      <c r="C379" s="218" t="n"/>
      <c r="D379" s="218" t="n"/>
      <c r="E379" s="218" t="n"/>
      <c r="F379" s="328" t="n"/>
      <c r="G379" s="218" t="n"/>
      <c r="H379" s="218" t="n"/>
      <c r="I379" s="218" t="n"/>
      <c r="J379" s="218" t="n"/>
      <c r="K379" s="218" t="n"/>
      <c r="L379" s="218" t="n"/>
      <c r="M379" s="218" t="n"/>
      <c r="N379" s="218" t="n"/>
      <c r="O379" s="222">
        <f>IF($A379="","",IF(IF($B379="343",NETWORKDAYS($A379,$A379,FERIADOS_343),IF($B379="281",NETWORKDAYS($A379,$A379,FERIADOS_281),NETWORKDAYS($A379,$A379,FERIADOS_342)))=1,"SIM","NÃO"))</f>
      </c>
      <c r="P379" s="232">
        <f>IF($A379="","",$A379-WEEKDAY($A379,2)+5)</f>
      </c>
    </row>
    <row r="380">
      <c r="A380" s="220" t="n"/>
      <c r="B380" s="218" t="n"/>
      <c r="C380" s="218" t="n"/>
      <c r="D380" s="218" t="n"/>
      <c r="E380" s="218" t="n"/>
      <c r="F380" s="328" t="n"/>
      <c r="G380" s="218" t="n"/>
      <c r="H380" s="218" t="n"/>
      <c r="I380" s="218" t="n"/>
      <c r="J380" s="218" t="n"/>
      <c r="K380" s="218" t="n"/>
      <c r="L380" s="218" t="n"/>
      <c r="M380" s="218" t="n"/>
      <c r="N380" s="218" t="n"/>
      <c r="O380" s="222">
        <f>IF($A380="","",IF(IF($B380="343",NETWORKDAYS($A380,$A380,FERIADOS_343),IF($B380="281",NETWORKDAYS($A380,$A380,FERIADOS_281),NETWORKDAYS($A380,$A380,FERIADOS_342)))=1,"SIM","NÃO"))</f>
      </c>
      <c r="P380" s="232">
        <f>IF($A380="","",$A380-WEEKDAY($A380,2)+5)</f>
      </c>
    </row>
    <row r="381">
      <c r="A381" s="220" t="n"/>
      <c r="B381" s="218" t="n"/>
      <c r="C381" s="218" t="n"/>
      <c r="D381" s="218" t="n"/>
      <c r="E381" s="218" t="n"/>
      <c r="F381" s="328" t="n"/>
      <c r="G381" s="218" t="n"/>
      <c r="H381" s="218" t="n"/>
      <c r="I381" s="218" t="n"/>
      <c r="J381" s="218" t="n"/>
      <c r="K381" s="218" t="n"/>
      <c r="L381" s="218" t="n"/>
      <c r="M381" s="218" t="n"/>
      <c r="N381" s="218" t="n"/>
      <c r="O381" s="222">
        <f>IF($A381="","",IF(IF($B381="343",NETWORKDAYS($A381,$A381,FERIADOS_343),IF($B381="281",NETWORKDAYS($A381,$A381,FERIADOS_281),NETWORKDAYS($A381,$A381,FERIADOS_342)))=1,"SIM","NÃO"))</f>
      </c>
      <c r="P381" s="232">
        <f>IF($A381="","",$A381-WEEKDAY($A381,2)+5)</f>
      </c>
    </row>
    <row r="382">
      <c r="A382" s="220" t="n"/>
      <c r="B382" s="218" t="n"/>
      <c r="C382" s="218" t="n"/>
      <c r="D382" s="218" t="n"/>
      <c r="E382" s="218" t="n"/>
      <c r="F382" s="328" t="n"/>
      <c r="G382" s="218" t="n"/>
      <c r="H382" s="218" t="n"/>
      <c r="I382" s="218" t="n"/>
      <c r="J382" s="218" t="n"/>
      <c r="K382" s="218" t="n"/>
      <c r="L382" s="218" t="n"/>
      <c r="M382" s="218" t="n"/>
      <c r="N382" s="218" t="n"/>
      <c r="O382" s="222">
        <f>IF($A382="","",IF(IF($B382="343",NETWORKDAYS($A382,$A382,FERIADOS_343),IF($B382="281",NETWORKDAYS($A382,$A382,FERIADOS_281),NETWORKDAYS($A382,$A382,FERIADOS_342)))=1,"SIM","NÃO"))</f>
      </c>
      <c r="P382" s="232">
        <f>IF($A382="","",$A382-WEEKDAY($A382,2)+5)</f>
      </c>
    </row>
    <row r="383">
      <c r="A383" s="220" t="n"/>
      <c r="B383" s="218" t="n"/>
      <c r="C383" s="218" t="n"/>
      <c r="D383" s="218" t="n"/>
      <c r="E383" s="218" t="n"/>
      <c r="F383" s="328" t="n"/>
      <c r="G383" s="218" t="n"/>
      <c r="H383" s="218" t="n"/>
      <c r="I383" s="218" t="n"/>
      <c r="J383" s="218" t="n"/>
      <c r="K383" s="218" t="n"/>
      <c r="L383" s="218" t="n"/>
      <c r="M383" s="218" t="n"/>
      <c r="N383" s="218" t="n"/>
      <c r="O383" s="222">
        <f>IF($A383="","",IF(IF($B383="343",NETWORKDAYS($A383,$A383,FERIADOS_343),IF($B383="281",NETWORKDAYS($A383,$A383,FERIADOS_281),NETWORKDAYS($A383,$A383,FERIADOS_342)))=1,"SIM","NÃO"))</f>
      </c>
      <c r="P383" s="232">
        <f>IF($A383="","",$A383-WEEKDAY($A383,2)+5)</f>
      </c>
    </row>
    <row r="384">
      <c r="A384" s="220" t="n"/>
      <c r="B384" s="218" t="n"/>
      <c r="C384" s="218" t="n"/>
      <c r="D384" s="218" t="n"/>
      <c r="E384" s="218" t="n"/>
      <c r="F384" s="328" t="n"/>
      <c r="G384" s="218" t="n"/>
      <c r="H384" s="218" t="n"/>
      <c r="I384" s="218" t="n"/>
      <c r="J384" s="218" t="n"/>
      <c r="K384" s="218" t="n"/>
      <c r="L384" s="218" t="n"/>
      <c r="M384" s="218" t="n"/>
      <c r="N384" s="218" t="n"/>
      <c r="O384" s="222">
        <f>IF($A384="","",IF(IF($B384="343",NETWORKDAYS($A384,$A384,FERIADOS_343),IF($B384="281",NETWORKDAYS($A384,$A384,FERIADOS_281),NETWORKDAYS($A384,$A384,FERIADOS_342)))=1,"SIM","NÃO"))</f>
      </c>
      <c r="P384" s="232">
        <f>IF($A384="","",$A384-WEEKDAY($A384,2)+5)</f>
      </c>
    </row>
    <row r="385">
      <c r="A385" s="220" t="n"/>
      <c r="B385" s="218" t="n"/>
      <c r="C385" s="218" t="n"/>
      <c r="D385" s="218" t="n"/>
      <c r="E385" s="218" t="n"/>
      <c r="F385" s="328" t="n"/>
      <c r="G385" s="218" t="n"/>
      <c r="H385" s="218" t="n"/>
      <c r="I385" s="218" t="n"/>
      <c r="J385" s="218" t="n"/>
      <c r="K385" s="218" t="n"/>
      <c r="L385" s="218" t="n"/>
      <c r="M385" s="218" t="n"/>
      <c r="N385" s="218" t="n"/>
      <c r="O385" s="222">
        <f>IF($A385="","",IF(IF($B385="343",NETWORKDAYS($A385,$A385,FERIADOS_343),IF($B385="281",NETWORKDAYS($A385,$A385,FERIADOS_281),NETWORKDAYS($A385,$A385,FERIADOS_342)))=1,"SIM","NÃO"))</f>
      </c>
      <c r="P385" s="232">
        <f>IF($A385="","",$A385-WEEKDAY($A385,2)+5)</f>
      </c>
    </row>
    <row r="386">
      <c r="A386" s="220" t="n"/>
      <c r="B386" s="218" t="n"/>
      <c r="C386" s="218" t="n"/>
      <c r="D386" s="218" t="n"/>
      <c r="E386" s="218" t="n"/>
      <c r="F386" s="328" t="n"/>
      <c r="G386" s="218" t="n"/>
      <c r="H386" s="218" t="n"/>
      <c r="I386" s="218" t="n"/>
      <c r="J386" s="218" t="n"/>
      <c r="K386" s="218" t="n"/>
      <c r="L386" s="218" t="n"/>
      <c r="M386" s="218" t="n"/>
      <c r="N386" s="218" t="n"/>
      <c r="O386" s="222">
        <f>IF($A386="","",IF(IF($B386="343",NETWORKDAYS($A386,$A386,FERIADOS_343),IF($B386="281",NETWORKDAYS($A386,$A386,FERIADOS_281),NETWORKDAYS($A386,$A386,FERIADOS_342)))=1,"SIM","NÃO"))</f>
      </c>
      <c r="P386" s="232">
        <f>IF($A386="","",$A386-WEEKDAY($A386,2)+5)</f>
      </c>
    </row>
    <row r="387">
      <c r="A387" s="220" t="n"/>
      <c r="B387" s="218" t="n"/>
      <c r="C387" s="218" t="n"/>
      <c r="D387" s="218" t="n"/>
      <c r="E387" s="218" t="n"/>
      <c r="F387" s="328" t="n"/>
      <c r="G387" s="218" t="n"/>
      <c r="H387" s="218" t="n"/>
      <c r="I387" s="218" t="n"/>
      <c r="J387" s="218" t="n"/>
      <c r="K387" s="218" t="n"/>
      <c r="L387" s="218" t="n"/>
      <c r="M387" s="218" t="n"/>
      <c r="N387" s="218" t="n"/>
      <c r="O387" s="222">
        <f>IF($A387="","",IF(IF($B387="343",NETWORKDAYS($A387,$A387,FERIADOS_343),IF($B387="281",NETWORKDAYS($A387,$A387,FERIADOS_281),NETWORKDAYS($A387,$A387,FERIADOS_342)))=1,"SIM","NÃO"))</f>
      </c>
      <c r="P387" s="232">
        <f>IF($A387="","",$A387-WEEKDAY($A387,2)+5)</f>
      </c>
    </row>
    <row r="388">
      <c r="A388" s="220" t="n"/>
      <c r="B388" s="218" t="n"/>
      <c r="C388" s="218" t="n"/>
      <c r="D388" s="218" t="n"/>
      <c r="E388" s="218" t="n"/>
      <c r="F388" s="328" t="n"/>
      <c r="G388" s="218" t="n"/>
      <c r="H388" s="218" t="n"/>
      <c r="I388" s="218" t="n"/>
      <c r="J388" s="218" t="n"/>
      <c r="K388" s="218" t="n"/>
      <c r="L388" s="218" t="n"/>
      <c r="M388" s="218" t="n"/>
      <c r="N388" s="218" t="n"/>
      <c r="O388" s="222">
        <f>IF($A388="","",IF(IF($B388="343",NETWORKDAYS($A388,$A388,FERIADOS_343),IF($B388="281",NETWORKDAYS($A388,$A388,FERIADOS_281),NETWORKDAYS($A388,$A388,FERIADOS_342)))=1,"SIM","NÃO"))</f>
      </c>
      <c r="P388" s="232">
        <f>IF($A388="","",$A388-WEEKDAY($A388,2)+5)</f>
      </c>
    </row>
    <row r="389">
      <c r="A389" s="220" t="n"/>
      <c r="B389" s="218" t="n"/>
      <c r="C389" s="218" t="n"/>
      <c r="D389" s="218" t="n"/>
      <c r="E389" s="218" t="n"/>
      <c r="F389" s="328" t="n"/>
      <c r="G389" s="218" t="n"/>
      <c r="H389" s="218" t="n"/>
      <c r="I389" s="218" t="n"/>
      <c r="J389" s="218" t="n"/>
      <c r="K389" s="218" t="n"/>
      <c r="L389" s="218" t="n"/>
      <c r="M389" s="218" t="n"/>
      <c r="N389" s="218" t="n"/>
      <c r="O389" s="222">
        <f>IF($A389="","",IF(IF($B389="343",NETWORKDAYS($A389,$A389,FERIADOS_343),IF($B389="281",NETWORKDAYS($A389,$A389,FERIADOS_281),NETWORKDAYS($A389,$A389,FERIADOS_342)))=1,"SIM","NÃO"))</f>
      </c>
      <c r="P389" s="232">
        <f>IF($A389="","",$A389-WEEKDAY($A389,2)+5)</f>
      </c>
    </row>
    <row r="390">
      <c r="A390" s="220" t="n"/>
      <c r="B390" s="218" t="n"/>
      <c r="C390" s="218" t="n"/>
      <c r="D390" s="218" t="n"/>
      <c r="E390" s="218" t="n"/>
      <c r="F390" s="328" t="n"/>
      <c r="G390" s="218" t="n"/>
      <c r="H390" s="218" t="n"/>
      <c r="I390" s="218" t="n"/>
      <c r="J390" s="218" t="n"/>
      <c r="K390" s="218" t="n"/>
      <c r="L390" s="218" t="n"/>
      <c r="M390" s="218" t="n"/>
      <c r="N390" s="218" t="n"/>
      <c r="O390" s="222">
        <f>IF($A390="","",IF(IF($B390="343",NETWORKDAYS($A390,$A390,FERIADOS_343),IF($B390="281",NETWORKDAYS($A390,$A390,FERIADOS_281),NETWORKDAYS($A390,$A390,FERIADOS_342)))=1,"SIM","NÃO"))</f>
      </c>
      <c r="P390" s="232">
        <f>IF($A390="","",$A390-WEEKDAY($A390,2)+5)</f>
      </c>
    </row>
    <row r="391">
      <c r="A391" s="220" t="n"/>
      <c r="B391" s="218" t="n"/>
      <c r="C391" s="218" t="n"/>
      <c r="D391" s="218" t="n"/>
      <c r="E391" s="218" t="n"/>
      <c r="F391" s="328" t="n"/>
      <c r="G391" s="218" t="n"/>
      <c r="H391" s="218" t="n"/>
      <c r="I391" s="218" t="n"/>
      <c r="J391" s="218" t="n"/>
      <c r="K391" s="218" t="n"/>
      <c r="L391" s="218" t="n"/>
      <c r="M391" s="218" t="n"/>
      <c r="N391" s="218" t="n"/>
      <c r="O391" s="222">
        <f>IF($A391="","",IF(IF($B391="343",NETWORKDAYS($A391,$A391,FERIADOS_343),IF($B391="281",NETWORKDAYS($A391,$A391,FERIADOS_281),NETWORKDAYS($A391,$A391,FERIADOS_342)))=1,"SIM","NÃO"))</f>
      </c>
      <c r="P391" s="232">
        <f>IF($A391="","",$A391-WEEKDAY($A391,2)+5)</f>
      </c>
    </row>
    <row r="392">
      <c r="A392" s="220" t="n"/>
      <c r="B392" s="218" t="n"/>
      <c r="C392" s="218" t="n"/>
      <c r="D392" s="218" t="n"/>
      <c r="E392" s="218" t="n"/>
      <c r="F392" s="328" t="n"/>
      <c r="G392" s="218" t="n"/>
      <c r="H392" s="218" t="n"/>
      <c r="I392" s="218" t="n"/>
      <c r="J392" s="218" t="n"/>
      <c r="K392" s="218" t="n"/>
      <c r="L392" s="218" t="n"/>
      <c r="M392" s="218" t="n"/>
      <c r="N392" s="218" t="n"/>
      <c r="O392" s="222">
        <f>IF($A392="","",IF(IF($B392="343",NETWORKDAYS($A392,$A392,FERIADOS_343),IF($B392="281",NETWORKDAYS($A392,$A392,FERIADOS_281),NETWORKDAYS($A392,$A392,FERIADOS_342)))=1,"SIM","NÃO"))</f>
      </c>
      <c r="P392" s="232">
        <f>IF($A392="","",$A392-WEEKDAY($A392,2)+5)</f>
      </c>
    </row>
    <row r="393">
      <c r="A393" s="220" t="n"/>
      <c r="B393" s="218" t="n"/>
      <c r="C393" s="218" t="n"/>
      <c r="D393" s="218" t="n"/>
      <c r="E393" s="218" t="n"/>
      <c r="F393" s="328" t="n"/>
      <c r="G393" s="218" t="n"/>
      <c r="H393" s="218" t="n"/>
      <c r="I393" s="218" t="n"/>
      <c r="J393" s="218" t="n"/>
      <c r="K393" s="218" t="n"/>
      <c r="L393" s="218" t="n"/>
      <c r="M393" s="218" t="n"/>
      <c r="N393" s="218" t="n"/>
      <c r="O393" s="222">
        <f>IF($A393="","",IF(IF($B393="343",NETWORKDAYS($A393,$A393,FERIADOS_343),IF($B393="281",NETWORKDAYS($A393,$A393,FERIADOS_281),NETWORKDAYS($A393,$A393,FERIADOS_342)))=1,"SIM","NÃO"))</f>
      </c>
      <c r="P393" s="232">
        <f>IF($A393="","",$A393-WEEKDAY($A393,2)+5)</f>
      </c>
    </row>
    <row r="394">
      <c r="A394" s="220" t="n"/>
      <c r="B394" s="218" t="n"/>
      <c r="C394" s="218" t="n"/>
      <c r="D394" s="218" t="n"/>
      <c r="E394" s="218" t="n"/>
      <c r="F394" s="328" t="n"/>
      <c r="G394" s="218" t="n"/>
      <c r="H394" s="218" t="n"/>
      <c r="I394" s="218" t="n"/>
      <c r="J394" s="218" t="n"/>
      <c r="K394" s="218" t="n"/>
      <c r="L394" s="218" t="n"/>
      <c r="M394" s="218" t="n"/>
      <c r="N394" s="218" t="n"/>
      <c r="O394" s="222">
        <f>IF($A394="","",IF(IF($B394="343",NETWORKDAYS($A394,$A394,FERIADOS_343),IF($B394="281",NETWORKDAYS($A394,$A394,FERIADOS_281),NETWORKDAYS($A394,$A394,FERIADOS_342)))=1,"SIM","NÃO"))</f>
      </c>
      <c r="P394" s="232">
        <f>IF($A394="","",$A394-WEEKDAY($A394,2)+5)</f>
      </c>
    </row>
    <row r="395">
      <c r="A395" s="220" t="n"/>
      <c r="B395" s="218" t="n"/>
      <c r="C395" s="218" t="n"/>
      <c r="D395" s="218" t="n"/>
      <c r="E395" s="218" t="n"/>
      <c r="F395" s="328" t="n"/>
      <c r="G395" s="218" t="n"/>
      <c r="H395" s="218" t="n"/>
      <c r="I395" s="218" t="n"/>
      <c r="J395" s="218" t="n"/>
      <c r="K395" s="218" t="n"/>
      <c r="L395" s="218" t="n"/>
      <c r="M395" s="218" t="n"/>
      <c r="N395" s="218" t="n"/>
      <c r="O395" s="222">
        <f>IF($A395="","",IF(IF($B395="343",NETWORKDAYS($A395,$A395,FERIADOS_343),IF($B395="281",NETWORKDAYS($A395,$A395,FERIADOS_281),NETWORKDAYS($A395,$A395,FERIADOS_342)))=1,"SIM","NÃO"))</f>
      </c>
      <c r="P395" s="232">
        <f>IF($A395="","",$A395-WEEKDAY($A395,2)+5)</f>
      </c>
    </row>
    <row r="396">
      <c r="A396" s="220" t="n"/>
      <c r="B396" s="218" t="n"/>
      <c r="C396" s="218" t="n"/>
      <c r="D396" s="218" t="n"/>
      <c r="E396" s="218" t="n"/>
      <c r="F396" s="328" t="n"/>
      <c r="G396" s="218" t="n"/>
      <c r="H396" s="218" t="n"/>
      <c r="I396" s="218" t="n"/>
      <c r="J396" s="218" t="n"/>
      <c r="K396" s="218" t="n"/>
      <c r="L396" s="218" t="n"/>
      <c r="M396" s="218" t="n"/>
      <c r="N396" s="218" t="n"/>
      <c r="O396" s="222">
        <f>IF($A396="","",IF(IF($B396="343",NETWORKDAYS($A396,$A396,FERIADOS_343),IF($B396="281",NETWORKDAYS($A396,$A396,FERIADOS_281),NETWORKDAYS($A396,$A396,FERIADOS_342)))=1,"SIM","NÃO"))</f>
      </c>
      <c r="P396" s="232">
        <f>IF($A396="","",$A396-WEEKDAY($A396,2)+5)</f>
      </c>
    </row>
    <row r="397">
      <c r="A397" s="220" t="n"/>
      <c r="B397" s="218" t="n"/>
      <c r="C397" s="218" t="n"/>
      <c r="D397" s="218" t="n"/>
      <c r="E397" s="218" t="n"/>
      <c r="F397" s="328" t="n"/>
      <c r="G397" s="218" t="n"/>
      <c r="H397" s="218" t="n"/>
      <c r="I397" s="218" t="n"/>
      <c r="J397" s="218" t="n"/>
      <c r="K397" s="218" t="n"/>
      <c r="L397" s="218" t="n"/>
      <c r="M397" s="218" t="n"/>
      <c r="N397" s="218" t="n"/>
      <c r="O397" s="222">
        <f>IF($A397="","",IF(IF($B397="343",NETWORKDAYS($A397,$A397,FERIADOS_343),IF($B397="281",NETWORKDAYS($A397,$A397,FERIADOS_281),NETWORKDAYS($A397,$A397,FERIADOS_342)))=1,"SIM","NÃO"))</f>
      </c>
      <c r="P397" s="232">
        <f>IF($A397="","",$A397-WEEKDAY($A397,2)+5)</f>
      </c>
    </row>
    <row r="398">
      <c r="A398" s="220" t="n"/>
      <c r="B398" s="218" t="n"/>
      <c r="C398" s="218" t="n"/>
      <c r="D398" s="218" t="n"/>
      <c r="E398" s="218" t="n"/>
      <c r="F398" s="328" t="n"/>
      <c r="G398" s="218" t="n"/>
      <c r="H398" s="218" t="n"/>
      <c r="I398" s="218" t="n"/>
      <c r="J398" s="218" t="n"/>
      <c r="K398" s="218" t="n"/>
      <c r="L398" s="218" t="n"/>
      <c r="M398" s="218" t="n"/>
      <c r="N398" s="218" t="n"/>
      <c r="O398" s="222">
        <f>IF($A398="","",IF(IF($B398="343",NETWORKDAYS($A398,$A398,FERIADOS_343),IF($B398="281",NETWORKDAYS($A398,$A398,FERIADOS_281),NETWORKDAYS($A398,$A398,FERIADOS_342)))=1,"SIM","NÃO"))</f>
      </c>
      <c r="P398" s="232">
        <f>IF($A398="","",$A398-WEEKDAY($A398,2)+5)</f>
      </c>
    </row>
    <row r="399">
      <c r="A399" s="220" t="n"/>
      <c r="B399" s="218" t="n"/>
      <c r="C399" s="218" t="n"/>
      <c r="D399" s="218" t="n"/>
      <c r="E399" s="218" t="n"/>
      <c r="F399" s="328" t="n"/>
      <c r="G399" s="218" t="n"/>
      <c r="H399" s="218" t="n"/>
      <c r="I399" s="218" t="n"/>
      <c r="J399" s="218" t="n"/>
      <c r="K399" s="218" t="n"/>
      <c r="L399" s="218" t="n"/>
      <c r="M399" s="218" t="n"/>
      <c r="N399" s="218" t="n"/>
      <c r="O399" s="222">
        <f>IF($A399="","",IF(IF($B399="343",NETWORKDAYS($A399,$A399,FERIADOS_343),IF($B399="281",NETWORKDAYS($A399,$A399,FERIADOS_281),NETWORKDAYS($A399,$A399,FERIADOS_342)))=1,"SIM","NÃO"))</f>
      </c>
      <c r="P399" s="232">
        <f>IF($A399="","",$A399-WEEKDAY($A399,2)+5)</f>
      </c>
    </row>
    <row r="400">
      <c r="A400" s="220" t="n"/>
      <c r="B400" s="218" t="n"/>
      <c r="C400" s="218" t="n"/>
      <c r="D400" s="218" t="n"/>
      <c r="E400" s="218" t="n"/>
      <c r="F400" s="328" t="n"/>
      <c r="G400" s="218" t="n"/>
      <c r="H400" s="218" t="n"/>
      <c r="I400" s="218" t="n"/>
      <c r="J400" s="218" t="n"/>
      <c r="K400" s="218" t="n"/>
      <c r="L400" s="218" t="n"/>
      <c r="M400" s="218" t="n"/>
      <c r="N400" s="218" t="n"/>
      <c r="O400" s="222">
        <f>IF($A400="","",IF(IF($B400="343",NETWORKDAYS($A400,$A400,FERIADOS_343),IF($B400="281",NETWORKDAYS($A400,$A400,FERIADOS_281),NETWORKDAYS($A400,$A400,FERIADOS_342)))=1,"SIM","NÃO"))</f>
      </c>
      <c r="P400" s="232">
        <f>IF($A400="","",$A400-WEEKDAY($A400,2)+5)</f>
      </c>
    </row>
    <row r="401">
      <c r="A401" s="220" t="n"/>
      <c r="B401" s="218" t="n"/>
      <c r="C401" s="218" t="n"/>
      <c r="D401" s="218" t="n"/>
      <c r="E401" s="218" t="n"/>
      <c r="F401" s="328" t="n"/>
      <c r="G401" s="218" t="n"/>
      <c r="H401" s="218" t="n"/>
      <c r="I401" s="218" t="n"/>
      <c r="J401" s="218" t="n"/>
      <c r="K401" s="218" t="n"/>
      <c r="L401" s="218" t="n"/>
      <c r="M401" s="218" t="n"/>
      <c r="N401" s="218" t="n"/>
      <c r="O401" s="222">
        <f>IF($A401="","",IF(IF($B401="343",NETWORKDAYS($A401,$A401,FERIADOS_343),IF($B401="281",NETWORKDAYS($A401,$A401,FERIADOS_281),NETWORKDAYS($A401,$A401,FERIADOS_342)))=1,"SIM","NÃO"))</f>
      </c>
      <c r="P401" s="232">
        <f>IF($A401="","",$A401-WEEKDAY($A401,2)+5)</f>
      </c>
    </row>
    <row r="402">
      <c r="A402" s="220" t="n"/>
      <c r="B402" s="218" t="n"/>
      <c r="C402" s="218" t="n"/>
      <c r="D402" s="218" t="n"/>
      <c r="E402" s="218" t="n"/>
      <c r="F402" s="328" t="n"/>
      <c r="G402" s="218" t="n"/>
      <c r="H402" s="218" t="n"/>
      <c r="I402" s="218" t="n"/>
      <c r="J402" s="218" t="n"/>
      <c r="K402" s="218" t="n"/>
      <c r="L402" s="218" t="n"/>
      <c r="M402" s="218" t="n"/>
      <c r="N402" s="218" t="n"/>
      <c r="O402" s="222">
        <f>IF($A402="","",IF(IF($B402="343",NETWORKDAYS($A402,$A402,FERIADOS_343),IF($B402="281",NETWORKDAYS($A402,$A402,FERIADOS_281),NETWORKDAYS($A402,$A402,FERIADOS_342)))=1,"SIM","NÃO"))</f>
      </c>
      <c r="P402" s="232">
        <f>IF($A402="","",$A402-WEEKDAY($A402,2)+5)</f>
      </c>
    </row>
    <row r="403">
      <c r="A403" s="220" t="n"/>
      <c r="B403" s="218" t="n"/>
      <c r="C403" s="218" t="n"/>
      <c r="D403" s="218" t="n"/>
      <c r="E403" s="218" t="n"/>
      <c r="F403" s="328" t="n"/>
      <c r="G403" s="218" t="n"/>
      <c r="H403" s="218" t="n"/>
      <c r="I403" s="218" t="n"/>
      <c r="J403" s="218" t="n"/>
      <c r="K403" s="218" t="n"/>
      <c r="L403" s="218" t="n"/>
      <c r="M403" s="218" t="n"/>
      <c r="N403" s="218" t="n"/>
      <c r="O403" s="222">
        <f>IF($A403="","",IF(IF($B403="343",NETWORKDAYS($A403,$A403,FERIADOS_343),IF($B403="281",NETWORKDAYS($A403,$A403,FERIADOS_281),NETWORKDAYS($A403,$A403,FERIADOS_342)))=1,"SIM","NÃO"))</f>
      </c>
      <c r="P403" s="232">
        <f>IF($A403="","",$A403-WEEKDAY($A403,2)+5)</f>
      </c>
    </row>
    <row r="404">
      <c r="A404" s="220" t="n"/>
      <c r="B404" s="218" t="n"/>
      <c r="C404" s="218" t="n"/>
      <c r="D404" s="218" t="n"/>
      <c r="E404" s="218" t="n"/>
      <c r="F404" s="328" t="n"/>
      <c r="G404" s="218" t="n"/>
      <c r="H404" s="218" t="n"/>
      <c r="I404" s="218" t="n"/>
      <c r="J404" s="218" t="n"/>
      <c r="K404" s="218" t="n"/>
      <c r="L404" s="218" t="n"/>
      <c r="M404" s="218" t="n"/>
      <c r="N404" s="218" t="n"/>
      <c r="O404" s="222">
        <f>IF($A404="","",IF(IF($B404="343",NETWORKDAYS($A404,$A404,FERIADOS_343),IF($B404="281",NETWORKDAYS($A404,$A404,FERIADOS_281),NETWORKDAYS($A404,$A404,FERIADOS_342)))=1,"SIM","NÃO"))</f>
      </c>
      <c r="P404" s="232">
        <f>IF($A404="","",$A404-WEEKDAY($A404,2)+5)</f>
      </c>
    </row>
    <row r="405">
      <c r="A405" s="220" t="n"/>
      <c r="B405" s="218" t="n"/>
      <c r="C405" s="218" t="n"/>
      <c r="D405" s="218" t="n"/>
      <c r="E405" s="218" t="n"/>
      <c r="F405" s="328" t="n"/>
      <c r="G405" s="218" t="n"/>
      <c r="H405" s="218" t="n"/>
      <c r="I405" s="218" t="n"/>
      <c r="J405" s="218" t="n"/>
      <c r="K405" s="218" t="n"/>
      <c r="L405" s="218" t="n"/>
      <c r="M405" s="218" t="n"/>
      <c r="N405" s="218" t="n"/>
      <c r="O405" s="222">
        <f>IF($A405="","",IF(IF($B405="343",NETWORKDAYS($A405,$A405,FERIADOS_343),IF($B405="281",NETWORKDAYS($A405,$A405,FERIADOS_281),NETWORKDAYS($A405,$A405,FERIADOS_342)))=1,"SIM","NÃO"))</f>
      </c>
      <c r="P405" s="232">
        <f>IF($A405="","",$A405-WEEKDAY($A405,2)+5)</f>
      </c>
    </row>
    <row r="406">
      <c r="A406" s="220" t="n"/>
      <c r="B406" s="218" t="n"/>
      <c r="C406" s="218" t="n"/>
      <c r="D406" s="218" t="n"/>
      <c r="E406" s="218" t="n"/>
      <c r="F406" s="328" t="n"/>
      <c r="G406" s="218" t="n"/>
      <c r="H406" s="218" t="n"/>
      <c r="I406" s="218" t="n"/>
      <c r="J406" s="218" t="n"/>
      <c r="K406" s="218" t="n"/>
      <c r="L406" s="218" t="n"/>
      <c r="M406" s="218" t="n"/>
      <c r="N406" s="218" t="n"/>
      <c r="O406" s="222">
        <f>IF($A406="","",IF(IF($B406="343",NETWORKDAYS($A406,$A406,FERIADOS_343),IF($B406="281",NETWORKDAYS($A406,$A406,FERIADOS_281),NETWORKDAYS($A406,$A406,FERIADOS_342)))=1,"SIM","NÃO"))</f>
      </c>
      <c r="P406" s="232">
        <f>IF($A406="","",$A406-WEEKDAY($A406,2)+5)</f>
      </c>
    </row>
    <row r="407">
      <c r="A407" s="220" t="n"/>
      <c r="B407" s="218" t="n"/>
      <c r="C407" s="218" t="n"/>
      <c r="D407" s="218" t="n"/>
      <c r="E407" s="218" t="n"/>
      <c r="F407" s="328" t="n"/>
      <c r="G407" s="218" t="n"/>
      <c r="H407" s="218" t="n"/>
      <c r="I407" s="218" t="n"/>
      <c r="J407" s="218" t="n"/>
      <c r="K407" s="218" t="n"/>
      <c r="L407" s="218" t="n"/>
      <c r="M407" s="218" t="n"/>
      <c r="N407" s="218" t="n"/>
      <c r="O407" s="222">
        <f>IF($A407="","",IF(IF($B407="343",NETWORKDAYS($A407,$A407,FERIADOS_343),IF($B407="281",NETWORKDAYS($A407,$A407,FERIADOS_281),NETWORKDAYS($A407,$A407,FERIADOS_342)))=1,"SIM","NÃO"))</f>
      </c>
      <c r="P407" s="232">
        <f>IF($A407="","",$A407-WEEKDAY($A407,2)+5)</f>
      </c>
    </row>
    <row r="408">
      <c r="A408" s="220" t="n"/>
      <c r="B408" s="218" t="n"/>
      <c r="C408" s="218" t="n"/>
      <c r="D408" s="218" t="n"/>
      <c r="E408" s="218" t="n"/>
      <c r="F408" s="328" t="n"/>
      <c r="G408" s="218" t="n"/>
      <c r="H408" s="218" t="n"/>
      <c r="I408" s="218" t="n"/>
      <c r="J408" s="218" t="n"/>
      <c r="K408" s="218" t="n"/>
      <c r="L408" s="218" t="n"/>
      <c r="M408" s="218" t="n"/>
      <c r="N408" s="218" t="n"/>
      <c r="O408" s="222">
        <f>IF($A408="","",IF(IF($B408="343",NETWORKDAYS($A408,$A408,FERIADOS_343),IF($B408="281",NETWORKDAYS($A408,$A408,FERIADOS_281),NETWORKDAYS($A408,$A408,FERIADOS_342)))=1,"SIM","NÃO"))</f>
      </c>
      <c r="P408" s="232">
        <f>IF($A408="","",$A408-WEEKDAY($A408,2)+5)</f>
      </c>
    </row>
    <row r="409">
      <c r="A409" s="220" t="n"/>
      <c r="B409" s="218" t="n"/>
      <c r="C409" s="218" t="n"/>
      <c r="D409" s="218" t="n"/>
      <c r="E409" s="218" t="n"/>
      <c r="F409" s="328" t="n"/>
      <c r="G409" s="218" t="n"/>
      <c r="H409" s="218" t="n"/>
      <c r="I409" s="218" t="n"/>
      <c r="J409" s="218" t="n"/>
      <c r="K409" s="218" t="n"/>
      <c r="L409" s="218" t="n"/>
      <c r="M409" s="218" t="n"/>
      <c r="N409" s="218" t="n"/>
      <c r="O409" s="222">
        <f>IF($A409="","",IF(IF($B409="343",NETWORKDAYS($A409,$A409,FERIADOS_343),IF($B409="281",NETWORKDAYS($A409,$A409,FERIADOS_281),NETWORKDAYS($A409,$A409,FERIADOS_342)))=1,"SIM","NÃO"))</f>
      </c>
      <c r="P409" s="232">
        <f>IF($A409="","",$A409-WEEKDAY($A409,2)+5)</f>
      </c>
    </row>
    <row r="410">
      <c r="A410" s="220" t="n"/>
      <c r="B410" s="218" t="n"/>
      <c r="C410" s="218" t="n"/>
      <c r="D410" s="218" t="n"/>
      <c r="E410" s="218" t="n"/>
      <c r="F410" s="328" t="n"/>
      <c r="G410" s="218" t="n"/>
      <c r="H410" s="218" t="n"/>
      <c r="I410" s="218" t="n"/>
      <c r="J410" s="218" t="n"/>
      <c r="K410" s="218" t="n"/>
      <c r="L410" s="218" t="n"/>
      <c r="M410" s="218" t="n"/>
      <c r="N410" s="218" t="n"/>
      <c r="O410" s="222">
        <f>IF($A410="","",IF(IF($B410="343",NETWORKDAYS($A410,$A410,FERIADOS_343),IF($B410="281",NETWORKDAYS($A410,$A410,FERIADOS_281),NETWORKDAYS($A410,$A410,FERIADOS_342)))=1,"SIM","NÃO"))</f>
      </c>
      <c r="P410" s="232">
        <f>IF($A410="","",$A410-WEEKDAY($A410,2)+5)</f>
      </c>
    </row>
    <row r="411">
      <c r="A411" s="220" t="n"/>
      <c r="B411" s="218" t="n"/>
      <c r="C411" s="218" t="n"/>
      <c r="D411" s="218" t="n"/>
      <c r="E411" s="218" t="n"/>
      <c r="F411" s="328" t="n"/>
      <c r="G411" s="218" t="n"/>
      <c r="H411" s="218" t="n"/>
      <c r="I411" s="218" t="n"/>
      <c r="J411" s="218" t="n"/>
      <c r="K411" s="218" t="n"/>
      <c r="L411" s="218" t="n"/>
      <c r="M411" s="218" t="n"/>
      <c r="N411" s="218" t="n"/>
      <c r="O411" s="222">
        <f>IF($A411="","",IF(IF($B411="343",NETWORKDAYS($A411,$A411,FERIADOS_343),IF($B411="281",NETWORKDAYS($A411,$A411,FERIADOS_281),NETWORKDAYS($A411,$A411,FERIADOS_342)))=1,"SIM","NÃO"))</f>
      </c>
      <c r="P411" s="232">
        <f>IF($A411="","",$A411-WEEKDAY($A411,2)+5)</f>
      </c>
    </row>
    <row r="412">
      <c r="A412" s="220" t="n"/>
      <c r="B412" s="218" t="n"/>
      <c r="C412" s="218" t="n"/>
      <c r="D412" s="218" t="n"/>
      <c r="E412" s="218" t="n"/>
      <c r="F412" s="328" t="n"/>
      <c r="G412" s="218" t="n"/>
      <c r="H412" s="218" t="n"/>
      <c r="I412" s="218" t="n"/>
      <c r="J412" s="218" t="n"/>
      <c r="K412" s="218" t="n"/>
      <c r="L412" s="218" t="n"/>
      <c r="M412" s="218" t="n"/>
      <c r="N412" s="218" t="n"/>
      <c r="O412" s="222">
        <f>IF($A412="","",IF(IF($B412="343",NETWORKDAYS($A412,$A412,FERIADOS_343),IF($B412="281",NETWORKDAYS($A412,$A412,FERIADOS_281),NETWORKDAYS($A412,$A412,FERIADOS_342)))=1,"SIM","NÃO"))</f>
      </c>
      <c r="P412" s="232">
        <f>IF($A412="","",$A412-WEEKDAY($A412,2)+5)</f>
      </c>
    </row>
    <row r="413">
      <c r="A413" s="220" t="n"/>
      <c r="B413" s="218" t="n"/>
      <c r="C413" s="218" t="n"/>
      <c r="D413" s="218" t="n"/>
      <c r="E413" s="218" t="n"/>
      <c r="F413" s="328" t="n"/>
      <c r="G413" s="218" t="n"/>
      <c r="H413" s="218" t="n"/>
      <c r="I413" s="218" t="n"/>
      <c r="J413" s="218" t="n"/>
      <c r="K413" s="218" t="n"/>
      <c r="L413" s="218" t="n"/>
      <c r="M413" s="218" t="n"/>
      <c r="N413" s="218" t="n"/>
      <c r="O413" s="222">
        <f>IF($A413="","",IF(IF($B413="343",NETWORKDAYS($A413,$A413,FERIADOS_343),IF($B413="281",NETWORKDAYS($A413,$A413,FERIADOS_281),NETWORKDAYS($A413,$A413,FERIADOS_342)))=1,"SIM","NÃO"))</f>
      </c>
      <c r="P413" s="232">
        <f>IF($A413="","",$A413-WEEKDAY($A413,2)+5)</f>
      </c>
    </row>
    <row r="414">
      <c r="A414" s="220" t="n"/>
      <c r="B414" s="218" t="n"/>
      <c r="C414" s="218" t="n"/>
      <c r="D414" s="218" t="n"/>
      <c r="E414" s="218" t="n"/>
      <c r="F414" s="328" t="n"/>
      <c r="G414" s="218" t="n"/>
      <c r="H414" s="218" t="n"/>
      <c r="I414" s="218" t="n"/>
      <c r="J414" s="218" t="n"/>
      <c r="K414" s="218" t="n"/>
      <c r="L414" s="218" t="n"/>
      <c r="M414" s="218" t="n"/>
      <c r="N414" s="218" t="n"/>
      <c r="O414" s="222">
        <f>IF($A414="","",IF(IF($B414="343",NETWORKDAYS($A414,$A414,FERIADOS_343),IF($B414="281",NETWORKDAYS($A414,$A414,FERIADOS_281),NETWORKDAYS($A414,$A414,FERIADOS_342)))=1,"SIM","NÃO"))</f>
      </c>
      <c r="P414" s="232">
        <f>IF($A414="","",$A414-WEEKDAY($A414,2)+5)</f>
      </c>
    </row>
    <row r="415">
      <c r="A415" s="220" t="n"/>
      <c r="B415" s="218" t="n"/>
      <c r="C415" s="218" t="n"/>
      <c r="D415" s="218" t="n"/>
      <c r="E415" s="218" t="n"/>
      <c r="F415" s="328" t="n"/>
      <c r="G415" s="218" t="n"/>
      <c r="H415" s="218" t="n"/>
      <c r="I415" s="218" t="n"/>
      <c r="J415" s="218" t="n"/>
      <c r="K415" s="218" t="n"/>
      <c r="L415" s="218" t="n"/>
      <c r="M415" s="218" t="n"/>
      <c r="N415" s="218" t="n"/>
      <c r="O415" s="222">
        <f>IF($A415="","",IF(IF($B415="343",NETWORKDAYS($A415,$A415,FERIADOS_343),IF($B415="281",NETWORKDAYS($A415,$A415,FERIADOS_281),NETWORKDAYS($A415,$A415,FERIADOS_342)))=1,"SIM","NÃO"))</f>
      </c>
      <c r="P415" s="232">
        <f>IF($A415="","",$A415-WEEKDAY($A415,2)+5)</f>
      </c>
    </row>
    <row r="416">
      <c r="A416" s="220" t="n"/>
      <c r="B416" s="218" t="n"/>
      <c r="C416" s="218" t="n"/>
      <c r="D416" s="218" t="n"/>
      <c r="E416" s="218" t="n"/>
      <c r="F416" s="328" t="n"/>
      <c r="G416" s="218" t="n"/>
      <c r="H416" s="218" t="n"/>
      <c r="I416" s="218" t="n"/>
      <c r="J416" s="218" t="n"/>
      <c r="K416" s="218" t="n"/>
      <c r="L416" s="218" t="n"/>
      <c r="M416" s="218" t="n"/>
      <c r="N416" s="218" t="n"/>
      <c r="O416" s="222">
        <f>IF($A416="","",IF(IF($B416="343",NETWORKDAYS($A416,$A416,FERIADOS_343),IF($B416="281",NETWORKDAYS($A416,$A416,FERIADOS_281),NETWORKDAYS($A416,$A416,FERIADOS_342)))=1,"SIM","NÃO"))</f>
      </c>
      <c r="P416" s="232">
        <f>IF($A416="","",$A416-WEEKDAY($A416,2)+5)</f>
      </c>
    </row>
    <row r="417">
      <c r="A417" s="220" t="n"/>
      <c r="B417" s="218" t="n"/>
      <c r="C417" s="218" t="n"/>
      <c r="D417" s="218" t="n"/>
      <c r="E417" s="218" t="n"/>
      <c r="F417" s="328" t="n"/>
      <c r="G417" s="218" t="n"/>
      <c r="H417" s="218" t="n"/>
      <c r="I417" s="218" t="n"/>
      <c r="J417" s="218" t="n"/>
      <c r="K417" s="218" t="n"/>
      <c r="L417" s="218" t="n"/>
      <c r="M417" s="218" t="n"/>
      <c r="N417" s="218" t="n"/>
      <c r="O417" s="222">
        <f>IF($A417="","",IF(IF($B417="343",NETWORKDAYS($A417,$A417,FERIADOS_343),IF($B417="281",NETWORKDAYS($A417,$A417,FERIADOS_281),NETWORKDAYS($A417,$A417,FERIADOS_342)))=1,"SIM","NÃO"))</f>
      </c>
      <c r="P417" s="232">
        <f>IF($A417="","",$A417-WEEKDAY($A417,2)+5)</f>
      </c>
    </row>
    <row r="418">
      <c r="A418" s="220" t="n"/>
      <c r="B418" s="218" t="n"/>
      <c r="C418" s="218" t="n"/>
      <c r="D418" s="218" t="n"/>
      <c r="E418" s="218" t="n"/>
      <c r="F418" s="328" t="n"/>
      <c r="G418" s="218" t="n"/>
      <c r="H418" s="218" t="n"/>
      <c r="I418" s="218" t="n"/>
      <c r="J418" s="218" t="n"/>
      <c r="K418" s="218" t="n"/>
      <c r="L418" s="218" t="n"/>
      <c r="M418" s="218" t="n"/>
      <c r="N418" s="218" t="n"/>
      <c r="O418" s="222">
        <f>IF($A418="","",IF(IF($B418="343",NETWORKDAYS($A418,$A418,FERIADOS_343),IF($B418="281",NETWORKDAYS($A418,$A418,FERIADOS_281),NETWORKDAYS($A418,$A418,FERIADOS_342)))=1,"SIM","NÃO"))</f>
      </c>
      <c r="P418" s="232">
        <f>IF($A418="","",$A418-WEEKDAY($A418,2)+5)</f>
      </c>
    </row>
    <row r="419">
      <c r="A419" s="220" t="n"/>
      <c r="B419" s="218" t="n"/>
      <c r="C419" s="218" t="n"/>
      <c r="D419" s="218" t="n"/>
      <c r="E419" s="218" t="n"/>
      <c r="F419" s="328" t="n"/>
      <c r="G419" s="218" t="n"/>
      <c r="H419" s="218" t="n"/>
      <c r="I419" s="218" t="n"/>
      <c r="J419" s="218" t="n"/>
      <c r="K419" s="218" t="n"/>
      <c r="L419" s="218" t="n"/>
      <c r="M419" s="218" t="n"/>
      <c r="N419" s="218" t="n"/>
      <c r="O419" s="222">
        <f>IF($A419="","",IF(IF($B419="343",NETWORKDAYS($A419,$A419,FERIADOS_343),IF($B419="281",NETWORKDAYS($A419,$A419,FERIADOS_281),NETWORKDAYS($A419,$A419,FERIADOS_342)))=1,"SIM","NÃO"))</f>
      </c>
      <c r="P419" s="232">
        <f>IF($A419="","",$A419-WEEKDAY($A419,2)+5)</f>
      </c>
    </row>
    <row r="420">
      <c r="A420" s="220" t="n"/>
      <c r="B420" s="218" t="n"/>
      <c r="C420" s="218" t="n"/>
      <c r="D420" s="218" t="n"/>
      <c r="E420" s="218" t="n"/>
      <c r="F420" s="328" t="n"/>
      <c r="G420" s="218" t="n"/>
      <c r="H420" s="218" t="n"/>
      <c r="I420" s="218" t="n"/>
      <c r="J420" s="218" t="n"/>
      <c r="K420" s="218" t="n"/>
      <c r="L420" s="218" t="n"/>
      <c r="M420" s="218" t="n"/>
      <c r="N420" s="218" t="n"/>
      <c r="O420" s="222">
        <f>IF($A420="","",IF(IF($B420="343",NETWORKDAYS($A420,$A420,FERIADOS_343),IF($B420="281",NETWORKDAYS($A420,$A420,FERIADOS_281),NETWORKDAYS($A420,$A420,FERIADOS_342)))=1,"SIM","NÃO"))</f>
      </c>
      <c r="P420" s="232">
        <f>IF($A420="","",$A420-WEEKDAY($A420,2)+5)</f>
      </c>
    </row>
    <row r="421">
      <c r="A421" s="220" t="n"/>
      <c r="B421" s="218" t="n"/>
      <c r="C421" s="218" t="n"/>
      <c r="D421" s="218" t="n"/>
      <c r="E421" s="218" t="n"/>
      <c r="F421" s="328" t="n"/>
      <c r="G421" s="218" t="n"/>
      <c r="H421" s="218" t="n"/>
      <c r="I421" s="218" t="n"/>
      <c r="J421" s="218" t="n"/>
      <c r="K421" s="218" t="n"/>
      <c r="L421" s="218" t="n"/>
      <c r="M421" s="218" t="n"/>
      <c r="N421" s="218" t="n"/>
      <c r="O421" s="222">
        <f>IF($A421="","",IF(IF($B421="343",NETWORKDAYS($A421,$A421,FERIADOS_343),IF($B421="281",NETWORKDAYS($A421,$A421,FERIADOS_281),NETWORKDAYS($A421,$A421,FERIADOS_342)))=1,"SIM","NÃO"))</f>
      </c>
      <c r="P421" s="232">
        <f>IF($A421="","",$A421-WEEKDAY($A421,2)+5)</f>
      </c>
    </row>
    <row r="422">
      <c r="A422" s="220" t="n"/>
      <c r="B422" s="218" t="n"/>
      <c r="C422" s="218" t="n"/>
      <c r="D422" s="218" t="n"/>
      <c r="E422" s="218" t="n"/>
      <c r="F422" s="328" t="n"/>
      <c r="G422" s="218" t="n"/>
      <c r="H422" s="218" t="n"/>
      <c r="I422" s="218" t="n"/>
      <c r="J422" s="218" t="n"/>
      <c r="K422" s="218" t="n"/>
      <c r="L422" s="218" t="n"/>
      <c r="M422" s="218" t="n"/>
      <c r="N422" s="218" t="n"/>
      <c r="O422" s="222">
        <f>IF($A422="","",IF(IF($B422="343",NETWORKDAYS($A422,$A422,FERIADOS_343),IF($B422="281",NETWORKDAYS($A422,$A422,FERIADOS_281),NETWORKDAYS($A422,$A422,FERIADOS_342)))=1,"SIM","NÃO"))</f>
      </c>
      <c r="P422" s="232">
        <f>IF($A422="","",$A422-WEEKDAY($A422,2)+5)</f>
      </c>
    </row>
    <row r="423">
      <c r="A423" s="220" t="n"/>
      <c r="B423" s="218" t="n"/>
      <c r="C423" s="218" t="n"/>
      <c r="D423" s="218" t="n"/>
      <c r="E423" s="218" t="n"/>
      <c r="F423" s="328" t="n"/>
      <c r="G423" s="218" t="n"/>
      <c r="H423" s="218" t="n"/>
      <c r="I423" s="218" t="n"/>
      <c r="J423" s="218" t="n"/>
      <c r="K423" s="218" t="n"/>
      <c r="L423" s="218" t="n"/>
      <c r="M423" s="218" t="n"/>
      <c r="N423" s="218" t="n"/>
      <c r="O423" s="222">
        <f>IF($A423="","",IF(IF($B423="343",NETWORKDAYS($A423,$A423,FERIADOS_343),IF($B423="281",NETWORKDAYS($A423,$A423,FERIADOS_281),NETWORKDAYS($A423,$A423,FERIADOS_342)))=1,"SIM","NÃO"))</f>
      </c>
      <c r="P423" s="232">
        <f>IF($A423="","",$A423-WEEKDAY($A423,2)+5)</f>
      </c>
    </row>
    <row r="424">
      <c r="A424" s="220" t="n"/>
      <c r="B424" s="218" t="n"/>
      <c r="C424" s="218" t="n"/>
      <c r="D424" s="218" t="n"/>
      <c r="E424" s="218" t="n"/>
      <c r="F424" s="328" t="n"/>
      <c r="G424" s="218" t="n"/>
      <c r="H424" s="218" t="n"/>
      <c r="I424" s="218" t="n"/>
      <c r="J424" s="218" t="n"/>
      <c r="K424" s="218" t="n"/>
      <c r="L424" s="218" t="n"/>
      <c r="M424" s="218" t="n"/>
      <c r="N424" s="218" t="n"/>
      <c r="O424" s="222">
        <f>IF($A424="","",IF(IF($B424="343",NETWORKDAYS($A424,$A424,FERIADOS_343),IF($B424="281",NETWORKDAYS($A424,$A424,FERIADOS_281),NETWORKDAYS($A424,$A424,FERIADOS_342)))=1,"SIM","NÃO"))</f>
      </c>
      <c r="P424" s="232">
        <f>IF($A424="","",$A424-WEEKDAY($A424,2)+5)</f>
      </c>
    </row>
    <row r="425">
      <c r="A425" s="220" t="n"/>
      <c r="B425" s="218" t="n"/>
      <c r="C425" s="218" t="n"/>
      <c r="D425" s="218" t="n"/>
      <c r="E425" s="218" t="n"/>
      <c r="F425" s="328" t="n"/>
      <c r="G425" s="218" t="n"/>
      <c r="H425" s="218" t="n"/>
      <c r="I425" s="218" t="n"/>
      <c r="J425" s="218" t="n"/>
      <c r="K425" s="218" t="n"/>
      <c r="L425" s="218" t="n"/>
      <c r="M425" s="218" t="n"/>
      <c r="N425" s="218" t="n"/>
      <c r="O425" s="222">
        <f>IF($A425="","",IF(IF($B425="343",NETWORKDAYS($A425,$A425,FERIADOS_343),IF($B425="281",NETWORKDAYS($A425,$A425,FERIADOS_281),NETWORKDAYS($A425,$A425,FERIADOS_342)))=1,"SIM","NÃO"))</f>
      </c>
      <c r="P425" s="232">
        <f>IF($A425="","",$A425-WEEKDAY($A425,2)+5)</f>
      </c>
    </row>
    <row r="426">
      <c r="A426" s="220" t="n"/>
      <c r="B426" s="218" t="n"/>
      <c r="C426" s="218" t="n"/>
      <c r="D426" s="218" t="n"/>
      <c r="E426" s="218" t="n"/>
      <c r="F426" s="328" t="n"/>
      <c r="G426" s="218" t="n"/>
      <c r="H426" s="218" t="n"/>
      <c r="I426" s="218" t="n"/>
      <c r="J426" s="218" t="n"/>
      <c r="K426" s="218" t="n"/>
      <c r="L426" s="218" t="n"/>
      <c r="M426" s="218" t="n"/>
      <c r="N426" s="218" t="n"/>
      <c r="O426" s="222">
        <f>IF($A426="","",IF(IF($B426="343",NETWORKDAYS($A426,$A426,FERIADOS_343),IF($B426="281",NETWORKDAYS($A426,$A426,FERIADOS_281),NETWORKDAYS($A426,$A426,FERIADOS_342)))=1,"SIM","NÃO"))</f>
      </c>
      <c r="P426" s="232">
        <f>IF($A426="","",$A426-WEEKDAY($A426,2)+5)</f>
      </c>
    </row>
    <row r="427">
      <c r="A427" s="220" t="n"/>
      <c r="B427" s="218" t="n"/>
      <c r="C427" s="218" t="n"/>
      <c r="D427" s="218" t="n"/>
      <c r="E427" s="218" t="n"/>
      <c r="F427" s="328" t="n"/>
      <c r="G427" s="218" t="n"/>
      <c r="H427" s="218" t="n"/>
      <c r="I427" s="218" t="n"/>
      <c r="J427" s="218" t="n"/>
      <c r="K427" s="218" t="n"/>
      <c r="L427" s="218" t="n"/>
      <c r="M427" s="218" t="n"/>
      <c r="N427" s="218" t="n"/>
      <c r="O427" s="222">
        <f>IF($A427="","",IF(IF($B427="343",NETWORKDAYS($A427,$A427,FERIADOS_343),IF($B427="281",NETWORKDAYS($A427,$A427,FERIADOS_281),NETWORKDAYS($A427,$A427,FERIADOS_342)))=1,"SIM","NÃO"))</f>
      </c>
      <c r="P427" s="232">
        <f>IF($A427="","",$A427-WEEKDAY($A427,2)+5)</f>
      </c>
    </row>
    <row r="428">
      <c r="A428" s="220" t="n"/>
      <c r="B428" s="218" t="n"/>
      <c r="C428" s="218" t="n"/>
      <c r="D428" s="218" t="n"/>
      <c r="E428" s="218" t="n"/>
      <c r="F428" s="328" t="n"/>
      <c r="G428" s="218" t="n"/>
      <c r="H428" s="218" t="n"/>
      <c r="I428" s="218" t="n"/>
      <c r="J428" s="218" t="n"/>
      <c r="K428" s="218" t="n"/>
      <c r="L428" s="218" t="n"/>
      <c r="M428" s="218" t="n"/>
      <c r="N428" s="218" t="n"/>
      <c r="O428" s="222">
        <f>IF($A428="","",IF(IF($B428="343",NETWORKDAYS($A428,$A428,FERIADOS_343),IF($B428="281",NETWORKDAYS($A428,$A428,FERIADOS_281),NETWORKDAYS($A428,$A428,FERIADOS_342)))=1,"SIM","NÃO"))</f>
      </c>
      <c r="P428" s="232">
        <f>IF($A428="","",$A428-WEEKDAY($A428,2)+5)</f>
      </c>
    </row>
    <row r="429">
      <c r="A429" s="220" t="n"/>
      <c r="B429" s="218" t="n"/>
      <c r="C429" s="218" t="n"/>
      <c r="D429" s="218" t="n"/>
      <c r="E429" s="218" t="n"/>
      <c r="F429" s="328" t="n"/>
      <c r="G429" s="218" t="n"/>
      <c r="H429" s="218" t="n"/>
      <c r="I429" s="218" t="n"/>
      <c r="J429" s="218" t="n"/>
      <c r="K429" s="218" t="n"/>
      <c r="L429" s="218" t="n"/>
      <c r="M429" s="218" t="n"/>
      <c r="N429" s="218" t="n"/>
      <c r="O429" s="222">
        <f>IF($A429="","",IF(IF($B429="343",NETWORKDAYS($A429,$A429,FERIADOS_343),IF($B429="281",NETWORKDAYS($A429,$A429,FERIADOS_281),NETWORKDAYS($A429,$A429,FERIADOS_342)))=1,"SIM","NÃO"))</f>
      </c>
      <c r="P429" s="232">
        <f>IF($A429="","",$A429-WEEKDAY($A429,2)+5)</f>
      </c>
    </row>
    <row r="430">
      <c r="A430" s="220" t="n"/>
      <c r="B430" s="218" t="n"/>
      <c r="C430" s="218" t="n"/>
      <c r="D430" s="218" t="n"/>
      <c r="E430" s="218" t="n"/>
      <c r="F430" s="328" t="n"/>
      <c r="G430" s="218" t="n"/>
      <c r="H430" s="218" t="n"/>
      <c r="I430" s="218" t="n"/>
      <c r="J430" s="218" t="n"/>
      <c r="K430" s="218" t="n"/>
      <c r="L430" s="218" t="n"/>
      <c r="M430" s="218" t="n"/>
      <c r="N430" s="218" t="n"/>
      <c r="O430" s="222">
        <f>IF($A430="","",IF(IF($B430="343",NETWORKDAYS($A430,$A430,FERIADOS_343),IF($B430="281",NETWORKDAYS($A430,$A430,FERIADOS_281),NETWORKDAYS($A430,$A430,FERIADOS_342)))=1,"SIM","NÃO"))</f>
      </c>
      <c r="P430" s="232">
        <f>IF($A430="","",$A430-WEEKDAY($A430,2)+5)</f>
      </c>
    </row>
    <row r="431">
      <c r="A431" s="220" t="n"/>
      <c r="B431" s="218" t="n"/>
      <c r="C431" s="218" t="n"/>
      <c r="D431" s="218" t="n"/>
      <c r="E431" s="218" t="n"/>
      <c r="F431" s="328" t="n"/>
      <c r="G431" s="218" t="n"/>
      <c r="H431" s="218" t="n"/>
      <c r="I431" s="218" t="n"/>
      <c r="J431" s="218" t="n"/>
      <c r="K431" s="218" t="n"/>
      <c r="L431" s="218" t="n"/>
      <c r="M431" s="218" t="n"/>
      <c r="N431" s="218" t="n"/>
      <c r="O431" s="222">
        <f>IF($A431="","",IF(IF($B431="343",NETWORKDAYS($A431,$A431,FERIADOS_343),IF($B431="281",NETWORKDAYS($A431,$A431,FERIADOS_281),NETWORKDAYS($A431,$A431,FERIADOS_342)))=1,"SIM","NÃO"))</f>
      </c>
      <c r="P431" s="232">
        <f>IF($A431="","",$A431-WEEKDAY($A431,2)+5)</f>
      </c>
    </row>
    <row r="432">
      <c r="A432" s="220" t="n"/>
      <c r="B432" s="218" t="n"/>
      <c r="C432" s="218" t="n"/>
      <c r="D432" s="218" t="n"/>
      <c r="E432" s="218" t="n"/>
      <c r="F432" s="328" t="n"/>
      <c r="G432" s="218" t="n"/>
      <c r="H432" s="218" t="n"/>
      <c r="I432" s="218" t="n"/>
      <c r="J432" s="218" t="n"/>
      <c r="K432" s="218" t="n"/>
      <c r="L432" s="218" t="n"/>
      <c r="M432" s="218" t="n"/>
      <c r="N432" s="218" t="n"/>
      <c r="O432" s="222">
        <f>IF($A432="","",IF(IF($B432="343",NETWORKDAYS($A432,$A432,FERIADOS_343),IF($B432="281",NETWORKDAYS($A432,$A432,FERIADOS_281),NETWORKDAYS($A432,$A432,FERIADOS_342)))=1,"SIM","NÃO"))</f>
      </c>
      <c r="P432" s="232">
        <f>IF($A432="","",$A432-WEEKDAY($A432,2)+5)</f>
      </c>
    </row>
    <row r="433">
      <c r="A433" s="220" t="n"/>
      <c r="B433" s="218" t="n"/>
      <c r="C433" s="218" t="n"/>
      <c r="D433" s="218" t="n"/>
      <c r="E433" s="218" t="n"/>
      <c r="F433" s="328" t="n"/>
      <c r="G433" s="218" t="n"/>
      <c r="H433" s="218" t="n"/>
      <c r="I433" s="218" t="n"/>
      <c r="J433" s="218" t="n"/>
      <c r="K433" s="218" t="n"/>
      <c r="L433" s="218" t="n"/>
      <c r="M433" s="218" t="n"/>
      <c r="N433" s="218" t="n"/>
      <c r="O433" s="222">
        <f>IF($A433="","",IF(IF($B433="343",NETWORKDAYS($A433,$A433,FERIADOS_343),IF($B433="281",NETWORKDAYS($A433,$A433,FERIADOS_281),NETWORKDAYS($A433,$A433,FERIADOS_342)))=1,"SIM","NÃO"))</f>
      </c>
      <c r="P433" s="232">
        <f>IF($A433="","",$A433-WEEKDAY($A433,2)+5)</f>
      </c>
    </row>
    <row r="434">
      <c r="A434" s="220" t="n"/>
      <c r="B434" s="218" t="n"/>
      <c r="C434" s="218" t="n"/>
      <c r="D434" s="218" t="n"/>
      <c r="E434" s="218" t="n"/>
      <c r="F434" s="328" t="n"/>
      <c r="G434" s="218" t="n"/>
      <c r="H434" s="218" t="n"/>
      <c r="I434" s="218" t="n"/>
      <c r="J434" s="218" t="n"/>
      <c r="K434" s="218" t="n"/>
      <c r="L434" s="218" t="n"/>
      <c r="M434" s="218" t="n"/>
      <c r="N434" s="218" t="n"/>
      <c r="O434" s="222">
        <f>IF($A434="","",IF(IF($B434="343",NETWORKDAYS($A434,$A434,FERIADOS_343),IF($B434="281",NETWORKDAYS($A434,$A434,FERIADOS_281),NETWORKDAYS($A434,$A434,FERIADOS_342)))=1,"SIM","NÃO"))</f>
      </c>
      <c r="P434" s="232">
        <f>IF($A434="","",$A434-WEEKDAY($A434,2)+5)</f>
      </c>
    </row>
    <row r="435">
      <c r="A435" s="220" t="n"/>
      <c r="B435" s="218" t="n"/>
      <c r="C435" s="218" t="n"/>
      <c r="D435" s="218" t="n"/>
      <c r="E435" s="218" t="n"/>
      <c r="F435" s="328" t="n"/>
      <c r="G435" s="218" t="n"/>
      <c r="H435" s="218" t="n"/>
      <c r="I435" s="218" t="n"/>
      <c r="J435" s="218" t="n"/>
      <c r="K435" s="218" t="n"/>
      <c r="L435" s="218" t="n"/>
      <c r="M435" s="218" t="n"/>
      <c r="N435" s="218" t="n"/>
      <c r="O435" s="222">
        <f>IF($A435="","",IF(IF($B435="343",NETWORKDAYS($A435,$A435,FERIADOS_343),IF($B435="281",NETWORKDAYS($A435,$A435,FERIADOS_281),NETWORKDAYS($A435,$A435,FERIADOS_342)))=1,"SIM","NÃO"))</f>
      </c>
      <c r="P435" s="232">
        <f>IF($A435="","",$A435-WEEKDAY($A435,2)+5)</f>
      </c>
    </row>
    <row r="436">
      <c r="A436" s="220" t="n"/>
      <c r="B436" s="218" t="n"/>
      <c r="C436" s="218" t="n"/>
      <c r="D436" s="218" t="n"/>
      <c r="E436" s="218" t="n"/>
      <c r="F436" s="328" t="n"/>
      <c r="G436" s="218" t="n"/>
      <c r="H436" s="218" t="n"/>
      <c r="I436" s="218" t="n"/>
      <c r="J436" s="218" t="n"/>
      <c r="K436" s="218" t="n"/>
      <c r="L436" s="218" t="n"/>
      <c r="M436" s="218" t="n"/>
      <c r="N436" s="218" t="n"/>
      <c r="O436" s="222">
        <f>IF($A436="","",IF(IF($B436="343",NETWORKDAYS($A436,$A436,FERIADOS_343),IF($B436="281",NETWORKDAYS($A436,$A436,FERIADOS_281),NETWORKDAYS($A436,$A436,FERIADOS_342)))=1,"SIM","NÃO"))</f>
      </c>
      <c r="P436" s="232">
        <f>IF($A436="","",$A436-WEEKDAY($A436,2)+5)</f>
      </c>
    </row>
    <row r="437">
      <c r="A437" s="220" t="n"/>
      <c r="B437" s="218" t="n"/>
      <c r="C437" s="218" t="n"/>
      <c r="D437" s="218" t="n"/>
      <c r="E437" s="218" t="n"/>
      <c r="F437" s="328" t="n"/>
      <c r="G437" s="218" t="n"/>
      <c r="H437" s="218" t="n"/>
      <c r="I437" s="218" t="n"/>
      <c r="J437" s="218" t="n"/>
      <c r="K437" s="218" t="n"/>
      <c r="L437" s="218" t="n"/>
      <c r="M437" s="218" t="n"/>
      <c r="N437" s="218" t="n"/>
      <c r="O437" s="222">
        <f>IF($A437="","",IF(IF($B437="343",NETWORKDAYS($A437,$A437,FERIADOS_343),IF($B437="281",NETWORKDAYS($A437,$A437,FERIADOS_281),NETWORKDAYS($A437,$A437,FERIADOS_342)))=1,"SIM","NÃO"))</f>
      </c>
      <c r="P437" s="232">
        <f>IF($A437="","",$A437-WEEKDAY($A437,2)+5)</f>
      </c>
    </row>
    <row r="438">
      <c r="A438" s="220" t="n"/>
      <c r="B438" s="218" t="n"/>
      <c r="C438" s="218" t="n"/>
      <c r="D438" s="218" t="n"/>
      <c r="E438" s="218" t="n"/>
      <c r="F438" s="328" t="n"/>
      <c r="G438" s="218" t="n"/>
      <c r="H438" s="218" t="n"/>
      <c r="I438" s="218" t="n"/>
      <c r="J438" s="218" t="n"/>
      <c r="K438" s="218" t="n"/>
      <c r="L438" s="218" t="n"/>
      <c r="M438" s="218" t="n"/>
      <c r="N438" s="218" t="n"/>
      <c r="O438" s="222">
        <f>IF($A438="","",IF(IF($B438="343",NETWORKDAYS($A438,$A438,FERIADOS_343),IF($B438="281",NETWORKDAYS($A438,$A438,FERIADOS_281),NETWORKDAYS($A438,$A438,FERIADOS_342)))=1,"SIM","NÃO"))</f>
      </c>
      <c r="P438" s="232">
        <f>IF($A438="","",$A438-WEEKDAY($A438,2)+5)</f>
      </c>
    </row>
    <row r="439">
      <c r="A439" s="220" t="n"/>
      <c r="B439" s="218" t="n"/>
      <c r="C439" s="218" t="n"/>
      <c r="D439" s="218" t="n"/>
      <c r="E439" s="218" t="n"/>
      <c r="F439" s="328" t="n"/>
      <c r="G439" s="218" t="n"/>
      <c r="H439" s="218" t="n"/>
      <c r="I439" s="218" t="n"/>
      <c r="J439" s="218" t="n"/>
      <c r="K439" s="218" t="n"/>
      <c r="L439" s="218" t="n"/>
      <c r="M439" s="218" t="n"/>
      <c r="N439" s="218" t="n"/>
      <c r="O439" s="222">
        <f>IF($A439="","",IF(IF($B439="343",NETWORKDAYS($A439,$A439,FERIADOS_343),IF($B439="281",NETWORKDAYS($A439,$A439,FERIADOS_281),NETWORKDAYS($A439,$A439,FERIADOS_342)))=1,"SIM","NÃO"))</f>
      </c>
      <c r="P439" s="232">
        <f>IF($A439="","",$A439-WEEKDAY($A439,2)+5)</f>
      </c>
    </row>
    <row r="440">
      <c r="A440" s="220" t="n"/>
      <c r="B440" s="218" t="n"/>
      <c r="C440" s="218" t="n"/>
      <c r="D440" s="218" t="n"/>
      <c r="E440" s="218" t="n"/>
      <c r="F440" s="328" t="n"/>
      <c r="G440" s="218" t="n"/>
      <c r="H440" s="218" t="n"/>
      <c r="I440" s="218" t="n"/>
      <c r="J440" s="218" t="n"/>
      <c r="K440" s="218" t="n"/>
      <c r="L440" s="218" t="n"/>
      <c r="M440" s="218" t="n"/>
      <c r="N440" s="218" t="n"/>
      <c r="O440" s="222">
        <f>IF($A440="","",IF(IF($B440="343",NETWORKDAYS($A440,$A440,FERIADOS_343),IF($B440="281",NETWORKDAYS($A440,$A440,FERIADOS_281),NETWORKDAYS($A440,$A440,FERIADOS_342)))=1,"SIM","NÃO"))</f>
      </c>
      <c r="P440" s="232">
        <f>IF($A440="","",$A440-WEEKDAY($A440,2)+5)</f>
      </c>
    </row>
    <row r="441">
      <c r="A441" s="220" t="n"/>
      <c r="B441" s="218" t="n"/>
      <c r="C441" s="218" t="n"/>
      <c r="D441" s="218" t="n"/>
      <c r="E441" s="218" t="n"/>
      <c r="F441" s="328" t="n"/>
      <c r="G441" s="218" t="n"/>
      <c r="H441" s="218" t="n"/>
      <c r="I441" s="218" t="n"/>
      <c r="J441" s="218" t="n"/>
      <c r="K441" s="218" t="n"/>
      <c r="L441" s="218" t="n"/>
      <c r="M441" s="218" t="n"/>
      <c r="N441" s="218" t="n"/>
      <c r="O441" s="222">
        <f>IF($A441="","",IF(IF($B441="343",NETWORKDAYS($A441,$A441,FERIADOS_343),IF($B441="281",NETWORKDAYS($A441,$A441,FERIADOS_281),NETWORKDAYS($A441,$A441,FERIADOS_342)))=1,"SIM","NÃO"))</f>
      </c>
      <c r="P441" s="232">
        <f>IF($A441="","",$A441-WEEKDAY($A441,2)+5)</f>
      </c>
    </row>
    <row r="442">
      <c r="A442" s="220" t="n"/>
      <c r="B442" s="218" t="n"/>
      <c r="C442" s="218" t="n"/>
      <c r="D442" s="218" t="n"/>
      <c r="E442" s="218" t="n"/>
      <c r="F442" s="328" t="n"/>
      <c r="G442" s="218" t="n"/>
      <c r="H442" s="218" t="n"/>
      <c r="I442" s="218" t="n"/>
      <c r="J442" s="218" t="n"/>
      <c r="K442" s="218" t="n"/>
      <c r="L442" s="218" t="n"/>
      <c r="M442" s="218" t="n"/>
      <c r="N442" s="218" t="n"/>
      <c r="O442" s="222">
        <f>IF($A442="","",IF(IF($B442="343",NETWORKDAYS($A442,$A442,FERIADOS_343),IF($B442="281",NETWORKDAYS($A442,$A442,FERIADOS_281),NETWORKDAYS($A442,$A442,FERIADOS_342)))=1,"SIM","NÃO"))</f>
      </c>
      <c r="P442" s="232">
        <f>IF($A442="","",$A442-WEEKDAY($A442,2)+5)</f>
      </c>
    </row>
    <row r="443">
      <c r="A443" s="220" t="n"/>
      <c r="B443" s="218" t="n"/>
      <c r="C443" s="218" t="n"/>
      <c r="D443" s="218" t="n"/>
      <c r="E443" s="218" t="n"/>
      <c r="F443" s="328" t="n"/>
      <c r="G443" s="218" t="n"/>
      <c r="H443" s="218" t="n"/>
      <c r="I443" s="218" t="n"/>
      <c r="J443" s="218" t="n"/>
      <c r="K443" s="218" t="n"/>
      <c r="L443" s="218" t="n"/>
      <c r="M443" s="218" t="n"/>
      <c r="N443" s="218" t="n"/>
      <c r="O443" s="222">
        <f>IF($A443="","",IF(IF($B443="343",NETWORKDAYS($A443,$A443,FERIADOS_343),IF($B443="281",NETWORKDAYS($A443,$A443,FERIADOS_281),NETWORKDAYS($A443,$A443,FERIADOS_342)))=1,"SIM","NÃO"))</f>
      </c>
      <c r="P443" s="232">
        <f>IF($A443="","",$A443-WEEKDAY($A443,2)+5)</f>
      </c>
    </row>
    <row r="444">
      <c r="A444" s="220" t="n"/>
      <c r="B444" s="218" t="n"/>
      <c r="C444" s="218" t="n"/>
      <c r="D444" s="218" t="n"/>
      <c r="E444" s="218" t="n"/>
      <c r="F444" s="328" t="n"/>
      <c r="G444" s="218" t="n"/>
      <c r="H444" s="218" t="n"/>
      <c r="I444" s="218" t="n"/>
      <c r="J444" s="218" t="n"/>
      <c r="K444" s="218" t="n"/>
      <c r="L444" s="218" t="n"/>
      <c r="M444" s="218" t="n"/>
      <c r="N444" s="218" t="n"/>
      <c r="O444" s="222">
        <f>IF($A444="","",IF(IF($B444="343",NETWORKDAYS($A444,$A444,FERIADOS_343),IF($B444="281",NETWORKDAYS($A444,$A444,FERIADOS_281),NETWORKDAYS($A444,$A444,FERIADOS_342)))=1,"SIM","NÃO"))</f>
      </c>
      <c r="P444" s="232">
        <f>IF($A444="","",$A444-WEEKDAY($A444,2)+5)</f>
      </c>
    </row>
    <row r="445">
      <c r="A445" s="220" t="n"/>
      <c r="B445" s="218" t="n"/>
      <c r="C445" s="218" t="n"/>
      <c r="D445" s="218" t="n"/>
      <c r="E445" s="218" t="n"/>
      <c r="F445" s="328" t="n"/>
      <c r="G445" s="218" t="n"/>
      <c r="H445" s="218" t="n"/>
      <c r="I445" s="218" t="n"/>
      <c r="J445" s="218" t="n"/>
      <c r="K445" s="218" t="n"/>
      <c r="L445" s="218" t="n"/>
      <c r="M445" s="218" t="n"/>
      <c r="N445" s="218" t="n"/>
      <c r="O445" s="222">
        <f>IF($A445="","",IF(IF($B445="343",NETWORKDAYS($A445,$A445,FERIADOS_343),IF($B445="281",NETWORKDAYS($A445,$A445,FERIADOS_281),NETWORKDAYS($A445,$A445,FERIADOS_342)))=1,"SIM","NÃO"))</f>
      </c>
      <c r="P445" s="232">
        <f>IF($A445="","",$A445-WEEKDAY($A445,2)+5)</f>
      </c>
    </row>
    <row r="446">
      <c r="A446" s="220" t="n"/>
      <c r="B446" s="218" t="n"/>
      <c r="C446" s="218" t="n"/>
      <c r="D446" s="218" t="n"/>
      <c r="E446" s="218" t="n"/>
      <c r="F446" s="328" t="n"/>
      <c r="G446" s="218" t="n"/>
      <c r="H446" s="218" t="n"/>
      <c r="I446" s="218" t="n"/>
      <c r="J446" s="218" t="n"/>
      <c r="K446" s="218" t="n"/>
      <c r="L446" s="218" t="n"/>
      <c r="M446" s="218" t="n"/>
      <c r="N446" s="218" t="n"/>
      <c r="O446" s="222">
        <f>IF($A446="","",IF(IF($B446="343",NETWORKDAYS($A446,$A446,FERIADOS_343),IF($B446="281",NETWORKDAYS($A446,$A446,FERIADOS_281),NETWORKDAYS($A446,$A446,FERIADOS_342)))=1,"SIM","NÃO"))</f>
      </c>
      <c r="P446" s="232">
        <f>IF($A446="","",$A446-WEEKDAY($A446,2)+5)</f>
      </c>
    </row>
    <row r="447">
      <c r="A447" s="220" t="n"/>
      <c r="B447" s="218" t="n"/>
      <c r="C447" s="218" t="n"/>
      <c r="D447" s="218" t="n"/>
      <c r="E447" s="218" t="n"/>
      <c r="F447" s="328" t="n"/>
      <c r="G447" s="218" t="n"/>
      <c r="H447" s="218" t="n"/>
      <c r="I447" s="218" t="n"/>
      <c r="J447" s="218" t="n"/>
      <c r="K447" s="218" t="n"/>
      <c r="L447" s="218" t="n"/>
      <c r="M447" s="218" t="n"/>
      <c r="N447" s="218" t="n"/>
      <c r="O447" s="222">
        <f>IF($A447="","",IF(IF($B447="343",NETWORKDAYS($A447,$A447,FERIADOS_343),IF($B447="281",NETWORKDAYS($A447,$A447,FERIADOS_281),NETWORKDAYS($A447,$A447,FERIADOS_342)))=1,"SIM","NÃO"))</f>
      </c>
      <c r="P447" s="232">
        <f>IF($A447="","",$A447-WEEKDAY($A447,2)+5)</f>
      </c>
    </row>
    <row r="448">
      <c r="A448" s="220" t="n"/>
      <c r="B448" s="218" t="n"/>
      <c r="C448" s="218" t="n"/>
      <c r="D448" s="218" t="n"/>
      <c r="E448" s="218" t="n"/>
      <c r="F448" s="328" t="n"/>
      <c r="G448" s="218" t="n"/>
      <c r="H448" s="218" t="n"/>
      <c r="I448" s="218" t="n"/>
      <c r="J448" s="218" t="n"/>
      <c r="K448" s="218" t="n"/>
      <c r="L448" s="218" t="n"/>
      <c r="M448" s="218" t="n"/>
      <c r="N448" s="218" t="n"/>
      <c r="O448" s="222">
        <f>IF($A448="","",IF(IF($B448="343",NETWORKDAYS($A448,$A448,FERIADOS_343),IF($B448="281",NETWORKDAYS($A448,$A448,FERIADOS_281),NETWORKDAYS($A448,$A448,FERIADOS_342)))=1,"SIM","NÃO"))</f>
      </c>
      <c r="P448" s="232">
        <f>IF($A448="","",$A448-WEEKDAY($A448,2)+5)</f>
      </c>
    </row>
    <row r="449">
      <c r="A449" s="220" t="n"/>
      <c r="B449" s="218" t="n"/>
      <c r="C449" s="218" t="n"/>
      <c r="D449" s="218" t="n"/>
      <c r="E449" s="218" t="n"/>
      <c r="F449" s="328" t="n"/>
      <c r="G449" s="218" t="n"/>
      <c r="H449" s="218" t="n"/>
      <c r="I449" s="218" t="n"/>
      <c r="J449" s="218" t="n"/>
      <c r="K449" s="218" t="n"/>
      <c r="L449" s="218" t="n"/>
      <c r="M449" s="218" t="n"/>
      <c r="N449" s="218" t="n"/>
      <c r="O449" s="222">
        <f>IF($A449="","",IF(IF($B449="343",NETWORKDAYS($A449,$A449,FERIADOS_343),IF($B449="281",NETWORKDAYS($A449,$A449,FERIADOS_281),NETWORKDAYS($A449,$A449,FERIADOS_342)))=1,"SIM","NÃO"))</f>
      </c>
      <c r="P449" s="232">
        <f>IF($A449="","",$A449-WEEKDAY($A449,2)+5)</f>
      </c>
    </row>
    <row r="450">
      <c r="A450" s="220" t="n"/>
      <c r="B450" s="218" t="n"/>
      <c r="C450" s="218" t="n"/>
      <c r="D450" s="218" t="n"/>
      <c r="E450" s="218" t="n"/>
      <c r="F450" s="328" t="n"/>
      <c r="G450" s="218" t="n"/>
      <c r="H450" s="218" t="n"/>
      <c r="I450" s="218" t="n"/>
      <c r="J450" s="218" t="n"/>
      <c r="K450" s="218" t="n"/>
      <c r="L450" s="218" t="n"/>
      <c r="M450" s="218" t="n"/>
      <c r="N450" s="218" t="n"/>
      <c r="O450" s="222">
        <f>IF($A450="","",IF(IF($B450="343",NETWORKDAYS($A450,$A450,FERIADOS_343),IF($B450="281",NETWORKDAYS($A450,$A450,FERIADOS_281),NETWORKDAYS($A450,$A450,FERIADOS_342)))=1,"SIM","NÃO"))</f>
      </c>
      <c r="P450" s="232">
        <f>IF($A450="","",$A450-WEEKDAY($A450,2)+5)</f>
      </c>
    </row>
    <row r="451">
      <c r="A451" s="220" t="n"/>
      <c r="B451" s="218" t="n"/>
      <c r="C451" s="218" t="n"/>
      <c r="D451" s="218" t="n"/>
      <c r="E451" s="218" t="n"/>
      <c r="F451" s="328" t="n"/>
      <c r="G451" s="218" t="n"/>
      <c r="H451" s="218" t="n"/>
      <c r="I451" s="218" t="n"/>
      <c r="J451" s="218" t="n"/>
      <c r="K451" s="218" t="n"/>
      <c r="L451" s="218" t="n"/>
      <c r="M451" s="218" t="n"/>
      <c r="N451" s="218" t="n"/>
      <c r="O451" s="222">
        <f>IF($A451="","",IF(IF($B451="343",NETWORKDAYS($A451,$A451,FERIADOS_343),IF($B451="281",NETWORKDAYS($A451,$A451,FERIADOS_281),NETWORKDAYS($A451,$A451,FERIADOS_342)))=1,"SIM","NÃO"))</f>
      </c>
      <c r="P451" s="232">
        <f>IF($A451="","",$A451-WEEKDAY($A451,2)+5)</f>
      </c>
    </row>
    <row r="452">
      <c r="A452" s="220" t="n"/>
      <c r="B452" s="218" t="n"/>
      <c r="C452" s="218" t="n"/>
      <c r="D452" s="218" t="n"/>
      <c r="E452" s="218" t="n"/>
      <c r="F452" s="328" t="n"/>
      <c r="G452" s="218" t="n"/>
      <c r="H452" s="218" t="n"/>
      <c r="I452" s="218" t="n"/>
      <c r="J452" s="218" t="n"/>
      <c r="K452" s="218" t="n"/>
      <c r="L452" s="218" t="n"/>
      <c r="M452" s="218" t="n"/>
      <c r="N452" s="218" t="n"/>
      <c r="O452" s="222">
        <f>IF($A452="","",IF(IF($B452="343",NETWORKDAYS($A452,$A452,FERIADOS_343),IF($B452="281",NETWORKDAYS($A452,$A452,FERIADOS_281),NETWORKDAYS($A452,$A452,FERIADOS_342)))=1,"SIM","NÃO"))</f>
      </c>
      <c r="P452" s="232">
        <f>IF($A452="","",$A452-WEEKDAY($A452,2)+5)</f>
      </c>
    </row>
    <row r="453">
      <c r="A453" s="220" t="n"/>
      <c r="B453" s="218" t="n"/>
      <c r="C453" s="218" t="n"/>
      <c r="D453" s="218" t="n"/>
      <c r="E453" s="218" t="n"/>
      <c r="F453" s="328" t="n"/>
      <c r="G453" s="218" t="n"/>
      <c r="H453" s="218" t="n"/>
      <c r="I453" s="218" t="n"/>
      <c r="J453" s="218" t="n"/>
      <c r="K453" s="218" t="n"/>
      <c r="L453" s="218" t="n"/>
      <c r="M453" s="218" t="n"/>
      <c r="N453" s="218" t="n"/>
      <c r="O453" s="222">
        <f>IF($A453="","",IF(IF($B453="343",NETWORKDAYS($A453,$A453,FERIADOS_343),IF($B453="281",NETWORKDAYS($A453,$A453,FERIADOS_281),NETWORKDAYS($A453,$A453,FERIADOS_342)))=1,"SIM","NÃO"))</f>
      </c>
      <c r="P453" s="232">
        <f>IF($A453="","",$A453-WEEKDAY($A453,2)+5)</f>
      </c>
    </row>
    <row r="454">
      <c r="A454" s="220" t="n"/>
      <c r="B454" s="218" t="n"/>
      <c r="C454" s="218" t="n"/>
      <c r="D454" s="218" t="n"/>
      <c r="E454" s="218" t="n"/>
      <c r="F454" s="328" t="n"/>
      <c r="G454" s="218" t="n"/>
      <c r="H454" s="218" t="n"/>
      <c r="I454" s="218" t="n"/>
      <c r="J454" s="218" t="n"/>
      <c r="K454" s="218" t="n"/>
      <c r="L454" s="218" t="n"/>
      <c r="M454" s="218" t="n"/>
      <c r="N454" s="218" t="n"/>
      <c r="O454" s="222">
        <f>IF($A454="","",IF(IF($B454="343",NETWORKDAYS($A454,$A454,FERIADOS_343),IF($B454="281",NETWORKDAYS($A454,$A454,FERIADOS_281),NETWORKDAYS($A454,$A454,FERIADOS_342)))=1,"SIM","NÃO"))</f>
      </c>
      <c r="P454" s="232">
        <f>IF($A454="","",$A454-WEEKDAY($A454,2)+5)</f>
      </c>
    </row>
    <row r="455">
      <c r="A455" s="220" t="n"/>
      <c r="B455" s="218" t="n"/>
      <c r="C455" s="218" t="n"/>
      <c r="D455" s="218" t="n"/>
      <c r="E455" s="218" t="n"/>
      <c r="F455" s="328" t="n"/>
      <c r="G455" s="218" t="n"/>
      <c r="H455" s="218" t="n"/>
      <c r="I455" s="218" t="n"/>
      <c r="J455" s="218" t="n"/>
      <c r="K455" s="218" t="n"/>
      <c r="L455" s="218" t="n"/>
      <c r="M455" s="218" t="n"/>
      <c r="N455" s="218" t="n"/>
      <c r="O455" s="222">
        <f>IF($A455="","",IF(IF($B455="343",NETWORKDAYS($A455,$A455,FERIADOS_343),IF($B455="281",NETWORKDAYS($A455,$A455,FERIADOS_281),NETWORKDAYS($A455,$A455,FERIADOS_342)))=1,"SIM","NÃO"))</f>
      </c>
      <c r="P455" s="232">
        <f>IF($A455="","",$A455-WEEKDAY($A455,2)+5)</f>
      </c>
    </row>
    <row r="456">
      <c r="A456" s="220" t="n"/>
      <c r="B456" s="218" t="n"/>
      <c r="C456" s="218" t="n"/>
      <c r="D456" s="218" t="n"/>
      <c r="E456" s="218" t="n"/>
      <c r="F456" s="328" t="n"/>
      <c r="G456" s="218" t="n"/>
      <c r="H456" s="218" t="n"/>
      <c r="I456" s="218" t="n"/>
      <c r="J456" s="218" t="n"/>
      <c r="K456" s="218" t="n"/>
      <c r="L456" s="218" t="n"/>
      <c r="M456" s="218" t="n"/>
      <c r="N456" s="218" t="n"/>
      <c r="O456" s="222">
        <f>IF($A456="","",IF(IF($B456="343",NETWORKDAYS($A456,$A456,FERIADOS_343),IF($B456="281",NETWORKDAYS($A456,$A456,FERIADOS_281),NETWORKDAYS($A456,$A456,FERIADOS_342)))=1,"SIM","NÃO"))</f>
      </c>
      <c r="P456" s="232">
        <f>IF($A456="","",$A456-WEEKDAY($A456,2)+5)</f>
      </c>
    </row>
    <row r="457">
      <c r="A457" s="220" t="n"/>
      <c r="B457" s="218" t="n"/>
      <c r="C457" s="218" t="n"/>
      <c r="D457" s="218" t="n"/>
      <c r="E457" s="218" t="n"/>
      <c r="F457" s="328" t="n"/>
      <c r="G457" s="218" t="n"/>
      <c r="H457" s="218" t="n"/>
      <c r="I457" s="218" t="n"/>
      <c r="J457" s="218" t="n"/>
      <c r="K457" s="218" t="n"/>
      <c r="L457" s="218" t="n"/>
      <c r="M457" s="218" t="n"/>
      <c r="N457" s="218" t="n"/>
      <c r="O457" s="222">
        <f>IF($A457="","",IF(IF($B457="343",NETWORKDAYS($A457,$A457,FERIADOS_343),IF($B457="281",NETWORKDAYS($A457,$A457,FERIADOS_281),NETWORKDAYS($A457,$A457,FERIADOS_342)))=1,"SIM","NÃO"))</f>
      </c>
      <c r="P457" s="232">
        <f>IF($A457="","",$A457-WEEKDAY($A457,2)+5)</f>
      </c>
    </row>
    <row r="458">
      <c r="A458" s="220" t="n"/>
      <c r="B458" s="218" t="n"/>
      <c r="C458" s="218" t="n"/>
      <c r="D458" s="218" t="n"/>
      <c r="E458" s="218" t="n"/>
      <c r="F458" s="328" t="n"/>
      <c r="G458" s="218" t="n"/>
      <c r="H458" s="218" t="n"/>
      <c r="I458" s="218" t="n"/>
      <c r="J458" s="218" t="n"/>
      <c r="K458" s="218" t="n"/>
      <c r="L458" s="218" t="n"/>
      <c r="M458" s="218" t="n"/>
      <c r="N458" s="218" t="n"/>
      <c r="O458" s="222">
        <f>IF($A458="","",IF(IF($B458="343",NETWORKDAYS($A458,$A458,FERIADOS_343),IF($B458="281",NETWORKDAYS($A458,$A458,FERIADOS_281),NETWORKDAYS($A458,$A458,FERIADOS_342)))=1,"SIM","NÃO"))</f>
      </c>
      <c r="P458" s="232">
        <f>IF($A458="","",$A458-WEEKDAY($A458,2)+5)</f>
      </c>
    </row>
    <row r="459">
      <c r="A459" s="220" t="n"/>
      <c r="B459" s="218" t="n"/>
      <c r="C459" s="218" t="n"/>
      <c r="D459" s="218" t="n"/>
      <c r="E459" s="218" t="n"/>
      <c r="F459" s="328" t="n"/>
      <c r="G459" s="218" t="n"/>
      <c r="H459" s="218" t="n"/>
      <c r="I459" s="218" t="n"/>
      <c r="J459" s="218" t="n"/>
      <c r="K459" s="218" t="n"/>
      <c r="L459" s="218" t="n"/>
      <c r="M459" s="218" t="n"/>
      <c r="N459" s="218" t="n"/>
      <c r="O459" s="222">
        <f>IF($A459="","",IF(IF($B459="343",NETWORKDAYS($A459,$A459,FERIADOS_343),IF($B459="281",NETWORKDAYS($A459,$A459,FERIADOS_281),NETWORKDAYS($A459,$A459,FERIADOS_342)))=1,"SIM","NÃO"))</f>
      </c>
      <c r="P459" s="232">
        <f>IF($A459="","",$A459-WEEKDAY($A459,2)+5)</f>
      </c>
    </row>
    <row r="460">
      <c r="A460" s="220" t="n"/>
      <c r="B460" s="218" t="n"/>
      <c r="C460" s="218" t="n"/>
      <c r="D460" s="218" t="n"/>
      <c r="E460" s="218" t="n"/>
      <c r="F460" s="328" t="n"/>
      <c r="G460" s="218" t="n"/>
      <c r="H460" s="218" t="n"/>
      <c r="I460" s="218" t="n"/>
      <c r="J460" s="218" t="n"/>
      <c r="K460" s="218" t="n"/>
      <c r="L460" s="218" t="n"/>
      <c r="M460" s="218" t="n"/>
      <c r="N460" s="218" t="n"/>
      <c r="O460" s="222">
        <f>IF($A460="","",IF(IF($B460="343",NETWORKDAYS($A460,$A460,FERIADOS_343),IF($B460="281",NETWORKDAYS($A460,$A460,FERIADOS_281),NETWORKDAYS($A460,$A460,FERIADOS_342)))=1,"SIM","NÃO"))</f>
      </c>
      <c r="P460" s="232">
        <f>IF($A460="","",$A460-WEEKDAY($A460,2)+5)</f>
      </c>
    </row>
    <row r="461">
      <c r="A461" s="220" t="n"/>
      <c r="B461" s="218" t="n"/>
      <c r="C461" s="218" t="n"/>
      <c r="D461" s="218" t="n"/>
      <c r="E461" s="218" t="n"/>
      <c r="F461" s="328" t="n"/>
      <c r="G461" s="218" t="n"/>
      <c r="H461" s="218" t="n"/>
      <c r="I461" s="218" t="n"/>
      <c r="J461" s="218" t="n"/>
      <c r="K461" s="218" t="n"/>
      <c r="L461" s="218" t="n"/>
      <c r="M461" s="218" t="n"/>
      <c r="N461" s="218" t="n"/>
      <c r="O461" s="222">
        <f>IF($A461="","",IF(IF($B461="343",NETWORKDAYS($A461,$A461,FERIADOS_343),IF($B461="281",NETWORKDAYS($A461,$A461,FERIADOS_281),NETWORKDAYS($A461,$A461,FERIADOS_342)))=1,"SIM","NÃO"))</f>
      </c>
      <c r="P461" s="232">
        <f>IF($A461="","",$A461-WEEKDAY($A461,2)+5)</f>
      </c>
    </row>
    <row r="462">
      <c r="A462" s="220" t="n"/>
      <c r="B462" s="218" t="n"/>
      <c r="C462" s="218" t="n"/>
      <c r="D462" s="218" t="n"/>
      <c r="E462" s="218" t="n"/>
      <c r="F462" s="328" t="n"/>
      <c r="G462" s="218" t="n"/>
      <c r="H462" s="218" t="n"/>
      <c r="I462" s="218" t="n"/>
      <c r="J462" s="218" t="n"/>
      <c r="K462" s="218" t="n"/>
      <c r="L462" s="218" t="n"/>
      <c r="M462" s="218" t="n"/>
      <c r="N462" s="218" t="n"/>
      <c r="O462" s="222">
        <f>IF($A462="","",IF(IF($B462="343",NETWORKDAYS($A462,$A462,FERIADOS_343),IF($B462="281",NETWORKDAYS($A462,$A462,FERIADOS_281),NETWORKDAYS($A462,$A462,FERIADOS_342)))=1,"SIM","NÃO"))</f>
      </c>
      <c r="P462" s="232">
        <f>IF($A462="","",$A462-WEEKDAY($A462,2)+5)</f>
      </c>
    </row>
    <row r="463">
      <c r="A463" s="220" t="n"/>
      <c r="B463" s="218" t="n"/>
      <c r="C463" s="218" t="n"/>
      <c r="D463" s="218" t="n"/>
      <c r="E463" s="218" t="n"/>
      <c r="F463" s="328" t="n"/>
      <c r="G463" s="218" t="n"/>
      <c r="H463" s="218" t="n"/>
      <c r="I463" s="218" t="n"/>
      <c r="J463" s="218" t="n"/>
      <c r="K463" s="218" t="n"/>
      <c r="L463" s="218" t="n"/>
      <c r="M463" s="218" t="n"/>
      <c r="N463" s="218" t="n"/>
      <c r="O463" s="222">
        <f>IF($A463="","",IF(IF($B463="343",NETWORKDAYS($A463,$A463,FERIADOS_343),IF($B463="281",NETWORKDAYS($A463,$A463,FERIADOS_281),NETWORKDAYS($A463,$A463,FERIADOS_342)))=1,"SIM","NÃO"))</f>
      </c>
      <c r="P463" s="232">
        <f>IF($A463="","",$A463-WEEKDAY($A463,2)+5)</f>
      </c>
    </row>
    <row r="464">
      <c r="A464" s="220" t="n"/>
      <c r="B464" s="218" t="n"/>
      <c r="C464" s="218" t="n"/>
      <c r="D464" s="218" t="n"/>
      <c r="E464" s="218" t="n"/>
      <c r="F464" s="328" t="n"/>
      <c r="G464" s="218" t="n"/>
      <c r="H464" s="218" t="n"/>
      <c r="I464" s="218" t="n"/>
      <c r="J464" s="218" t="n"/>
      <c r="K464" s="218" t="n"/>
      <c r="L464" s="218" t="n"/>
      <c r="M464" s="218" t="n"/>
      <c r="N464" s="218" t="n"/>
      <c r="O464" s="222">
        <f>IF($A464="","",IF(IF($B464="343",NETWORKDAYS($A464,$A464,FERIADOS_343),IF($B464="281",NETWORKDAYS($A464,$A464,FERIADOS_281),NETWORKDAYS($A464,$A464,FERIADOS_342)))=1,"SIM","NÃO"))</f>
      </c>
      <c r="P464" s="232">
        <f>IF($A464="","",$A464-WEEKDAY($A464,2)+5)</f>
      </c>
    </row>
    <row r="465">
      <c r="A465" s="220" t="n"/>
      <c r="B465" s="218" t="n"/>
      <c r="C465" s="218" t="n"/>
      <c r="D465" s="218" t="n"/>
      <c r="E465" s="218" t="n"/>
      <c r="F465" s="328" t="n"/>
      <c r="G465" s="218" t="n"/>
      <c r="H465" s="218" t="n"/>
      <c r="I465" s="218" t="n"/>
      <c r="J465" s="218" t="n"/>
      <c r="K465" s="218" t="n"/>
      <c r="L465" s="218" t="n"/>
      <c r="M465" s="218" t="n"/>
      <c r="N465" s="218" t="n"/>
      <c r="O465" s="222">
        <f>IF($A465="","",IF(IF($B465="343",NETWORKDAYS($A465,$A465,FERIADOS_343),IF($B465="281",NETWORKDAYS($A465,$A465,FERIADOS_281),NETWORKDAYS($A465,$A465,FERIADOS_342)))=1,"SIM","NÃO"))</f>
      </c>
      <c r="P465" s="232">
        <f>IF($A465="","",$A465-WEEKDAY($A465,2)+5)</f>
      </c>
    </row>
    <row r="466">
      <c r="A466" s="220" t="n"/>
      <c r="B466" s="218" t="n"/>
      <c r="C466" s="218" t="n"/>
      <c r="D466" s="218" t="n"/>
      <c r="E466" s="218" t="n"/>
      <c r="F466" s="328" t="n"/>
      <c r="G466" s="218" t="n"/>
      <c r="H466" s="218" t="n"/>
      <c r="I466" s="218" t="n"/>
      <c r="J466" s="218" t="n"/>
      <c r="K466" s="218" t="n"/>
      <c r="L466" s="218" t="n"/>
      <c r="M466" s="218" t="n"/>
      <c r="N466" s="218" t="n"/>
      <c r="O466" s="222">
        <f>IF($A466="","",IF(IF($B466="343",NETWORKDAYS($A466,$A466,FERIADOS_343),IF($B466="281",NETWORKDAYS($A466,$A466,FERIADOS_281),NETWORKDAYS($A466,$A466,FERIADOS_342)))=1,"SIM","NÃO"))</f>
      </c>
      <c r="P466" s="232">
        <f>IF($A466="","",$A466-WEEKDAY($A466,2)+5)</f>
      </c>
    </row>
    <row r="467">
      <c r="A467" s="220" t="n"/>
      <c r="B467" s="218" t="n"/>
      <c r="C467" s="218" t="n"/>
      <c r="D467" s="218" t="n"/>
      <c r="E467" s="218" t="n"/>
      <c r="F467" s="328" t="n"/>
      <c r="G467" s="218" t="n"/>
      <c r="H467" s="218" t="n"/>
      <c r="I467" s="218" t="n"/>
      <c r="J467" s="218" t="n"/>
      <c r="K467" s="218" t="n"/>
      <c r="L467" s="218" t="n"/>
      <c r="M467" s="218" t="n"/>
      <c r="N467" s="218" t="n"/>
      <c r="O467" s="222">
        <f>IF($A467="","",IF(IF($B467="343",NETWORKDAYS($A467,$A467,FERIADOS_343),IF($B467="281",NETWORKDAYS($A467,$A467,FERIADOS_281),NETWORKDAYS($A467,$A467,FERIADOS_342)))=1,"SIM","NÃO"))</f>
      </c>
      <c r="P467" s="232">
        <f>IF($A467="","",$A467-WEEKDAY($A467,2)+5)</f>
      </c>
    </row>
    <row r="468">
      <c r="A468" s="220" t="n"/>
      <c r="B468" s="218" t="n"/>
      <c r="C468" s="218" t="n"/>
      <c r="D468" s="218" t="n"/>
      <c r="E468" s="218" t="n"/>
      <c r="F468" s="328" t="n"/>
      <c r="G468" s="218" t="n"/>
      <c r="H468" s="218" t="n"/>
      <c r="I468" s="218" t="n"/>
      <c r="J468" s="218" t="n"/>
      <c r="K468" s="218" t="n"/>
      <c r="L468" s="218" t="n"/>
      <c r="M468" s="218" t="n"/>
      <c r="N468" s="218" t="n"/>
      <c r="O468" s="222">
        <f>IF($A468="","",IF(IF($B468="343",NETWORKDAYS($A468,$A468,FERIADOS_343),IF($B468="281",NETWORKDAYS($A468,$A468,FERIADOS_281),NETWORKDAYS($A468,$A468,FERIADOS_342)))=1,"SIM","NÃO"))</f>
      </c>
      <c r="P468" s="232">
        <f>IF($A468="","",$A468-WEEKDAY($A468,2)+5)</f>
      </c>
    </row>
    <row r="469">
      <c r="A469" s="220" t="n"/>
      <c r="B469" s="218" t="n"/>
      <c r="C469" s="218" t="n"/>
      <c r="D469" s="218" t="n"/>
      <c r="E469" s="218" t="n"/>
      <c r="F469" s="328" t="n"/>
      <c r="G469" s="218" t="n"/>
      <c r="H469" s="218" t="n"/>
      <c r="I469" s="218" t="n"/>
      <c r="J469" s="218" t="n"/>
      <c r="K469" s="218" t="n"/>
      <c r="L469" s="218" t="n"/>
      <c r="M469" s="218" t="n"/>
      <c r="N469" s="218" t="n"/>
      <c r="O469" s="222">
        <f>IF($A469="","",IF(IF($B469="343",NETWORKDAYS($A469,$A469,FERIADOS_343),IF($B469="281",NETWORKDAYS($A469,$A469,FERIADOS_281),NETWORKDAYS($A469,$A469,FERIADOS_342)))=1,"SIM","NÃO"))</f>
      </c>
      <c r="P469" s="232">
        <f>IF($A469="","",$A469-WEEKDAY($A469,2)+5)</f>
      </c>
    </row>
    <row r="470">
      <c r="A470" s="220" t="n"/>
      <c r="B470" s="218" t="n"/>
      <c r="C470" s="218" t="n"/>
      <c r="D470" s="218" t="n"/>
      <c r="E470" s="218" t="n"/>
      <c r="F470" s="328" t="n"/>
      <c r="G470" s="218" t="n"/>
      <c r="H470" s="218" t="n"/>
      <c r="I470" s="218" t="n"/>
      <c r="J470" s="218" t="n"/>
      <c r="K470" s="218" t="n"/>
      <c r="L470" s="218" t="n"/>
      <c r="M470" s="218" t="n"/>
      <c r="N470" s="218" t="n"/>
      <c r="O470" s="222">
        <f>IF($A470="","",IF(IF($B470="343",NETWORKDAYS($A470,$A470,FERIADOS_343),IF($B470="281",NETWORKDAYS($A470,$A470,FERIADOS_281),NETWORKDAYS($A470,$A470,FERIADOS_342)))=1,"SIM","NÃO"))</f>
      </c>
      <c r="P470" s="232">
        <f>IF($A470="","",$A470-WEEKDAY($A470,2)+5)</f>
      </c>
    </row>
    <row r="471">
      <c r="A471" s="220" t="n"/>
      <c r="B471" s="218" t="n"/>
      <c r="C471" s="218" t="n"/>
      <c r="D471" s="218" t="n"/>
      <c r="E471" s="218" t="n"/>
      <c r="F471" s="328" t="n"/>
      <c r="G471" s="218" t="n"/>
      <c r="H471" s="218" t="n"/>
      <c r="I471" s="218" t="n"/>
      <c r="J471" s="218" t="n"/>
      <c r="K471" s="218" t="n"/>
      <c r="L471" s="218" t="n"/>
      <c r="M471" s="218" t="n"/>
      <c r="N471" s="218" t="n"/>
      <c r="O471" s="222">
        <f>IF($A471="","",IF(IF($B471="343",NETWORKDAYS($A471,$A471,FERIADOS_343),IF($B471="281",NETWORKDAYS($A471,$A471,FERIADOS_281),NETWORKDAYS($A471,$A471,FERIADOS_342)))=1,"SIM","NÃO"))</f>
      </c>
      <c r="P471" s="232">
        <f>IF($A471="","",$A471-WEEKDAY($A471,2)+5)</f>
      </c>
    </row>
    <row r="472">
      <c r="A472" s="220" t="n"/>
      <c r="B472" s="218" t="n"/>
      <c r="C472" s="218" t="n"/>
      <c r="D472" s="218" t="n"/>
      <c r="E472" s="218" t="n"/>
      <c r="F472" s="328" t="n"/>
      <c r="G472" s="218" t="n"/>
      <c r="H472" s="218" t="n"/>
      <c r="I472" s="218" t="n"/>
      <c r="J472" s="218" t="n"/>
      <c r="K472" s="218" t="n"/>
      <c r="L472" s="218" t="n"/>
      <c r="M472" s="218" t="n"/>
      <c r="N472" s="218" t="n"/>
      <c r="O472" s="222">
        <f>IF($A472="","",IF(IF($B472="343",NETWORKDAYS($A472,$A472,FERIADOS_343),IF($B472="281",NETWORKDAYS($A472,$A472,FERIADOS_281),NETWORKDAYS($A472,$A472,FERIADOS_342)))=1,"SIM","NÃO"))</f>
      </c>
      <c r="P472" s="232">
        <f>IF($A472="","",$A472-WEEKDAY($A472,2)+5)</f>
      </c>
    </row>
    <row r="473">
      <c r="A473" s="220" t="n"/>
      <c r="B473" s="218" t="n"/>
      <c r="C473" s="218" t="n"/>
      <c r="D473" s="218" t="n"/>
      <c r="E473" s="218" t="n"/>
      <c r="F473" s="328" t="n"/>
      <c r="G473" s="218" t="n"/>
      <c r="H473" s="218" t="n"/>
      <c r="I473" s="218" t="n"/>
      <c r="J473" s="218" t="n"/>
      <c r="K473" s="218" t="n"/>
      <c r="L473" s="218" t="n"/>
      <c r="M473" s="218" t="n"/>
      <c r="N473" s="218" t="n"/>
      <c r="O473" s="222">
        <f>IF($A473="","",IF(IF($B473="343",NETWORKDAYS($A473,$A473,FERIADOS_343),IF($B473="281",NETWORKDAYS($A473,$A473,FERIADOS_281),NETWORKDAYS($A473,$A473,FERIADOS_342)))=1,"SIM","NÃO"))</f>
      </c>
      <c r="P473" s="232">
        <f>IF($A473="","",$A473-WEEKDAY($A473,2)+5)</f>
      </c>
    </row>
    <row r="474">
      <c r="A474" s="220" t="n"/>
      <c r="B474" s="218" t="n"/>
      <c r="C474" s="218" t="n"/>
      <c r="D474" s="218" t="n"/>
      <c r="E474" s="218" t="n"/>
      <c r="F474" s="328" t="n"/>
      <c r="G474" s="218" t="n"/>
      <c r="H474" s="218" t="n"/>
      <c r="I474" s="218" t="n"/>
      <c r="J474" s="218" t="n"/>
      <c r="K474" s="218" t="n"/>
      <c r="L474" s="218" t="n"/>
      <c r="M474" s="218" t="n"/>
      <c r="N474" s="218" t="n"/>
      <c r="O474" s="222">
        <f>IF($A474="","",IF(IF($B474="343",NETWORKDAYS($A474,$A474,FERIADOS_343),IF($B474="281",NETWORKDAYS($A474,$A474,FERIADOS_281),NETWORKDAYS($A474,$A474,FERIADOS_342)))=1,"SIM","NÃO"))</f>
      </c>
      <c r="P474" s="232">
        <f>IF($A474="","",$A474-WEEKDAY($A474,2)+5)</f>
      </c>
    </row>
    <row r="475">
      <c r="A475" s="220" t="n"/>
      <c r="B475" s="218" t="n"/>
      <c r="C475" s="218" t="n"/>
      <c r="D475" s="218" t="n"/>
      <c r="E475" s="218" t="n"/>
      <c r="F475" s="328" t="n"/>
      <c r="G475" s="218" t="n"/>
      <c r="H475" s="218" t="n"/>
      <c r="I475" s="218" t="n"/>
      <c r="J475" s="218" t="n"/>
      <c r="K475" s="218" t="n"/>
      <c r="L475" s="218" t="n"/>
      <c r="M475" s="218" t="n"/>
      <c r="N475" s="218" t="n"/>
      <c r="O475" s="222">
        <f>IF($A475="","",IF(IF($B475="343",NETWORKDAYS($A475,$A475,FERIADOS_343),IF($B475="281",NETWORKDAYS($A475,$A475,FERIADOS_281),NETWORKDAYS($A475,$A475,FERIADOS_342)))=1,"SIM","NÃO"))</f>
      </c>
      <c r="P475" s="232">
        <f>IF($A475="","",$A475-WEEKDAY($A475,2)+5)</f>
      </c>
    </row>
    <row r="476">
      <c r="A476" s="220" t="n"/>
      <c r="B476" s="218" t="n"/>
      <c r="C476" s="218" t="n"/>
      <c r="D476" s="218" t="n"/>
      <c r="E476" s="218" t="n"/>
      <c r="F476" s="328" t="n"/>
      <c r="G476" s="218" t="n"/>
      <c r="H476" s="218" t="n"/>
      <c r="I476" s="218" t="n"/>
      <c r="J476" s="218" t="n"/>
      <c r="K476" s="218" t="n"/>
      <c r="L476" s="218" t="n"/>
      <c r="M476" s="218" t="n"/>
      <c r="N476" s="218" t="n"/>
      <c r="O476" s="222">
        <f>IF($A476="","",IF(IF($B476="343",NETWORKDAYS($A476,$A476,FERIADOS_343),IF($B476="281",NETWORKDAYS($A476,$A476,FERIADOS_281),NETWORKDAYS($A476,$A476,FERIADOS_342)))=1,"SIM","NÃO"))</f>
      </c>
      <c r="P476" s="232">
        <f>IF($A476="","",$A476-WEEKDAY($A476,2)+5)</f>
      </c>
    </row>
    <row r="477">
      <c r="A477" s="220" t="n"/>
      <c r="B477" s="218" t="n"/>
      <c r="C477" s="218" t="n"/>
      <c r="D477" s="218" t="n"/>
      <c r="E477" s="218" t="n"/>
      <c r="F477" s="328" t="n"/>
      <c r="G477" s="218" t="n"/>
      <c r="H477" s="218" t="n"/>
      <c r="I477" s="218" t="n"/>
      <c r="J477" s="218" t="n"/>
      <c r="K477" s="218" t="n"/>
      <c r="L477" s="218" t="n"/>
      <c r="M477" s="218" t="n"/>
      <c r="N477" s="218" t="n"/>
      <c r="O477" s="222">
        <f>IF($A477="","",IF(IF($B477="343",NETWORKDAYS($A477,$A477,FERIADOS_343),IF($B477="281",NETWORKDAYS($A477,$A477,FERIADOS_281),NETWORKDAYS($A477,$A477,FERIADOS_342)))=1,"SIM","NÃO"))</f>
      </c>
      <c r="P477" s="232">
        <f>IF($A477="","",$A477-WEEKDAY($A477,2)+5)</f>
      </c>
    </row>
    <row r="478">
      <c r="A478" s="220" t="n"/>
      <c r="B478" s="218" t="n"/>
      <c r="C478" s="218" t="n"/>
      <c r="D478" s="218" t="n"/>
      <c r="E478" s="218" t="n"/>
      <c r="F478" s="328" t="n"/>
      <c r="G478" s="218" t="n"/>
      <c r="H478" s="218" t="n"/>
      <c r="I478" s="218" t="n"/>
      <c r="J478" s="218" t="n"/>
      <c r="K478" s="218" t="n"/>
      <c r="L478" s="218" t="n"/>
      <c r="M478" s="218" t="n"/>
      <c r="N478" s="218" t="n"/>
      <c r="O478" s="222">
        <f>IF($A478="","",IF(IF($B478="343",NETWORKDAYS($A478,$A478,FERIADOS_343),IF($B478="281",NETWORKDAYS($A478,$A478,FERIADOS_281),NETWORKDAYS($A478,$A478,FERIADOS_342)))=1,"SIM","NÃO"))</f>
      </c>
      <c r="P478" s="232">
        <f>IF($A478="","",$A478-WEEKDAY($A478,2)+5)</f>
      </c>
    </row>
    <row r="479">
      <c r="A479" s="220" t="n"/>
      <c r="B479" s="218" t="n"/>
      <c r="C479" s="218" t="n"/>
      <c r="D479" s="218" t="n"/>
      <c r="E479" s="218" t="n"/>
      <c r="F479" s="328" t="n"/>
      <c r="G479" s="218" t="n"/>
      <c r="H479" s="218" t="n"/>
      <c r="I479" s="218" t="n"/>
      <c r="J479" s="218" t="n"/>
      <c r="K479" s="218" t="n"/>
      <c r="L479" s="218" t="n"/>
      <c r="M479" s="218" t="n"/>
      <c r="N479" s="218" t="n"/>
      <c r="O479" s="222">
        <f>IF($A479="","",IF(IF($B479="343",NETWORKDAYS($A479,$A479,FERIADOS_343),IF($B479="281",NETWORKDAYS($A479,$A479,FERIADOS_281),NETWORKDAYS($A479,$A479,FERIADOS_342)))=1,"SIM","NÃO"))</f>
      </c>
      <c r="P479" s="232">
        <f>IF($A479="","",$A479-WEEKDAY($A479,2)+5)</f>
      </c>
    </row>
    <row r="480">
      <c r="A480" s="220" t="n"/>
      <c r="B480" s="218" t="n"/>
      <c r="C480" s="218" t="n"/>
      <c r="D480" s="218" t="n"/>
      <c r="E480" s="218" t="n"/>
      <c r="F480" s="328" t="n"/>
      <c r="G480" s="218" t="n"/>
      <c r="H480" s="218" t="n"/>
      <c r="I480" s="218" t="n"/>
      <c r="J480" s="218" t="n"/>
      <c r="K480" s="218" t="n"/>
      <c r="L480" s="218" t="n"/>
      <c r="M480" s="218" t="n"/>
      <c r="N480" s="218" t="n"/>
      <c r="O480" s="222">
        <f>IF($A480="","",IF(IF($B480="343",NETWORKDAYS($A480,$A480,FERIADOS_343),IF($B480="281",NETWORKDAYS($A480,$A480,FERIADOS_281),NETWORKDAYS($A480,$A480,FERIADOS_342)))=1,"SIM","NÃO"))</f>
      </c>
      <c r="P480" s="232">
        <f>IF($A480="","",$A480-WEEKDAY($A480,2)+5)</f>
      </c>
    </row>
    <row r="481">
      <c r="A481" s="220" t="n"/>
      <c r="B481" s="218" t="n"/>
      <c r="C481" s="218" t="n"/>
      <c r="D481" s="218" t="n"/>
      <c r="E481" s="218" t="n"/>
      <c r="F481" s="328" t="n"/>
      <c r="G481" s="218" t="n"/>
      <c r="H481" s="218" t="n"/>
      <c r="I481" s="218" t="n"/>
      <c r="J481" s="218" t="n"/>
      <c r="K481" s="218" t="n"/>
      <c r="L481" s="218" t="n"/>
      <c r="M481" s="218" t="n"/>
      <c r="N481" s="218" t="n"/>
      <c r="O481" s="222">
        <f>IF($A481="","",IF(IF($B481="343",NETWORKDAYS($A481,$A481,FERIADOS_343),IF($B481="281",NETWORKDAYS($A481,$A481,FERIADOS_281),NETWORKDAYS($A481,$A481,FERIADOS_342)))=1,"SIM","NÃO"))</f>
      </c>
      <c r="P481" s="232">
        <f>IF($A481="","",$A481-WEEKDAY($A481,2)+5)</f>
      </c>
    </row>
    <row r="482">
      <c r="A482" s="220" t="n"/>
      <c r="B482" s="218" t="n"/>
      <c r="C482" s="218" t="n"/>
      <c r="D482" s="218" t="n"/>
      <c r="E482" s="218" t="n"/>
      <c r="F482" s="328" t="n"/>
      <c r="G482" s="218" t="n"/>
      <c r="H482" s="218" t="n"/>
      <c r="I482" s="218" t="n"/>
      <c r="J482" s="218" t="n"/>
      <c r="K482" s="218" t="n"/>
      <c r="L482" s="218" t="n"/>
      <c r="M482" s="218" t="n"/>
      <c r="N482" s="218" t="n"/>
      <c r="O482" s="222">
        <f>IF($A482="","",IF(IF($B482="343",NETWORKDAYS($A482,$A482,FERIADOS_343),IF($B482="281",NETWORKDAYS($A482,$A482,FERIADOS_281),NETWORKDAYS($A482,$A482,FERIADOS_342)))=1,"SIM","NÃO"))</f>
      </c>
      <c r="P482" s="232">
        <f>IF($A482="","",$A482-WEEKDAY($A482,2)+5)</f>
      </c>
    </row>
    <row r="483">
      <c r="A483" s="220" t="n"/>
      <c r="B483" s="218" t="n"/>
      <c r="C483" s="218" t="n"/>
      <c r="D483" s="218" t="n"/>
      <c r="E483" s="218" t="n"/>
      <c r="F483" s="328" t="n"/>
      <c r="G483" s="218" t="n"/>
      <c r="H483" s="218" t="n"/>
      <c r="I483" s="218" t="n"/>
      <c r="J483" s="218" t="n"/>
      <c r="K483" s="218" t="n"/>
      <c r="L483" s="218" t="n"/>
      <c r="M483" s="218" t="n"/>
      <c r="N483" s="218" t="n"/>
      <c r="O483" s="222">
        <f>IF($A483="","",IF(IF($B483="343",NETWORKDAYS($A483,$A483,FERIADOS_343),IF($B483="281",NETWORKDAYS($A483,$A483,FERIADOS_281),NETWORKDAYS($A483,$A483,FERIADOS_342)))=1,"SIM","NÃO"))</f>
      </c>
      <c r="P483" s="232">
        <f>IF($A483="","",$A483-WEEKDAY($A483,2)+5)</f>
      </c>
    </row>
    <row r="484">
      <c r="A484" s="220" t="n"/>
      <c r="B484" s="218" t="n"/>
      <c r="C484" s="218" t="n"/>
      <c r="D484" s="218" t="n"/>
      <c r="E484" s="218" t="n"/>
      <c r="F484" s="328" t="n"/>
      <c r="G484" s="218" t="n"/>
      <c r="H484" s="218" t="n"/>
      <c r="I484" s="218" t="n"/>
      <c r="J484" s="218" t="n"/>
      <c r="K484" s="218" t="n"/>
      <c r="L484" s="218" t="n"/>
      <c r="M484" s="218" t="n"/>
      <c r="N484" s="218" t="n"/>
      <c r="O484" s="222">
        <f>IF($A484="","",IF(IF($B484="343",NETWORKDAYS($A484,$A484,FERIADOS_343),IF($B484="281",NETWORKDAYS($A484,$A484,FERIADOS_281),NETWORKDAYS($A484,$A484,FERIADOS_342)))=1,"SIM","NÃO"))</f>
      </c>
      <c r="P484" s="232">
        <f>IF($A484="","",$A484-WEEKDAY($A484,2)+5)</f>
      </c>
    </row>
    <row r="485">
      <c r="A485" s="220" t="n"/>
      <c r="B485" s="218" t="n"/>
      <c r="C485" s="218" t="n"/>
      <c r="D485" s="218" t="n"/>
      <c r="E485" s="218" t="n"/>
      <c r="F485" s="328" t="n"/>
      <c r="G485" s="218" t="n"/>
      <c r="H485" s="218" t="n"/>
      <c r="I485" s="218" t="n"/>
      <c r="J485" s="218" t="n"/>
      <c r="K485" s="218" t="n"/>
      <c r="L485" s="218" t="n"/>
      <c r="M485" s="218" t="n"/>
      <c r="N485" s="218" t="n"/>
      <c r="O485" s="222">
        <f>IF($A485="","",IF(IF($B485="343",NETWORKDAYS($A485,$A485,FERIADOS_343),IF($B485="281",NETWORKDAYS($A485,$A485,FERIADOS_281),NETWORKDAYS($A485,$A485,FERIADOS_342)))=1,"SIM","NÃO"))</f>
      </c>
      <c r="P485" s="232">
        <f>IF($A485="","",$A485-WEEKDAY($A485,2)+5)</f>
      </c>
    </row>
    <row r="486">
      <c r="A486" s="220" t="n"/>
      <c r="B486" s="218" t="n"/>
      <c r="C486" s="218" t="n"/>
      <c r="D486" s="218" t="n"/>
      <c r="E486" s="218" t="n"/>
      <c r="F486" s="328" t="n"/>
      <c r="G486" s="218" t="n"/>
      <c r="H486" s="218" t="n"/>
      <c r="I486" s="218" t="n"/>
      <c r="J486" s="218" t="n"/>
      <c r="K486" s="218" t="n"/>
      <c r="L486" s="218" t="n"/>
      <c r="M486" s="218" t="n"/>
      <c r="N486" s="218" t="n"/>
      <c r="O486" s="222">
        <f>IF($A486="","",IF(IF($B486="343",NETWORKDAYS($A486,$A486,FERIADOS_343),IF($B486="281",NETWORKDAYS($A486,$A486,FERIADOS_281),NETWORKDAYS($A486,$A486,FERIADOS_342)))=1,"SIM","NÃO"))</f>
      </c>
      <c r="P486" s="232">
        <f>IF($A486="","",$A486-WEEKDAY($A486,2)+5)</f>
      </c>
    </row>
    <row r="487">
      <c r="A487" s="220" t="n"/>
      <c r="B487" s="218" t="n"/>
      <c r="C487" s="218" t="n"/>
      <c r="D487" s="218" t="n"/>
      <c r="E487" s="218" t="n"/>
      <c r="F487" s="328" t="n"/>
      <c r="G487" s="218" t="n"/>
      <c r="H487" s="218" t="n"/>
      <c r="I487" s="218" t="n"/>
      <c r="J487" s="218" t="n"/>
      <c r="K487" s="218" t="n"/>
      <c r="L487" s="218" t="n"/>
      <c r="M487" s="218" t="n"/>
      <c r="N487" s="218" t="n"/>
      <c r="O487" s="222">
        <f>IF($A487="","",IF(IF($B487="343",NETWORKDAYS($A487,$A487,FERIADOS_343),IF($B487="281",NETWORKDAYS($A487,$A487,FERIADOS_281),NETWORKDAYS($A487,$A487,FERIADOS_342)))=1,"SIM","NÃO"))</f>
      </c>
      <c r="P487" s="232">
        <f>IF($A487="","",$A487-WEEKDAY($A487,2)+5)</f>
      </c>
    </row>
    <row r="488">
      <c r="A488" s="220" t="n"/>
      <c r="B488" s="218" t="n"/>
      <c r="C488" s="218" t="n"/>
      <c r="D488" s="218" t="n"/>
      <c r="E488" s="218" t="n"/>
      <c r="F488" s="328" t="n"/>
      <c r="G488" s="218" t="n"/>
      <c r="H488" s="218" t="n"/>
      <c r="I488" s="218" t="n"/>
      <c r="J488" s="218" t="n"/>
      <c r="K488" s="218" t="n"/>
      <c r="L488" s="218" t="n"/>
      <c r="M488" s="218" t="n"/>
      <c r="N488" s="218" t="n"/>
      <c r="O488" s="222">
        <f>IF($A488="","",IF(IF($B488="343",NETWORKDAYS($A488,$A488,FERIADOS_343),IF($B488="281",NETWORKDAYS($A488,$A488,FERIADOS_281),NETWORKDAYS($A488,$A488,FERIADOS_342)))=1,"SIM","NÃO"))</f>
      </c>
      <c r="P488" s="232">
        <f>IF($A488="","",$A488-WEEKDAY($A488,2)+5)</f>
      </c>
    </row>
    <row r="489">
      <c r="A489" s="220" t="n"/>
      <c r="B489" s="218" t="n"/>
      <c r="C489" s="218" t="n"/>
      <c r="D489" s="218" t="n"/>
      <c r="E489" s="218" t="n"/>
      <c r="F489" s="328" t="n"/>
      <c r="G489" s="218" t="n"/>
      <c r="H489" s="218" t="n"/>
      <c r="I489" s="218" t="n"/>
      <c r="J489" s="218" t="n"/>
      <c r="K489" s="218" t="n"/>
      <c r="L489" s="218" t="n"/>
      <c r="M489" s="218" t="n"/>
      <c r="N489" s="218" t="n"/>
      <c r="O489" s="222">
        <f>IF($A489="","",IF(IF($B489="343",NETWORKDAYS($A489,$A489,FERIADOS_343),IF($B489="281",NETWORKDAYS($A489,$A489,FERIADOS_281),NETWORKDAYS($A489,$A489,FERIADOS_342)))=1,"SIM","NÃO"))</f>
      </c>
      <c r="P489" s="232">
        <f>IF($A489="","",$A489-WEEKDAY($A489,2)+5)</f>
      </c>
    </row>
    <row r="490">
      <c r="A490" s="220" t="n"/>
      <c r="B490" s="218" t="n"/>
      <c r="C490" s="218" t="n"/>
      <c r="D490" s="218" t="n"/>
      <c r="E490" s="218" t="n"/>
      <c r="F490" s="328" t="n"/>
      <c r="G490" s="218" t="n"/>
      <c r="H490" s="218" t="n"/>
      <c r="I490" s="218" t="n"/>
      <c r="J490" s="218" t="n"/>
      <c r="K490" s="218" t="n"/>
      <c r="L490" s="218" t="n"/>
      <c r="M490" s="218" t="n"/>
      <c r="N490" s="218" t="n"/>
      <c r="O490" s="222">
        <f>IF($A490="","",IF(IF($B490="343",NETWORKDAYS($A490,$A490,FERIADOS_343),IF($B490="281",NETWORKDAYS($A490,$A490,FERIADOS_281),NETWORKDAYS($A490,$A490,FERIADOS_342)))=1,"SIM","NÃO"))</f>
      </c>
      <c r="P490" s="232">
        <f>IF($A490="","",$A490-WEEKDAY($A490,2)+5)</f>
      </c>
    </row>
    <row r="491">
      <c r="A491" s="220" t="n"/>
      <c r="B491" s="218" t="n"/>
      <c r="C491" s="218" t="n"/>
      <c r="D491" s="218" t="n"/>
      <c r="E491" s="218" t="n"/>
      <c r="F491" s="328" t="n"/>
      <c r="G491" s="218" t="n"/>
      <c r="H491" s="218" t="n"/>
      <c r="I491" s="218" t="n"/>
      <c r="J491" s="218" t="n"/>
      <c r="K491" s="218" t="n"/>
      <c r="L491" s="218" t="n"/>
      <c r="M491" s="218" t="n"/>
      <c r="N491" s="218" t="n"/>
      <c r="O491" s="222">
        <f>IF($A491="","",IF(IF($B491="343",NETWORKDAYS($A491,$A491,FERIADOS_343),IF($B491="281",NETWORKDAYS($A491,$A491,FERIADOS_281),NETWORKDAYS($A491,$A491,FERIADOS_342)))=1,"SIM","NÃO"))</f>
      </c>
      <c r="P491" s="232">
        <f>IF($A491="","",$A491-WEEKDAY($A491,2)+5)</f>
      </c>
    </row>
    <row r="492">
      <c r="A492" s="220" t="n"/>
      <c r="B492" s="218" t="n"/>
      <c r="C492" s="218" t="n"/>
      <c r="D492" s="218" t="n"/>
      <c r="E492" s="218" t="n"/>
      <c r="F492" s="328" t="n"/>
      <c r="G492" s="218" t="n"/>
      <c r="H492" s="218" t="n"/>
      <c r="I492" s="218" t="n"/>
      <c r="J492" s="218" t="n"/>
      <c r="K492" s="218" t="n"/>
      <c r="L492" s="218" t="n"/>
      <c r="M492" s="218" t="n"/>
      <c r="N492" s="218" t="n"/>
      <c r="O492" s="222">
        <f>IF($A492="","",IF(IF($B492="343",NETWORKDAYS($A492,$A492,FERIADOS_343),IF($B492="281",NETWORKDAYS($A492,$A492,FERIADOS_281),NETWORKDAYS($A492,$A492,FERIADOS_342)))=1,"SIM","NÃO"))</f>
      </c>
      <c r="P492" s="232">
        <f>IF($A492="","",$A492-WEEKDAY($A492,2)+5)</f>
      </c>
    </row>
    <row r="493">
      <c r="A493" s="220" t="n"/>
      <c r="B493" s="218" t="n"/>
      <c r="C493" s="218" t="n"/>
      <c r="D493" s="218" t="n"/>
      <c r="E493" s="218" t="n"/>
      <c r="F493" s="328" t="n"/>
      <c r="G493" s="218" t="n"/>
      <c r="H493" s="218" t="n"/>
      <c r="I493" s="218" t="n"/>
      <c r="J493" s="218" t="n"/>
      <c r="K493" s="218" t="n"/>
      <c r="L493" s="218" t="n"/>
      <c r="M493" s="218" t="n"/>
      <c r="N493" s="218" t="n"/>
      <c r="O493" s="222">
        <f>IF($A493="","",IF(IF($B493="343",NETWORKDAYS($A493,$A493,FERIADOS_343),IF($B493="281",NETWORKDAYS($A493,$A493,FERIADOS_281),NETWORKDAYS($A493,$A493,FERIADOS_342)))=1,"SIM","NÃO"))</f>
      </c>
      <c r="P493" s="232">
        <f>IF($A493="","",$A493-WEEKDAY($A493,2)+5)</f>
      </c>
    </row>
    <row r="494">
      <c r="A494" s="220" t="n"/>
      <c r="B494" s="218" t="n"/>
      <c r="C494" s="218" t="n"/>
      <c r="D494" s="218" t="n"/>
      <c r="E494" s="218" t="n"/>
      <c r="F494" s="328" t="n"/>
      <c r="G494" s="218" t="n"/>
      <c r="H494" s="218" t="n"/>
      <c r="I494" s="218" t="n"/>
      <c r="J494" s="218" t="n"/>
      <c r="K494" s="218" t="n"/>
      <c r="L494" s="218" t="n"/>
      <c r="M494" s="218" t="n"/>
      <c r="N494" s="218" t="n"/>
      <c r="O494" s="222">
        <f>IF($A494="","",IF(IF($B494="343",NETWORKDAYS($A494,$A494,FERIADOS_343),IF($B494="281",NETWORKDAYS($A494,$A494,FERIADOS_281),NETWORKDAYS($A494,$A494,FERIADOS_342)))=1,"SIM","NÃO"))</f>
      </c>
      <c r="P494" s="232">
        <f>IF($A494="","",$A494-WEEKDAY($A494,2)+5)</f>
      </c>
    </row>
    <row r="495">
      <c r="A495" s="220" t="n"/>
      <c r="B495" s="218" t="n"/>
      <c r="C495" s="218" t="n"/>
      <c r="D495" s="218" t="n"/>
      <c r="E495" s="218" t="n"/>
      <c r="F495" s="328" t="n"/>
      <c r="G495" s="218" t="n"/>
      <c r="H495" s="218" t="n"/>
      <c r="I495" s="218" t="n"/>
      <c r="J495" s="218" t="n"/>
      <c r="K495" s="218" t="n"/>
      <c r="L495" s="218" t="n"/>
      <c r="M495" s="218" t="n"/>
      <c r="N495" s="218" t="n"/>
      <c r="O495" s="222">
        <f>IF($A495="","",IF(IF($B495="343",NETWORKDAYS($A495,$A495,FERIADOS_343),IF($B495="281",NETWORKDAYS($A495,$A495,FERIADOS_281),NETWORKDAYS($A495,$A495,FERIADOS_342)))=1,"SIM","NÃO"))</f>
      </c>
      <c r="P495" s="232">
        <f>IF($A495="","",$A495-WEEKDAY($A495,2)+5)</f>
      </c>
    </row>
    <row r="496">
      <c r="A496" s="220" t="n"/>
      <c r="B496" s="218" t="n"/>
      <c r="C496" s="218" t="n"/>
      <c r="D496" s="218" t="n"/>
      <c r="E496" s="218" t="n"/>
      <c r="F496" s="328" t="n"/>
      <c r="G496" s="218" t="n"/>
      <c r="H496" s="218" t="n"/>
      <c r="I496" s="218" t="n"/>
      <c r="J496" s="218" t="n"/>
      <c r="K496" s="218" t="n"/>
      <c r="L496" s="218" t="n"/>
      <c r="M496" s="218" t="n"/>
      <c r="N496" s="218" t="n"/>
      <c r="O496" s="222">
        <f>IF($A496="","",IF(IF($B496="343",NETWORKDAYS($A496,$A496,FERIADOS_343),IF($B496="281",NETWORKDAYS($A496,$A496,FERIADOS_281),NETWORKDAYS($A496,$A496,FERIADOS_342)))=1,"SIM","NÃO"))</f>
      </c>
      <c r="P496" s="232">
        <f>IF($A496="","",$A496-WEEKDAY($A496,2)+5)</f>
      </c>
    </row>
    <row r="497">
      <c r="A497" s="220" t="n"/>
      <c r="B497" s="218" t="n"/>
      <c r="C497" s="218" t="n"/>
      <c r="D497" s="218" t="n"/>
      <c r="E497" s="218" t="n"/>
      <c r="F497" s="328" t="n"/>
      <c r="G497" s="218" t="n"/>
      <c r="H497" s="218" t="n"/>
      <c r="I497" s="218" t="n"/>
      <c r="J497" s="218" t="n"/>
      <c r="K497" s="218" t="n"/>
      <c r="L497" s="218" t="n"/>
      <c r="M497" s="218" t="n"/>
      <c r="N497" s="218" t="n"/>
      <c r="O497" s="222">
        <f>IF($A497="","",IF(IF($B497="343",NETWORKDAYS($A497,$A497,FERIADOS_343),IF($B497="281",NETWORKDAYS($A497,$A497,FERIADOS_281),NETWORKDAYS($A497,$A497,FERIADOS_342)))=1,"SIM","NÃO"))</f>
      </c>
      <c r="P497" s="232">
        <f>IF($A497="","",$A497-WEEKDAY($A497,2)+5)</f>
      </c>
    </row>
    <row r="498">
      <c r="A498" s="220" t="n"/>
      <c r="B498" s="218" t="n"/>
      <c r="C498" s="218" t="n"/>
      <c r="D498" s="218" t="n"/>
      <c r="E498" s="218" t="n"/>
      <c r="F498" s="328" t="n"/>
      <c r="G498" s="218" t="n"/>
      <c r="H498" s="218" t="n"/>
      <c r="I498" s="218" t="n"/>
      <c r="J498" s="218" t="n"/>
      <c r="K498" s="218" t="n"/>
      <c r="L498" s="218" t="n"/>
      <c r="M498" s="218" t="n"/>
      <c r="N498" s="218" t="n"/>
      <c r="O498" s="222">
        <f>IF($A498="","",IF(IF($B498="343",NETWORKDAYS($A498,$A498,FERIADOS_343),IF($B498="281",NETWORKDAYS($A498,$A498,FERIADOS_281),NETWORKDAYS($A498,$A498,FERIADOS_342)))=1,"SIM","NÃO"))</f>
      </c>
      <c r="P498" s="232">
        <f>IF($A498="","",$A498-WEEKDAY($A498,2)+5)</f>
      </c>
    </row>
    <row r="499">
      <c r="A499" s="220" t="n"/>
      <c r="B499" s="218" t="n"/>
      <c r="C499" s="218" t="n"/>
      <c r="D499" s="218" t="n"/>
      <c r="E499" s="218" t="n"/>
      <c r="F499" s="328" t="n"/>
      <c r="G499" s="218" t="n"/>
      <c r="H499" s="218" t="n"/>
      <c r="I499" s="218" t="n"/>
      <c r="J499" s="218" t="n"/>
      <c r="K499" s="218" t="n"/>
      <c r="L499" s="218" t="n"/>
      <c r="M499" s="218" t="n"/>
      <c r="N499" s="218" t="n"/>
      <c r="O499" s="222">
        <f>IF($A499="","",IF(IF($B499="343",NETWORKDAYS($A499,$A499,FERIADOS_343),IF($B499="281",NETWORKDAYS($A499,$A499,FERIADOS_281),NETWORKDAYS($A499,$A499,FERIADOS_342)))=1,"SIM","NÃO"))</f>
      </c>
      <c r="P499" s="232">
        <f>IF($A499="","",$A499-WEEKDAY($A499,2)+5)</f>
      </c>
    </row>
    <row r="500">
      <c r="A500" s="220" t="n"/>
      <c r="B500" s="218" t="n"/>
      <c r="C500" s="218" t="n"/>
      <c r="D500" s="218" t="n"/>
      <c r="E500" s="218" t="n"/>
      <c r="F500" s="328" t="n"/>
      <c r="G500" s="218" t="n"/>
      <c r="H500" s="218" t="n"/>
      <c r="I500" s="218" t="n"/>
      <c r="J500" s="218" t="n"/>
      <c r="K500" s="218" t="n"/>
      <c r="L500" s="218" t="n"/>
      <c r="M500" s="218" t="n"/>
      <c r="N500" s="218" t="n"/>
      <c r="O500" s="222">
        <f>IF($A500="","",IF(IF($B500="343",NETWORKDAYS($A500,$A500,FERIADOS_343),IF($B500="281",NETWORKDAYS($A500,$A500,FERIADOS_281),NETWORKDAYS($A500,$A500,FERIADOS_342)))=1,"SIM","NÃO"))</f>
      </c>
      <c r="P500" s="232">
        <f>IF($A500="","",$A500-WEEKDAY($A500,2)+5)</f>
      </c>
    </row>
    <row r="501">
      <c r="A501" s="220" t="n"/>
      <c r="B501" s="218" t="n"/>
      <c r="C501" s="218" t="n"/>
      <c r="D501" s="218" t="n"/>
      <c r="E501" s="218" t="n"/>
      <c r="F501" s="328" t="n"/>
      <c r="G501" s="218" t="n"/>
      <c r="H501" s="218" t="n"/>
      <c r="I501" s="218" t="n"/>
      <c r="J501" s="218" t="n"/>
      <c r="K501" s="218" t="n"/>
      <c r="L501" s="218" t="n"/>
      <c r="M501" s="218" t="n"/>
      <c r="N501" s="218" t="n"/>
      <c r="O501" s="222">
        <f>IF($A501="","",IF(IF($B501="343",NETWORKDAYS($A501,$A501,FERIADOS_343),IF($B501="281",NETWORKDAYS($A501,$A501,FERIADOS_281),NETWORKDAYS($A501,$A501,FERIADOS_342)))=1,"SIM","NÃO"))</f>
      </c>
      <c r="P501" s="232">
        <f>IF($A501="","",$A501-WEEKDAY($A501,2)+5)</f>
      </c>
    </row>
    <row r="502">
      <c r="A502" s="220" t="n"/>
      <c r="B502" s="218" t="n"/>
      <c r="C502" s="218" t="n"/>
      <c r="D502" s="218" t="n"/>
      <c r="E502" s="218" t="n"/>
      <c r="F502" s="328" t="n"/>
      <c r="G502" s="218" t="n"/>
      <c r="H502" s="218" t="n"/>
      <c r="I502" s="218" t="n"/>
      <c r="J502" s="218" t="n"/>
      <c r="K502" s="218" t="n"/>
      <c r="L502" s="218" t="n"/>
      <c r="M502" s="218" t="n"/>
      <c r="N502" s="218" t="n"/>
      <c r="O502" s="222">
        <f>IF($A502="","",IF(IF($B502="343",NETWORKDAYS($A502,$A502,FERIADOS_343),IF($B502="281",NETWORKDAYS($A502,$A502,FERIADOS_281),NETWORKDAYS($A502,$A502,FERIADOS_342)))=1,"SIM","NÃO"))</f>
      </c>
      <c r="P502" s="232">
        <f>IF($A502="","",$A502-WEEKDAY($A502,2)+5)</f>
      </c>
    </row>
    <row r="503">
      <c r="A503" s="220" t="n"/>
      <c r="B503" s="218" t="n"/>
      <c r="C503" s="218" t="n"/>
      <c r="D503" s="218" t="n"/>
      <c r="E503" s="218" t="n"/>
      <c r="F503" s="328" t="n"/>
      <c r="G503" s="218" t="n"/>
      <c r="H503" s="218" t="n"/>
      <c r="I503" s="218" t="n"/>
      <c r="J503" s="218" t="n"/>
      <c r="K503" s="218" t="n"/>
      <c r="L503" s="218" t="n"/>
      <c r="M503" s="218" t="n"/>
      <c r="N503" s="218" t="n"/>
      <c r="O503" s="222">
        <f>IF($A503="","",IF(IF($B503="343",NETWORKDAYS($A503,$A503,FERIADOS_343),IF($B503="281",NETWORKDAYS($A503,$A503,FERIADOS_281),NETWORKDAYS($A503,$A503,FERIADOS_342)))=1,"SIM","NÃO"))</f>
      </c>
      <c r="P503" s="232">
        <f>IF($A503="","",$A503-WEEKDAY($A503,2)+5)</f>
      </c>
    </row>
    <row r="504">
      <c r="A504" s="220" t="n"/>
      <c r="B504" s="218" t="n"/>
      <c r="C504" s="218" t="n"/>
      <c r="D504" s="218" t="n"/>
      <c r="E504" s="218" t="n"/>
      <c r="F504" s="328" t="n"/>
      <c r="G504" s="218" t="n"/>
      <c r="H504" s="218" t="n"/>
      <c r="I504" s="218" t="n"/>
      <c r="J504" s="218" t="n"/>
      <c r="K504" s="218" t="n"/>
      <c r="L504" s="218" t="n"/>
      <c r="M504" s="218" t="n"/>
      <c r="N504" s="218" t="n"/>
      <c r="O504" s="222">
        <f>IF($A504="","",IF(IF($B504="343",NETWORKDAYS($A504,$A504,FERIADOS_343),IF($B504="281",NETWORKDAYS($A504,$A504,FERIADOS_281),NETWORKDAYS($A504,$A504,FERIADOS_342)))=1,"SIM","NÃO"))</f>
      </c>
      <c r="P504" s="232">
        <f>IF($A504="","",$A504-WEEKDAY($A504,2)+5)</f>
      </c>
    </row>
    <row r="505">
      <c r="A505" s="220" t="n"/>
      <c r="B505" s="218" t="n"/>
      <c r="C505" s="218" t="n"/>
      <c r="D505" s="218" t="n"/>
      <c r="E505" s="218" t="n"/>
      <c r="F505" s="328" t="n"/>
      <c r="G505" s="218" t="n"/>
      <c r="H505" s="218" t="n"/>
      <c r="I505" s="218" t="n"/>
      <c r="J505" s="218" t="n"/>
      <c r="K505" s="218" t="n"/>
      <c r="L505" s="218" t="n"/>
      <c r="M505" s="218" t="n"/>
      <c r="N505" s="218" t="n"/>
      <c r="O505" s="222">
        <f>IF($A505="","",IF(IF($B505="343",NETWORKDAYS($A505,$A505,FERIADOS_343),IF($B505="281",NETWORKDAYS($A505,$A505,FERIADOS_281),NETWORKDAYS($A505,$A505,FERIADOS_342)))=1,"SIM","NÃO"))</f>
      </c>
      <c r="P505" s="232">
        <f>IF($A505="","",$A505-WEEKDAY($A505,2)+5)</f>
      </c>
    </row>
    <row r="506">
      <c r="A506" s="220" t="n"/>
      <c r="B506" s="218" t="n"/>
      <c r="C506" s="218" t="n"/>
      <c r="D506" s="218" t="n"/>
      <c r="E506" s="218" t="n"/>
      <c r="F506" s="328" t="n"/>
      <c r="G506" s="218" t="n"/>
      <c r="H506" s="218" t="n"/>
      <c r="I506" s="218" t="n"/>
      <c r="J506" s="218" t="n"/>
      <c r="K506" s="218" t="n"/>
      <c r="L506" s="218" t="n"/>
      <c r="M506" s="218" t="n"/>
      <c r="N506" s="218" t="n"/>
      <c r="O506" s="222">
        <f>IF($A506="","",IF(IF($B506="343",NETWORKDAYS($A506,$A506,FERIADOS_343),IF($B506="281",NETWORKDAYS($A506,$A506,FERIADOS_281),NETWORKDAYS($A506,$A506,FERIADOS_342)))=1,"SIM","NÃO"))</f>
      </c>
      <c r="P506" s="232">
        <f>IF($A506="","",$A506-WEEKDAY($A506,2)+5)</f>
      </c>
    </row>
    <row r="507">
      <c r="A507" s="220" t="n"/>
      <c r="B507" s="218" t="n"/>
      <c r="C507" s="218" t="n"/>
      <c r="D507" s="218" t="n"/>
      <c r="E507" s="218" t="n"/>
      <c r="F507" s="328" t="n"/>
      <c r="G507" s="218" t="n"/>
      <c r="H507" s="218" t="n"/>
      <c r="I507" s="218" t="n"/>
      <c r="J507" s="218" t="n"/>
      <c r="K507" s="218" t="n"/>
      <c r="L507" s="218" t="n"/>
      <c r="M507" s="218" t="n"/>
      <c r="N507" s="218" t="n"/>
      <c r="O507" s="222">
        <f>IF($A507="","",IF(IF($B507="343",NETWORKDAYS($A507,$A507,FERIADOS_343),IF($B507="281",NETWORKDAYS($A507,$A507,FERIADOS_281),NETWORKDAYS($A507,$A507,FERIADOS_342)))=1,"SIM","NÃO"))</f>
      </c>
      <c r="P507" s="232">
        <f>IF($A507="","",$A507-WEEKDAY($A507,2)+5)</f>
      </c>
    </row>
    <row r="508">
      <c r="A508" s="220" t="n"/>
      <c r="B508" s="218" t="n"/>
      <c r="C508" s="218" t="n"/>
      <c r="D508" s="218" t="n"/>
      <c r="E508" s="218" t="n"/>
      <c r="F508" s="328" t="n"/>
      <c r="G508" s="218" t="n"/>
      <c r="H508" s="218" t="n"/>
      <c r="I508" s="218" t="n"/>
      <c r="J508" s="218" t="n"/>
      <c r="K508" s="218" t="n"/>
      <c r="L508" s="218" t="n"/>
      <c r="M508" s="218" t="n"/>
      <c r="N508" s="218" t="n"/>
      <c r="O508" s="222">
        <f>IF($A508="","",IF(IF($B508="343",NETWORKDAYS($A508,$A508,FERIADOS_343),IF($B508="281",NETWORKDAYS($A508,$A508,FERIADOS_281),NETWORKDAYS($A508,$A508,FERIADOS_342)))=1,"SIM","NÃO"))</f>
      </c>
      <c r="P508" s="232">
        <f>IF($A508="","",$A508-WEEKDAY($A508,2)+5)</f>
      </c>
    </row>
    <row r="509">
      <c r="A509" s="220" t="n"/>
      <c r="B509" s="218" t="n"/>
      <c r="C509" s="218" t="n"/>
      <c r="D509" s="218" t="n"/>
      <c r="E509" s="218" t="n"/>
      <c r="F509" s="328" t="n"/>
      <c r="G509" s="218" t="n"/>
      <c r="H509" s="218" t="n"/>
      <c r="I509" s="218" t="n"/>
      <c r="J509" s="218" t="n"/>
      <c r="K509" s="218" t="n"/>
      <c r="L509" s="218" t="n"/>
      <c r="M509" s="218" t="n"/>
      <c r="N509" s="218" t="n"/>
      <c r="O509" s="222">
        <f>IF($A509="","",IF(IF($B509="343",NETWORKDAYS($A509,$A509,FERIADOS_343),IF($B509="281",NETWORKDAYS($A509,$A509,FERIADOS_281),NETWORKDAYS($A509,$A509,FERIADOS_342)))=1,"SIM","NÃO"))</f>
      </c>
      <c r="P509" s="232">
        <f>IF($A509="","",$A509-WEEKDAY($A509,2)+5)</f>
      </c>
    </row>
    <row r="510">
      <c r="A510" s="220" t="n"/>
      <c r="B510" s="218" t="n"/>
      <c r="C510" s="218" t="n"/>
      <c r="D510" s="218" t="n"/>
      <c r="E510" s="218" t="n"/>
      <c r="F510" s="328" t="n"/>
      <c r="G510" s="218" t="n"/>
      <c r="H510" s="218" t="n"/>
      <c r="I510" s="218" t="n"/>
      <c r="J510" s="218" t="n"/>
      <c r="K510" s="218" t="n"/>
      <c r="L510" s="218" t="n"/>
      <c r="M510" s="218" t="n"/>
      <c r="N510" s="218" t="n"/>
      <c r="O510" s="222">
        <f>IF($A510="","",IF(IF($B510="343",NETWORKDAYS($A510,$A510,FERIADOS_343),IF($B510="281",NETWORKDAYS($A510,$A510,FERIADOS_281),NETWORKDAYS($A510,$A510,FERIADOS_342)))=1,"SIM","NÃO"))</f>
      </c>
      <c r="P510" s="232">
        <f>IF($A510="","",$A510-WEEKDAY($A510,2)+5)</f>
      </c>
    </row>
    <row r="511">
      <c r="A511" s="220" t="n"/>
      <c r="B511" s="218" t="n"/>
      <c r="C511" s="218" t="n"/>
      <c r="D511" s="218" t="n"/>
      <c r="E511" s="218" t="n"/>
      <c r="F511" s="328" t="n"/>
      <c r="G511" s="218" t="n"/>
      <c r="H511" s="218" t="n"/>
      <c r="I511" s="218" t="n"/>
      <c r="J511" s="218" t="n"/>
      <c r="K511" s="218" t="n"/>
      <c r="L511" s="218" t="n"/>
      <c r="M511" s="218" t="n"/>
      <c r="N511" s="218" t="n"/>
      <c r="O511" s="222">
        <f>IF($A511="","",IF(IF($B511="343",NETWORKDAYS($A511,$A511,FERIADOS_343),IF($B511="281",NETWORKDAYS($A511,$A511,FERIADOS_281),NETWORKDAYS($A511,$A511,FERIADOS_342)))=1,"SIM","NÃO"))</f>
      </c>
      <c r="P511" s="232">
        <f>IF($A511="","",$A511-WEEKDAY($A511,2)+5)</f>
      </c>
    </row>
    <row r="512">
      <c r="A512" s="220" t="n"/>
      <c r="B512" s="218" t="n"/>
      <c r="C512" s="218" t="n"/>
      <c r="D512" s="218" t="n"/>
      <c r="E512" s="218" t="n"/>
      <c r="F512" s="328" t="n"/>
      <c r="G512" s="218" t="n"/>
      <c r="H512" s="218" t="n"/>
      <c r="I512" s="218" t="n"/>
      <c r="J512" s="218" t="n"/>
      <c r="K512" s="218" t="n"/>
      <c r="L512" s="218" t="n"/>
      <c r="M512" s="218" t="n"/>
      <c r="N512" s="218" t="n"/>
      <c r="O512" s="222">
        <f>IF($A512="","",IF(IF($B512="343",NETWORKDAYS($A512,$A512,FERIADOS_343),IF($B512="281",NETWORKDAYS($A512,$A512,FERIADOS_281),NETWORKDAYS($A512,$A512,FERIADOS_342)))=1,"SIM","NÃO"))</f>
      </c>
      <c r="P512" s="232">
        <f>IF($A512="","",$A512-WEEKDAY($A512,2)+5)</f>
      </c>
    </row>
    <row r="513">
      <c r="A513" s="220" t="n"/>
      <c r="B513" s="218" t="n"/>
      <c r="C513" s="218" t="n"/>
      <c r="D513" s="218" t="n"/>
      <c r="E513" s="218" t="n"/>
      <c r="F513" s="328" t="n"/>
      <c r="G513" s="218" t="n"/>
      <c r="H513" s="218" t="n"/>
      <c r="I513" s="218" t="n"/>
      <c r="J513" s="218" t="n"/>
      <c r="K513" s="218" t="n"/>
      <c r="L513" s="218" t="n"/>
      <c r="M513" s="218" t="n"/>
      <c r="N513" s="218" t="n"/>
      <c r="O513" s="222">
        <f>IF($A513="","",IF(IF($B513="343",NETWORKDAYS($A513,$A513,FERIADOS_343),IF($B513="281",NETWORKDAYS($A513,$A513,FERIADOS_281),NETWORKDAYS($A513,$A513,FERIADOS_342)))=1,"SIM","NÃO"))</f>
      </c>
      <c r="P513" s="232">
        <f>IF($A513="","",$A513-WEEKDAY($A513,2)+5)</f>
      </c>
    </row>
    <row r="514">
      <c r="A514" s="220" t="n"/>
      <c r="B514" s="218" t="n"/>
      <c r="C514" s="218" t="n"/>
      <c r="D514" s="218" t="n"/>
      <c r="E514" s="218" t="n"/>
      <c r="F514" s="328" t="n"/>
      <c r="G514" s="218" t="n"/>
      <c r="H514" s="218" t="n"/>
      <c r="I514" s="218" t="n"/>
      <c r="J514" s="218" t="n"/>
      <c r="K514" s="218" t="n"/>
      <c r="L514" s="218" t="n"/>
      <c r="M514" s="218" t="n"/>
      <c r="N514" s="218" t="n"/>
      <c r="O514" s="222">
        <f>IF($A514="","",IF(IF($B514="343",NETWORKDAYS($A514,$A514,FERIADOS_343),IF($B514="281",NETWORKDAYS($A514,$A514,FERIADOS_281),NETWORKDAYS($A514,$A514,FERIADOS_342)))=1,"SIM","NÃO"))</f>
      </c>
      <c r="P514" s="232">
        <f>IF($A514="","",$A514-WEEKDAY($A514,2)+5)</f>
      </c>
    </row>
    <row r="515">
      <c r="A515" s="220" t="n"/>
      <c r="B515" s="218" t="n"/>
      <c r="C515" s="218" t="n"/>
      <c r="D515" s="218" t="n"/>
      <c r="E515" s="218" t="n"/>
      <c r="F515" s="328" t="n"/>
      <c r="G515" s="218" t="n"/>
      <c r="H515" s="218" t="n"/>
      <c r="I515" s="218" t="n"/>
      <c r="J515" s="218" t="n"/>
      <c r="K515" s="218" t="n"/>
      <c r="L515" s="218" t="n"/>
      <c r="M515" s="218" t="n"/>
      <c r="N515" s="218" t="n"/>
      <c r="O515" s="222">
        <f>IF($A515="","",IF(IF($B515="343",NETWORKDAYS($A515,$A515,FERIADOS_343),IF($B515="281",NETWORKDAYS($A515,$A515,FERIADOS_281),NETWORKDAYS($A515,$A515,FERIADOS_342)))=1,"SIM","NÃO"))</f>
      </c>
      <c r="P515" s="232">
        <f>IF($A515="","",$A515-WEEKDAY($A515,2)+5)</f>
      </c>
    </row>
    <row r="516">
      <c r="A516" s="220" t="n"/>
      <c r="B516" s="218" t="n"/>
      <c r="C516" s="218" t="n"/>
      <c r="D516" s="218" t="n"/>
      <c r="E516" s="218" t="n"/>
      <c r="F516" s="328" t="n"/>
      <c r="G516" s="218" t="n"/>
      <c r="H516" s="218" t="n"/>
      <c r="I516" s="218" t="n"/>
      <c r="J516" s="218" t="n"/>
      <c r="K516" s="218" t="n"/>
      <c r="L516" s="218" t="n"/>
      <c r="M516" s="218" t="n"/>
      <c r="N516" s="218" t="n"/>
      <c r="O516" s="222">
        <f>IF($A516="","",IF(IF($B516="343",NETWORKDAYS($A516,$A516,FERIADOS_343),IF($B516="281",NETWORKDAYS($A516,$A516,FERIADOS_281),NETWORKDAYS($A516,$A516,FERIADOS_342)))=1,"SIM","NÃO"))</f>
      </c>
      <c r="P516" s="232">
        <f>IF($A516="","",$A516-WEEKDAY($A516,2)+5)</f>
      </c>
    </row>
    <row r="517">
      <c r="A517" s="220" t="n"/>
      <c r="B517" s="218" t="n"/>
      <c r="C517" s="218" t="n"/>
      <c r="D517" s="218" t="n"/>
      <c r="E517" s="218" t="n"/>
      <c r="F517" s="328" t="n"/>
      <c r="G517" s="218" t="n"/>
      <c r="H517" s="218" t="n"/>
      <c r="I517" s="218" t="n"/>
      <c r="J517" s="218" t="n"/>
      <c r="K517" s="218" t="n"/>
      <c r="L517" s="218" t="n"/>
      <c r="M517" s="218" t="n"/>
      <c r="N517" s="218" t="n"/>
      <c r="O517" s="222">
        <f>IF($A517="","",IF(IF($B517="343",NETWORKDAYS($A517,$A517,FERIADOS_343),IF($B517="281",NETWORKDAYS($A517,$A517,FERIADOS_281),NETWORKDAYS($A517,$A517,FERIADOS_342)))=1,"SIM","NÃO"))</f>
      </c>
      <c r="P517" s="232">
        <f>IF($A517="","",$A517-WEEKDAY($A517,2)+5)</f>
      </c>
    </row>
    <row r="518">
      <c r="A518" s="220" t="n"/>
      <c r="B518" s="218" t="n"/>
      <c r="C518" s="218" t="n"/>
      <c r="D518" s="218" t="n"/>
      <c r="E518" s="218" t="n"/>
      <c r="F518" s="328" t="n"/>
      <c r="G518" s="218" t="n"/>
      <c r="H518" s="218" t="n"/>
      <c r="I518" s="218" t="n"/>
      <c r="J518" s="218" t="n"/>
      <c r="K518" s="218" t="n"/>
      <c r="L518" s="218" t="n"/>
      <c r="M518" s="218" t="n"/>
      <c r="N518" s="218" t="n"/>
      <c r="O518" s="222">
        <f>IF($A518="","",IF(IF($B518="343",NETWORKDAYS($A518,$A518,FERIADOS_343),IF($B518="281",NETWORKDAYS($A518,$A518,FERIADOS_281),NETWORKDAYS($A518,$A518,FERIADOS_342)))=1,"SIM","NÃO"))</f>
      </c>
      <c r="P518" s="232">
        <f>IF($A518="","",$A518-WEEKDAY($A518,2)+5)</f>
      </c>
    </row>
    <row r="519">
      <c r="A519" s="220" t="n"/>
      <c r="B519" s="218" t="n"/>
      <c r="C519" s="218" t="n"/>
      <c r="D519" s="218" t="n"/>
      <c r="E519" s="218" t="n"/>
      <c r="F519" s="328" t="n"/>
      <c r="G519" s="218" t="n"/>
      <c r="H519" s="218" t="n"/>
      <c r="I519" s="218" t="n"/>
      <c r="J519" s="218" t="n"/>
      <c r="K519" s="218" t="n"/>
      <c r="L519" s="218" t="n"/>
      <c r="M519" s="218" t="n"/>
      <c r="N519" s="218" t="n"/>
      <c r="O519" s="222">
        <f>IF($A519="","",IF(IF($B519="343",NETWORKDAYS($A519,$A519,FERIADOS_343),IF($B519="281",NETWORKDAYS($A519,$A519,FERIADOS_281),NETWORKDAYS($A519,$A519,FERIADOS_342)))=1,"SIM","NÃO"))</f>
      </c>
      <c r="P519" s="232">
        <f>IF($A519="","",$A519-WEEKDAY($A519,2)+5)</f>
      </c>
    </row>
    <row r="520">
      <c r="A520" s="220" t="n"/>
      <c r="B520" s="218" t="n"/>
      <c r="C520" s="218" t="n"/>
      <c r="D520" s="218" t="n"/>
      <c r="E520" s="218" t="n"/>
      <c r="F520" s="328" t="n"/>
      <c r="G520" s="218" t="n"/>
      <c r="H520" s="218" t="n"/>
      <c r="I520" s="218" t="n"/>
      <c r="J520" s="218" t="n"/>
      <c r="K520" s="218" t="n"/>
      <c r="L520" s="218" t="n"/>
      <c r="M520" s="218" t="n"/>
      <c r="N520" s="218" t="n"/>
      <c r="O520" s="222">
        <f>IF($A520="","",IF(IF($B520="343",NETWORKDAYS($A520,$A520,FERIADOS_343),IF($B520="281",NETWORKDAYS($A520,$A520,FERIADOS_281),NETWORKDAYS($A520,$A520,FERIADOS_342)))=1,"SIM","NÃO"))</f>
      </c>
      <c r="P520" s="232">
        <f>IF($A520="","",$A520-WEEKDAY($A520,2)+5)</f>
      </c>
    </row>
    <row r="521">
      <c r="A521" s="220" t="n"/>
      <c r="B521" s="218" t="n"/>
      <c r="C521" s="218" t="n"/>
      <c r="D521" s="218" t="n"/>
      <c r="E521" s="218" t="n"/>
      <c r="F521" s="328" t="n"/>
      <c r="G521" s="218" t="n"/>
      <c r="H521" s="218" t="n"/>
      <c r="I521" s="218" t="n"/>
      <c r="J521" s="218" t="n"/>
      <c r="K521" s="218" t="n"/>
      <c r="L521" s="218" t="n"/>
      <c r="M521" s="218" t="n"/>
      <c r="N521" s="218" t="n"/>
      <c r="O521" s="222">
        <f>IF($A521="","",IF(IF($B521="343",NETWORKDAYS($A521,$A521,FERIADOS_343),IF($B521="281",NETWORKDAYS($A521,$A521,FERIADOS_281),NETWORKDAYS($A521,$A521,FERIADOS_342)))=1,"SIM","NÃO"))</f>
      </c>
      <c r="P521" s="232">
        <f>IF($A521="","",$A521-WEEKDAY($A521,2)+5)</f>
      </c>
    </row>
    <row r="522">
      <c r="A522" s="220" t="n"/>
      <c r="B522" s="218" t="n"/>
      <c r="C522" s="218" t="n"/>
      <c r="D522" s="218" t="n"/>
      <c r="E522" s="218" t="n"/>
      <c r="F522" s="328" t="n"/>
      <c r="G522" s="218" t="n"/>
      <c r="H522" s="218" t="n"/>
      <c r="I522" s="218" t="n"/>
      <c r="J522" s="218" t="n"/>
      <c r="K522" s="218" t="n"/>
      <c r="L522" s="218" t="n"/>
      <c r="M522" s="218" t="n"/>
      <c r="N522" s="218" t="n"/>
      <c r="O522" s="222">
        <f>IF($A522="","",IF(IF($B522="343",NETWORKDAYS($A522,$A522,FERIADOS_343),IF($B522="281",NETWORKDAYS($A522,$A522,FERIADOS_281),NETWORKDAYS($A522,$A522,FERIADOS_342)))=1,"SIM","NÃO"))</f>
      </c>
      <c r="P522" s="232">
        <f>IF($A522="","",$A522-WEEKDAY($A522,2)+5)</f>
      </c>
    </row>
    <row r="523">
      <c r="A523" s="220" t="n"/>
      <c r="B523" s="218" t="n"/>
      <c r="C523" s="218" t="n"/>
      <c r="D523" s="218" t="n"/>
      <c r="E523" s="218" t="n"/>
      <c r="F523" s="328" t="n"/>
      <c r="G523" s="218" t="n"/>
      <c r="H523" s="218" t="n"/>
      <c r="I523" s="218" t="n"/>
      <c r="J523" s="218" t="n"/>
      <c r="K523" s="218" t="n"/>
      <c r="L523" s="218" t="n"/>
      <c r="M523" s="218" t="n"/>
      <c r="N523" s="218" t="n"/>
      <c r="O523" s="222">
        <f>IF($A523="","",IF(IF($B523="343",NETWORKDAYS($A523,$A523,FERIADOS_343),IF($B523="281",NETWORKDAYS($A523,$A523,FERIADOS_281),NETWORKDAYS($A523,$A523,FERIADOS_342)))=1,"SIM","NÃO"))</f>
      </c>
      <c r="P523" s="232">
        <f>IF($A523="","",$A523-WEEKDAY($A523,2)+5)</f>
      </c>
    </row>
    <row r="524">
      <c r="A524" s="220" t="n"/>
      <c r="B524" s="218" t="n"/>
      <c r="C524" s="218" t="n"/>
      <c r="D524" s="218" t="n"/>
      <c r="E524" s="218" t="n"/>
      <c r="F524" s="328" t="n"/>
      <c r="G524" s="218" t="n"/>
      <c r="H524" s="218" t="n"/>
      <c r="I524" s="218" t="n"/>
      <c r="J524" s="218" t="n"/>
      <c r="K524" s="218" t="n"/>
      <c r="L524" s="218" t="n"/>
      <c r="M524" s="218" t="n"/>
      <c r="N524" s="218" t="n"/>
      <c r="O524" s="222">
        <f>IF($A524="","",IF(IF($B524="343",NETWORKDAYS($A524,$A524,FERIADOS_343),IF($B524="281",NETWORKDAYS($A524,$A524,FERIADOS_281),NETWORKDAYS($A524,$A524,FERIADOS_342)))=1,"SIM","NÃO"))</f>
      </c>
      <c r="P524" s="232">
        <f>IF($A524="","",$A524-WEEKDAY($A524,2)+5)</f>
      </c>
    </row>
    <row r="525">
      <c r="A525" s="220" t="n"/>
      <c r="B525" s="218" t="n"/>
      <c r="C525" s="218" t="n"/>
      <c r="D525" s="218" t="n"/>
      <c r="E525" s="218" t="n"/>
      <c r="F525" s="328" t="n"/>
      <c r="G525" s="218" t="n"/>
      <c r="H525" s="218" t="n"/>
      <c r="I525" s="218" t="n"/>
      <c r="J525" s="218" t="n"/>
      <c r="K525" s="218" t="n"/>
      <c r="L525" s="218" t="n"/>
      <c r="M525" s="218" t="n"/>
      <c r="N525" s="218" t="n"/>
      <c r="O525" s="222">
        <f>IF($A525="","",IF(IF($B525="343",NETWORKDAYS($A525,$A525,FERIADOS_343),IF($B525="281",NETWORKDAYS($A525,$A525,FERIADOS_281),NETWORKDAYS($A525,$A525,FERIADOS_342)))=1,"SIM","NÃO"))</f>
      </c>
      <c r="P525" s="232">
        <f>IF($A525="","",$A525-WEEKDAY($A525,2)+5)</f>
      </c>
    </row>
    <row r="526">
      <c r="A526" s="220" t="n"/>
      <c r="B526" s="218" t="n"/>
      <c r="C526" s="218" t="n"/>
      <c r="D526" s="218" t="n"/>
      <c r="E526" s="218" t="n"/>
      <c r="F526" s="328" t="n"/>
      <c r="G526" s="218" t="n"/>
      <c r="H526" s="218" t="n"/>
      <c r="I526" s="218" t="n"/>
      <c r="J526" s="218" t="n"/>
      <c r="K526" s="218" t="n"/>
      <c r="L526" s="218" t="n"/>
      <c r="M526" s="218" t="n"/>
      <c r="N526" s="218" t="n"/>
      <c r="O526" s="222">
        <f>IF($A526="","",IF(IF($B526="343",NETWORKDAYS($A526,$A526,FERIADOS_343),IF($B526="281",NETWORKDAYS($A526,$A526,FERIADOS_281),NETWORKDAYS($A526,$A526,FERIADOS_342)))=1,"SIM","NÃO"))</f>
      </c>
      <c r="P526" s="232">
        <f>IF($A526="","",$A526-WEEKDAY($A526,2)+5)</f>
      </c>
    </row>
    <row r="527">
      <c r="A527" s="220" t="n"/>
      <c r="B527" s="218" t="n"/>
      <c r="C527" s="218" t="n"/>
      <c r="D527" s="218" t="n"/>
      <c r="E527" s="218" t="n"/>
      <c r="F527" s="328" t="n"/>
      <c r="G527" s="218" t="n"/>
      <c r="H527" s="218" t="n"/>
      <c r="I527" s="218" t="n"/>
      <c r="J527" s="218" t="n"/>
      <c r="K527" s="218" t="n"/>
      <c r="L527" s="218" t="n"/>
      <c r="M527" s="218" t="n"/>
      <c r="N527" s="218" t="n"/>
      <c r="O527" s="222">
        <f>IF($A527="","",IF(IF($B527="343",NETWORKDAYS($A527,$A527,FERIADOS_343),IF($B527="281",NETWORKDAYS($A527,$A527,FERIADOS_281),NETWORKDAYS($A527,$A527,FERIADOS_342)))=1,"SIM","NÃO"))</f>
      </c>
      <c r="P527" s="232">
        <f>IF($A527="","",$A527-WEEKDAY($A527,2)+5)</f>
      </c>
    </row>
    <row r="528">
      <c r="A528" s="220" t="n"/>
      <c r="B528" s="218" t="n"/>
      <c r="C528" s="218" t="n"/>
      <c r="D528" s="218" t="n"/>
      <c r="E528" s="218" t="n"/>
      <c r="F528" s="328" t="n"/>
      <c r="G528" s="218" t="n"/>
      <c r="H528" s="218" t="n"/>
      <c r="I528" s="218" t="n"/>
      <c r="J528" s="218" t="n"/>
      <c r="K528" s="218" t="n"/>
      <c r="L528" s="218" t="n"/>
      <c r="M528" s="218" t="n"/>
      <c r="N528" s="218" t="n"/>
      <c r="O528" s="222">
        <f>IF($A528="","",IF(IF($B528="343",NETWORKDAYS($A528,$A528,FERIADOS_343),IF($B528="281",NETWORKDAYS($A528,$A528,FERIADOS_281),NETWORKDAYS($A528,$A528,FERIADOS_342)))=1,"SIM","NÃO"))</f>
      </c>
      <c r="P528" s="232">
        <f>IF($A528="","",$A528-WEEKDAY($A528,2)+5)</f>
      </c>
    </row>
    <row r="529">
      <c r="A529" s="220" t="n"/>
      <c r="B529" s="218" t="n"/>
      <c r="C529" s="218" t="n"/>
      <c r="D529" s="218" t="n"/>
      <c r="E529" s="218" t="n"/>
      <c r="F529" s="328" t="n"/>
      <c r="G529" s="218" t="n"/>
      <c r="H529" s="218" t="n"/>
      <c r="I529" s="218" t="n"/>
      <c r="J529" s="218" t="n"/>
      <c r="K529" s="218" t="n"/>
      <c r="L529" s="218" t="n"/>
      <c r="M529" s="218" t="n"/>
      <c r="N529" s="218" t="n"/>
      <c r="O529" s="222">
        <f>IF($A529="","",IF(IF($B529="343",NETWORKDAYS($A529,$A529,FERIADOS_343),IF($B529="281",NETWORKDAYS($A529,$A529,FERIADOS_281),NETWORKDAYS($A529,$A529,FERIADOS_342)))=1,"SIM","NÃO"))</f>
      </c>
      <c r="P529" s="232">
        <f>IF($A529="","",$A529-WEEKDAY($A529,2)+5)</f>
      </c>
    </row>
    <row r="530">
      <c r="A530" s="220" t="n"/>
      <c r="B530" s="218" t="n"/>
      <c r="C530" s="218" t="n"/>
      <c r="D530" s="218" t="n"/>
      <c r="E530" s="218" t="n"/>
      <c r="F530" s="328" t="n"/>
      <c r="G530" s="218" t="n"/>
      <c r="H530" s="218" t="n"/>
      <c r="I530" s="218" t="n"/>
      <c r="J530" s="218" t="n"/>
      <c r="K530" s="218" t="n"/>
      <c r="L530" s="218" t="n"/>
      <c r="M530" s="218" t="n"/>
      <c r="N530" s="218" t="n"/>
      <c r="O530" s="222">
        <f>IF($A530="","",IF(IF($B530="343",NETWORKDAYS($A530,$A530,FERIADOS_343),IF($B530="281",NETWORKDAYS($A530,$A530,FERIADOS_281),NETWORKDAYS($A530,$A530,FERIADOS_342)))=1,"SIM","NÃO"))</f>
      </c>
      <c r="P530" s="232">
        <f>IF($A530="","",$A530-WEEKDAY($A530,2)+5)</f>
      </c>
    </row>
    <row r="531">
      <c r="A531" s="220" t="n"/>
      <c r="B531" s="218" t="n"/>
      <c r="C531" s="218" t="n"/>
      <c r="D531" s="218" t="n"/>
      <c r="E531" s="218" t="n"/>
      <c r="F531" s="328" t="n"/>
      <c r="G531" s="218" t="n"/>
      <c r="H531" s="218" t="n"/>
      <c r="I531" s="218" t="n"/>
      <c r="J531" s="218" t="n"/>
      <c r="K531" s="218" t="n"/>
      <c r="L531" s="218" t="n"/>
      <c r="M531" s="218" t="n"/>
      <c r="N531" s="218" t="n"/>
      <c r="O531" s="222">
        <f>IF($A531="","",IF(IF($B531="343",NETWORKDAYS($A531,$A531,FERIADOS_343),IF($B531="281",NETWORKDAYS($A531,$A531,FERIADOS_281),NETWORKDAYS($A531,$A531,FERIADOS_342)))=1,"SIM","NÃO"))</f>
      </c>
      <c r="P531" s="232">
        <f>IF($A531="","",$A531-WEEKDAY($A531,2)+5)</f>
      </c>
    </row>
    <row r="532">
      <c r="A532" s="220" t="n"/>
      <c r="B532" s="218" t="n"/>
      <c r="C532" s="218" t="n"/>
      <c r="D532" s="218" t="n"/>
      <c r="E532" s="218" t="n"/>
      <c r="F532" s="328" t="n"/>
      <c r="G532" s="218" t="n"/>
      <c r="H532" s="218" t="n"/>
      <c r="I532" s="218" t="n"/>
      <c r="J532" s="218" t="n"/>
      <c r="K532" s="218" t="n"/>
      <c r="L532" s="218" t="n"/>
      <c r="M532" s="218" t="n"/>
      <c r="N532" s="218" t="n"/>
      <c r="O532" s="222">
        <f>IF($A532="","",IF(IF($B532="343",NETWORKDAYS($A532,$A532,FERIADOS_343),IF($B532="281",NETWORKDAYS($A532,$A532,FERIADOS_281),NETWORKDAYS($A532,$A532,FERIADOS_342)))=1,"SIM","NÃO"))</f>
      </c>
      <c r="P532" s="232">
        <f>IF($A532="","",$A532-WEEKDAY($A532,2)+5)</f>
      </c>
    </row>
    <row r="533">
      <c r="A533" s="220" t="n"/>
      <c r="B533" s="218" t="n"/>
      <c r="C533" s="218" t="n"/>
      <c r="D533" s="218" t="n"/>
      <c r="E533" s="218" t="n"/>
      <c r="F533" s="328" t="n"/>
      <c r="G533" s="218" t="n"/>
      <c r="H533" s="218" t="n"/>
      <c r="I533" s="218" t="n"/>
      <c r="J533" s="218" t="n"/>
      <c r="K533" s="218" t="n"/>
      <c r="L533" s="218" t="n"/>
      <c r="M533" s="218" t="n"/>
      <c r="N533" s="218" t="n"/>
      <c r="O533" s="222">
        <f>IF($A533="","",IF(IF($B533="343",NETWORKDAYS($A533,$A533,FERIADOS_343),IF($B533="281",NETWORKDAYS($A533,$A533,FERIADOS_281),NETWORKDAYS($A533,$A533,FERIADOS_342)))=1,"SIM","NÃO"))</f>
      </c>
      <c r="P533" s="232">
        <f>IF($A533="","",$A533-WEEKDAY($A533,2)+5)</f>
      </c>
    </row>
    <row r="534">
      <c r="A534" s="220" t="n"/>
      <c r="B534" s="218" t="n"/>
      <c r="C534" s="218" t="n"/>
      <c r="D534" s="218" t="n"/>
      <c r="E534" s="218" t="n"/>
      <c r="F534" s="328" t="n"/>
      <c r="G534" s="218" t="n"/>
      <c r="H534" s="218" t="n"/>
      <c r="I534" s="218" t="n"/>
      <c r="J534" s="218" t="n"/>
      <c r="K534" s="218" t="n"/>
      <c r="L534" s="218" t="n"/>
      <c r="M534" s="218" t="n"/>
      <c r="N534" s="218" t="n"/>
      <c r="O534" s="222">
        <f>IF($A534="","",IF(IF($B534="343",NETWORKDAYS($A534,$A534,FERIADOS_343),IF($B534="281",NETWORKDAYS($A534,$A534,FERIADOS_281),NETWORKDAYS($A534,$A534,FERIADOS_342)))=1,"SIM","NÃO"))</f>
      </c>
      <c r="P534" s="232">
        <f>IF($A534="","",$A534-WEEKDAY($A534,2)+5)</f>
      </c>
    </row>
    <row r="535">
      <c r="A535" s="220" t="n"/>
      <c r="B535" s="218" t="n"/>
      <c r="C535" s="218" t="n"/>
      <c r="D535" s="218" t="n"/>
      <c r="E535" s="218" t="n"/>
      <c r="F535" s="328" t="n"/>
      <c r="G535" s="218" t="n"/>
      <c r="H535" s="218" t="n"/>
      <c r="I535" s="218" t="n"/>
      <c r="J535" s="218" t="n"/>
      <c r="K535" s="218" t="n"/>
      <c r="L535" s="218" t="n"/>
      <c r="M535" s="218" t="n"/>
      <c r="N535" s="218" t="n"/>
      <c r="O535" s="222">
        <f>IF($A535="","",IF(IF($B535="343",NETWORKDAYS($A535,$A535,FERIADOS_343),IF($B535="281",NETWORKDAYS($A535,$A535,FERIADOS_281),NETWORKDAYS($A535,$A535,FERIADOS_342)))=1,"SIM","NÃO"))</f>
      </c>
      <c r="P535" s="232">
        <f>IF($A535="","",$A535-WEEKDAY($A535,2)+5)</f>
      </c>
    </row>
    <row r="536">
      <c r="A536" s="220" t="n"/>
      <c r="B536" s="218" t="n"/>
      <c r="C536" s="218" t="n"/>
      <c r="D536" s="218" t="n"/>
      <c r="E536" s="218" t="n"/>
      <c r="F536" s="328" t="n"/>
      <c r="G536" s="218" t="n"/>
      <c r="H536" s="218" t="n"/>
      <c r="I536" s="218" t="n"/>
      <c r="J536" s="218" t="n"/>
      <c r="K536" s="218" t="n"/>
      <c r="L536" s="218" t="n"/>
      <c r="M536" s="218" t="n"/>
      <c r="N536" s="218" t="n"/>
      <c r="O536" s="222">
        <f>IF($A536="","",IF(IF($B536="343",NETWORKDAYS($A536,$A536,FERIADOS_343),IF($B536="281",NETWORKDAYS($A536,$A536,FERIADOS_281),NETWORKDAYS($A536,$A536,FERIADOS_342)))=1,"SIM","NÃO"))</f>
      </c>
      <c r="P536" s="232">
        <f>IF($A536="","",$A536-WEEKDAY($A536,2)+5)</f>
      </c>
    </row>
    <row r="537">
      <c r="A537" s="220" t="n"/>
      <c r="B537" s="218" t="n"/>
      <c r="C537" s="218" t="n"/>
      <c r="D537" s="218" t="n"/>
      <c r="E537" s="218" t="n"/>
      <c r="F537" s="328" t="n"/>
      <c r="G537" s="218" t="n"/>
      <c r="H537" s="218" t="n"/>
      <c r="I537" s="218" t="n"/>
      <c r="J537" s="218" t="n"/>
      <c r="K537" s="218" t="n"/>
      <c r="L537" s="218" t="n"/>
      <c r="M537" s="218" t="n"/>
      <c r="N537" s="218" t="n"/>
      <c r="O537" s="222">
        <f>IF($A537="","",IF(IF($B537="343",NETWORKDAYS($A537,$A537,FERIADOS_343),IF($B537="281",NETWORKDAYS($A537,$A537,FERIADOS_281),NETWORKDAYS($A537,$A537,FERIADOS_342)))=1,"SIM","NÃO"))</f>
      </c>
      <c r="P537" s="232">
        <f>IF($A537="","",$A537-WEEKDAY($A537,2)+5)</f>
      </c>
    </row>
    <row r="538">
      <c r="A538" s="220" t="n"/>
      <c r="B538" s="218" t="n"/>
      <c r="C538" s="218" t="n"/>
      <c r="D538" s="218" t="n"/>
      <c r="E538" s="218" t="n"/>
      <c r="F538" s="328" t="n"/>
      <c r="G538" s="218" t="n"/>
      <c r="H538" s="218" t="n"/>
      <c r="I538" s="218" t="n"/>
      <c r="J538" s="218" t="n"/>
      <c r="K538" s="218" t="n"/>
      <c r="L538" s="218" t="n"/>
      <c r="M538" s="218" t="n"/>
      <c r="N538" s="218" t="n"/>
      <c r="O538" s="222">
        <f>IF($A538="","",IF(IF($B538="343",NETWORKDAYS($A538,$A538,FERIADOS_343),IF($B538="281",NETWORKDAYS($A538,$A538,FERIADOS_281),NETWORKDAYS($A538,$A538,FERIADOS_342)))=1,"SIM","NÃO"))</f>
      </c>
      <c r="P538" s="232">
        <f>IF($A538="","",$A538-WEEKDAY($A538,2)+5)</f>
      </c>
    </row>
    <row r="539">
      <c r="A539" s="220" t="n"/>
      <c r="B539" s="218" t="n"/>
      <c r="C539" s="218" t="n"/>
      <c r="D539" s="218" t="n"/>
      <c r="E539" s="218" t="n"/>
      <c r="F539" s="328" t="n"/>
      <c r="G539" s="218" t="n"/>
      <c r="H539" s="218" t="n"/>
      <c r="I539" s="218" t="n"/>
      <c r="J539" s="218" t="n"/>
      <c r="K539" s="218" t="n"/>
      <c r="L539" s="218" t="n"/>
      <c r="M539" s="218" t="n"/>
      <c r="N539" s="218" t="n"/>
      <c r="O539" s="222">
        <f>IF($A539="","",IF(IF($B539="343",NETWORKDAYS($A539,$A539,FERIADOS_343),IF($B539="281",NETWORKDAYS($A539,$A539,FERIADOS_281),NETWORKDAYS($A539,$A539,FERIADOS_342)))=1,"SIM","NÃO"))</f>
      </c>
      <c r="P539" s="232">
        <f>IF($A539="","",$A539-WEEKDAY($A539,2)+5)</f>
      </c>
    </row>
    <row r="540">
      <c r="A540" s="220" t="n"/>
      <c r="B540" s="218" t="n"/>
      <c r="C540" s="218" t="n"/>
      <c r="D540" s="218" t="n"/>
      <c r="E540" s="218" t="n"/>
      <c r="F540" s="328" t="n"/>
      <c r="G540" s="218" t="n"/>
      <c r="H540" s="218" t="n"/>
      <c r="I540" s="218" t="n"/>
      <c r="J540" s="218" t="n"/>
      <c r="K540" s="218" t="n"/>
      <c r="L540" s="218" t="n"/>
      <c r="M540" s="218" t="n"/>
      <c r="N540" s="218" t="n"/>
      <c r="O540" s="222">
        <f>IF($A540="","",IF(IF($B540="343",NETWORKDAYS($A540,$A540,FERIADOS_343),IF($B540="281",NETWORKDAYS($A540,$A540,FERIADOS_281),NETWORKDAYS($A540,$A540,FERIADOS_342)))=1,"SIM","NÃO"))</f>
      </c>
      <c r="P540" s="232">
        <f>IF($A540="","",$A540-WEEKDAY($A540,2)+5)</f>
      </c>
    </row>
    <row r="541">
      <c r="A541" s="220" t="n"/>
      <c r="B541" s="218" t="n"/>
      <c r="C541" s="218" t="n"/>
      <c r="D541" s="218" t="n"/>
      <c r="E541" s="218" t="n"/>
      <c r="F541" s="328" t="n"/>
      <c r="G541" s="218" t="n"/>
      <c r="H541" s="218" t="n"/>
      <c r="I541" s="218" t="n"/>
      <c r="J541" s="218" t="n"/>
      <c r="K541" s="218" t="n"/>
      <c r="L541" s="218" t="n"/>
      <c r="M541" s="218" t="n"/>
      <c r="N541" s="218" t="n"/>
      <c r="O541" s="222">
        <f>IF($A541="","",IF(IF($B541="343",NETWORKDAYS($A541,$A541,FERIADOS_343),IF($B541="281",NETWORKDAYS($A541,$A541,FERIADOS_281),NETWORKDAYS($A541,$A541,FERIADOS_342)))=1,"SIM","NÃO"))</f>
      </c>
      <c r="P541" s="232">
        <f>IF($A541="","",$A541-WEEKDAY($A541,2)+5)</f>
      </c>
    </row>
    <row r="542">
      <c r="A542" s="220" t="n"/>
      <c r="B542" s="218" t="n"/>
      <c r="C542" s="218" t="n"/>
      <c r="D542" s="218" t="n"/>
      <c r="E542" s="218" t="n"/>
      <c r="F542" s="328" t="n"/>
      <c r="G542" s="218" t="n"/>
      <c r="H542" s="218" t="n"/>
      <c r="I542" s="218" t="n"/>
      <c r="J542" s="218" t="n"/>
      <c r="K542" s="218" t="n"/>
      <c r="L542" s="218" t="n"/>
      <c r="M542" s="218" t="n"/>
      <c r="N542" s="218" t="n"/>
      <c r="O542" s="222">
        <f>IF($A542="","",IF(IF($B542="343",NETWORKDAYS($A542,$A542,FERIADOS_343),IF($B542="281",NETWORKDAYS($A542,$A542,FERIADOS_281),NETWORKDAYS($A542,$A542,FERIADOS_342)))=1,"SIM","NÃO"))</f>
      </c>
      <c r="P542" s="232">
        <f>IF($A542="","",$A542-WEEKDAY($A542,2)+5)</f>
      </c>
    </row>
    <row r="543">
      <c r="A543" s="220" t="n"/>
      <c r="B543" s="218" t="n"/>
      <c r="C543" s="218" t="n"/>
      <c r="D543" s="218" t="n"/>
      <c r="E543" s="218" t="n"/>
      <c r="F543" s="328" t="n"/>
      <c r="G543" s="218" t="n"/>
      <c r="H543" s="218" t="n"/>
      <c r="I543" s="218" t="n"/>
      <c r="J543" s="218" t="n"/>
      <c r="K543" s="218" t="n"/>
      <c r="L543" s="218" t="n"/>
      <c r="M543" s="218" t="n"/>
      <c r="N543" s="218" t="n"/>
      <c r="O543" s="222">
        <f>IF($A543="","",IF(IF($B543="343",NETWORKDAYS($A543,$A543,FERIADOS_343),IF($B543="281",NETWORKDAYS($A543,$A543,FERIADOS_281),NETWORKDAYS($A543,$A543,FERIADOS_342)))=1,"SIM","NÃO"))</f>
      </c>
      <c r="P543" s="232">
        <f>IF($A543="","",$A543-WEEKDAY($A543,2)+5)</f>
      </c>
    </row>
    <row r="544">
      <c r="A544" s="220" t="n"/>
      <c r="B544" s="218" t="n"/>
      <c r="C544" s="218" t="n"/>
      <c r="D544" s="218" t="n"/>
      <c r="E544" s="218" t="n"/>
      <c r="F544" s="328" t="n"/>
      <c r="G544" s="218" t="n"/>
      <c r="H544" s="218" t="n"/>
      <c r="I544" s="218" t="n"/>
      <c r="J544" s="218" t="n"/>
      <c r="K544" s="218" t="n"/>
      <c r="L544" s="218" t="n"/>
      <c r="M544" s="218" t="n"/>
      <c r="N544" s="218" t="n"/>
      <c r="O544" s="222">
        <f>IF($A544="","",IF(IF($B544="343",NETWORKDAYS($A544,$A544,FERIADOS_343),IF($B544="281",NETWORKDAYS($A544,$A544,FERIADOS_281),NETWORKDAYS($A544,$A544,FERIADOS_342)))=1,"SIM","NÃO"))</f>
      </c>
      <c r="P544" s="232">
        <f>IF($A544="","",$A544-WEEKDAY($A544,2)+5)</f>
      </c>
    </row>
    <row r="545">
      <c r="A545" s="220" t="n"/>
      <c r="B545" s="218" t="n"/>
      <c r="C545" s="218" t="n"/>
      <c r="D545" s="218" t="n"/>
      <c r="E545" s="218" t="n"/>
      <c r="F545" s="328" t="n"/>
      <c r="G545" s="218" t="n"/>
      <c r="H545" s="218" t="n"/>
      <c r="I545" s="218" t="n"/>
      <c r="J545" s="218" t="n"/>
      <c r="K545" s="218" t="n"/>
      <c r="L545" s="218" t="n"/>
      <c r="M545" s="218" t="n"/>
      <c r="N545" s="218" t="n"/>
      <c r="O545" s="222">
        <f>IF($A545="","",IF(IF($B545="343",NETWORKDAYS($A545,$A545,FERIADOS_343),IF($B545="281",NETWORKDAYS($A545,$A545,FERIADOS_281),NETWORKDAYS($A545,$A545,FERIADOS_342)))=1,"SIM","NÃO"))</f>
      </c>
      <c r="P545" s="232">
        <f>IF($A545="","",$A545-WEEKDAY($A545,2)+5)</f>
      </c>
    </row>
    <row r="546">
      <c r="A546" s="220" t="n"/>
      <c r="B546" s="218" t="n"/>
      <c r="C546" s="218" t="n"/>
      <c r="D546" s="218" t="n"/>
      <c r="E546" s="218" t="n"/>
      <c r="F546" s="328" t="n"/>
      <c r="G546" s="218" t="n"/>
      <c r="H546" s="218" t="n"/>
      <c r="I546" s="218" t="n"/>
      <c r="J546" s="218" t="n"/>
      <c r="K546" s="218" t="n"/>
      <c r="L546" s="218" t="n"/>
      <c r="M546" s="218" t="n"/>
      <c r="N546" s="218" t="n"/>
      <c r="O546" s="222">
        <f>IF($A546="","",IF(IF($B546="343",NETWORKDAYS($A546,$A546,FERIADOS_343),IF($B546="281",NETWORKDAYS($A546,$A546,FERIADOS_281),NETWORKDAYS($A546,$A546,FERIADOS_342)))=1,"SIM","NÃO"))</f>
      </c>
      <c r="P546" s="232">
        <f>IF($A546="","",$A546-WEEKDAY($A546,2)+5)</f>
      </c>
    </row>
    <row r="547">
      <c r="A547" s="220" t="n"/>
      <c r="B547" s="218" t="n"/>
      <c r="C547" s="218" t="n"/>
      <c r="D547" s="218" t="n"/>
      <c r="E547" s="218" t="n"/>
      <c r="F547" s="328" t="n"/>
      <c r="G547" s="218" t="n"/>
      <c r="H547" s="218" t="n"/>
      <c r="I547" s="218" t="n"/>
      <c r="J547" s="218" t="n"/>
      <c r="K547" s="218" t="n"/>
      <c r="L547" s="218" t="n"/>
      <c r="M547" s="218" t="n"/>
      <c r="N547" s="218" t="n"/>
      <c r="O547" s="222">
        <f>IF($A547="","",IF(IF($B547="343",NETWORKDAYS($A547,$A547,FERIADOS_343),IF($B547="281",NETWORKDAYS($A547,$A547,FERIADOS_281),NETWORKDAYS($A547,$A547,FERIADOS_342)))=1,"SIM","NÃO"))</f>
      </c>
      <c r="P547" s="232">
        <f>IF($A547="","",$A547-WEEKDAY($A547,2)+5)</f>
      </c>
    </row>
    <row r="548">
      <c r="A548" s="220" t="n"/>
      <c r="B548" s="218" t="n"/>
      <c r="C548" s="218" t="n"/>
      <c r="D548" s="218" t="n"/>
      <c r="E548" s="218" t="n"/>
      <c r="F548" s="328" t="n"/>
      <c r="G548" s="218" t="n"/>
      <c r="H548" s="218" t="n"/>
      <c r="I548" s="218" t="n"/>
      <c r="J548" s="218" t="n"/>
      <c r="K548" s="218" t="n"/>
      <c r="L548" s="218" t="n"/>
      <c r="M548" s="218" t="n"/>
      <c r="N548" s="218" t="n"/>
      <c r="O548" s="222">
        <f>IF($A548="","",IF(IF($B548="343",NETWORKDAYS($A548,$A548,FERIADOS_343),IF($B548="281",NETWORKDAYS($A548,$A548,FERIADOS_281),NETWORKDAYS($A548,$A548,FERIADOS_342)))=1,"SIM","NÃO"))</f>
      </c>
      <c r="P548" s="232">
        <f>IF($A548="","",$A548-WEEKDAY($A548,2)+5)</f>
      </c>
    </row>
    <row r="549">
      <c r="A549" s="220" t="n"/>
      <c r="B549" s="218" t="n"/>
      <c r="C549" s="218" t="n"/>
      <c r="D549" s="218" t="n"/>
      <c r="E549" s="218" t="n"/>
      <c r="F549" s="328" t="n"/>
      <c r="G549" s="218" t="n"/>
      <c r="H549" s="218" t="n"/>
      <c r="I549" s="218" t="n"/>
      <c r="J549" s="218" t="n"/>
      <c r="K549" s="218" t="n"/>
      <c r="L549" s="218" t="n"/>
      <c r="M549" s="218" t="n"/>
      <c r="N549" s="218" t="n"/>
      <c r="O549" s="222">
        <f>IF($A549="","",IF(IF($B549="343",NETWORKDAYS($A549,$A549,FERIADOS_343),IF($B549="281",NETWORKDAYS($A549,$A549,FERIADOS_281),NETWORKDAYS($A549,$A549,FERIADOS_342)))=1,"SIM","NÃO"))</f>
      </c>
      <c r="P549" s="232">
        <f>IF($A549="","",$A549-WEEKDAY($A549,2)+5)</f>
      </c>
    </row>
    <row r="550">
      <c r="A550" s="220" t="n"/>
      <c r="B550" s="218" t="n"/>
      <c r="C550" s="218" t="n"/>
      <c r="D550" s="218" t="n"/>
      <c r="E550" s="218" t="n"/>
      <c r="F550" s="328" t="n"/>
      <c r="G550" s="218" t="n"/>
      <c r="H550" s="218" t="n"/>
      <c r="I550" s="218" t="n"/>
      <c r="J550" s="218" t="n"/>
      <c r="K550" s="218" t="n"/>
      <c r="L550" s="218" t="n"/>
      <c r="M550" s="218" t="n"/>
      <c r="N550" s="218" t="n"/>
      <c r="O550" s="222">
        <f>IF($A550="","",IF(IF($B550="343",NETWORKDAYS($A550,$A550,FERIADOS_343),IF($B550="281",NETWORKDAYS($A550,$A550,FERIADOS_281),NETWORKDAYS($A550,$A550,FERIADOS_342)))=1,"SIM","NÃO"))</f>
      </c>
      <c r="P550" s="232">
        <f>IF($A550="","",$A550-WEEKDAY($A550,2)+5)</f>
      </c>
    </row>
    <row r="551">
      <c r="A551" s="220" t="n"/>
      <c r="B551" s="218" t="n"/>
      <c r="C551" s="218" t="n"/>
      <c r="D551" s="218" t="n"/>
      <c r="E551" s="218" t="n"/>
      <c r="F551" s="328" t="n"/>
      <c r="G551" s="218" t="n"/>
      <c r="H551" s="218" t="n"/>
      <c r="I551" s="218" t="n"/>
      <c r="J551" s="218" t="n"/>
      <c r="K551" s="218" t="n"/>
      <c r="L551" s="218" t="n"/>
      <c r="M551" s="218" t="n"/>
      <c r="N551" s="218" t="n"/>
      <c r="O551" s="222">
        <f>IF($A551="","",IF(IF($B551="343",NETWORKDAYS($A551,$A551,FERIADOS_343),IF($B551="281",NETWORKDAYS($A551,$A551,FERIADOS_281),NETWORKDAYS($A551,$A551,FERIADOS_342)))=1,"SIM","NÃO"))</f>
      </c>
      <c r="P551" s="232">
        <f>IF($A551="","",$A551-WEEKDAY($A551,2)+5)</f>
      </c>
    </row>
    <row r="552">
      <c r="A552" s="220" t="n"/>
      <c r="B552" s="218" t="n"/>
      <c r="C552" s="218" t="n"/>
      <c r="D552" s="218" t="n"/>
      <c r="E552" s="218" t="n"/>
      <c r="F552" s="328" t="n"/>
      <c r="G552" s="218" t="n"/>
      <c r="H552" s="218" t="n"/>
      <c r="I552" s="218" t="n"/>
      <c r="J552" s="218" t="n"/>
      <c r="K552" s="218" t="n"/>
      <c r="L552" s="218" t="n"/>
      <c r="M552" s="218" t="n"/>
      <c r="N552" s="218" t="n"/>
      <c r="O552" s="222">
        <f>IF($A552="","",IF(IF($B552="343",NETWORKDAYS($A552,$A552,FERIADOS_343),IF($B552="281",NETWORKDAYS($A552,$A552,FERIADOS_281),NETWORKDAYS($A552,$A552,FERIADOS_342)))=1,"SIM","NÃO"))</f>
      </c>
      <c r="P552" s="232">
        <f>IF($A552="","",$A552-WEEKDAY($A552,2)+5)</f>
      </c>
    </row>
    <row r="553">
      <c r="A553" s="220" t="n"/>
      <c r="B553" s="218" t="n"/>
      <c r="C553" s="218" t="n"/>
      <c r="D553" s="218" t="n"/>
      <c r="E553" s="218" t="n"/>
      <c r="F553" s="328" t="n"/>
      <c r="G553" s="218" t="n"/>
      <c r="H553" s="218" t="n"/>
      <c r="I553" s="218" t="n"/>
      <c r="J553" s="218" t="n"/>
      <c r="K553" s="218" t="n"/>
      <c r="L553" s="218" t="n"/>
      <c r="M553" s="218" t="n"/>
      <c r="N553" s="218" t="n"/>
      <c r="O553" s="222">
        <f>IF($A553="","",IF(IF($B553="343",NETWORKDAYS($A553,$A553,FERIADOS_343),IF($B553="281",NETWORKDAYS($A553,$A553,FERIADOS_281),NETWORKDAYS($A553,$A553,FERIADOS_342)))=1,"SIM","NÃO"))</f>
      </c>
      <c r="P553" s="232">
        <f>IF($A553="","",$A553-WEEKDAY($A553,2)+5)</f>
      </c>
    </row>
    <row r="554">
      <c r="A554" s="220" t="n"/>
      <c r="B554" s="218" t="n"/>
      <c r="C554" s="218" t="n"/>
      <c r="D554" s="218" t="n"/>
      <c r="E554" s="218" t="n"/>
      <c r="F554" s="328" t="n"/>
      <c r="G554" s="218" t="n"/>
      <c r="H554" s="218" t="n"/>
      <c r="I554" s="218" t="n"/>
      <c r="J554" s="218" t="n"/>
      <c r="K554" s="218" t="n"/>
      <c r="L554" s="218" t="n"/>
      <c r="M554" s="218" t="n"/>
      <c r="N554" s="218" t="n"/>
      <c r="O554" s="222">
        <f>IF($A554="","",IF(IF($B554="343",NETWORKDAYS($A554,$A554,FERIADOS_343),IF($B554="281",NETWORKDAYS($A554,$A554,FERIADOS_281),NETWORKDAYS($A554,$A554,FERIADOS_342)))=1,"SIM","NÃO"))</f>
      </c>
      <c r="P554" s="232">
        <f>IF($A554="","",$A554-WEEKDAY($A554,2)+5)</f>
      </c>
    </row>
    <row r="555">
      <c r="A555" s="220" t="n"/>
      <c r="B555" s="218" t="n"/>
      <c r="C555" s="218" t="n"/>
      <c r="D555" s="218" t="n"/>
      <c r="E555" s="218" t="n"/>
      <c r="F555" s="328" t="n"/>
      <c r="G555" s="218" t="n"/>
      <c r="H555" s="218" t="n"/>
      <c r="I555" s="218" t="n"/>
      <c r="J555" s="218" t="n"/>
      <c r="K555" s="218" t="n"/>
      <c r="L555" s="218" t="n"/>
      <c r="M555" s="218" t="n"/>
      <c r="N555" s="218" t="n"/>
      <c r="O555" s="222">
        <f>IF($A555="","",IF(IF($B555="343",NETWORKDAYS($A555,$A555,FERIADOS_343),IF($B555="281",NETWORKDAYS($A555,$A555,FERIADOS_281),NETWORKDAYS($A555,$A555,FERIADOS_342)))=1,"SIM","NÃO"))</f>
      </c>
      <c r="P555" s="232">
        <f>IF($A555="","",$A555-WEEKDAY($A555,2)+5)</f>
      </c>
    </row>
    <row r="556">
      <c r="A556" s="220" t="n"/>
      <c r="B556" s="218" t="n"/>
      <c r="C556" s="218" t="n"/>
      <c r="D556" s="218" t="n"/>
      <c r="E556" s="218" t="n"/>
      <c r="F556" s="328" t="n"/>
      <c r="G556" s="218" t="n"/>
      <c r="H556" s="218" t="n"/>
      <c r="I556" s="218" t="n"/>
      <c r="J556" s="218" t="n"/>
      <c r="K556" s="218" t="n"/>
      <c r="L556" s="218" t="n"/>
      <c r="M556" s="218" t="n"/>
      <c r="N556" s="218" t="n"/>
      <c r="O556" s="222">
        <f>IF($A556="","",IF(IF($B556="343",NETWORKDAYS($A556,$A556,FERIADOS_343),IF($B556="281",NETWORKDAYS($A556,$A556,FERIADOS_281),NETWORKDAYS($A556,$A556,FERIADOS_342)))=1,"SIM","NÃO"))</f>
      </c>
      <c r="P556" s="232">
        <f>IF($A556="","",$A556-WEEKDAY($A556,2)+5)</f>
      </c>
    </row>
    <row r="557">
      <c r="A557" s="220" t="n"/>
      <c r="B557" s="218" t="n"/>
      <c r="C557" s="218" t="n"/>
      <c r="D557" s="218" t="n"/>
      <c r="E557" s="218" t="n"/>
      <c r="F557" s="328" t="n"/>
      <c r="G557" s="218" t="n"/>
      <c r="H557" s="218" t="n"/>
      <c r="I557" s="218" t="n"/>
      <c r="J557" s="218" t="n"/>
      <c r="K557" s="218" t="n"/>
      <c r="L557" s="218" t="n"/>
      <c r="M557" s="218" t="n"/>
      <c r="N557" s="218" t="n"/>
      <c r="O557" s="222">
        <f>IF($A557="","",IF(IF($B557="343",NETWORKDAYS($A557,$A557,FERIADOS_343),IF($B557="281",NETWORKDAYS($A557,$A557,FERIADOS_281),NETWORKDAYS($A557,$A557,FERIADOS_342)))=1,"SIM","NÃO"))</f>
      </c>
      <c r="P557" s="232">
        <f>IF($A557="","",$A557-WEEKDAY($A557,2)+5)</f>
      </c>
    </row>
    <row r="558">
      <c r="A558" s="220" t="n"/>
      <c r="B558" s="218" t="n"/>
      <c r="C558" s="218" t="n"/>
      <c r="D558" s="218" t="n"/>
      <c r="E558" s="218" t="n"/>
      <c r="F558" s="328" t="n"/>
      <c r="G558" s="218" t="n"/>
      <c r="H558" s="218" t="n"/>
      <c r="I558" s="218" t="n"/>
      <c r="J558" s="218" t="n"/>
      <c r="K558" s="218" t="n"/>
      <c r="L558" s="218" t="n"/>
      <c r="M558" s="218" t="n"/>
      <c r="N558" s="218" t="n"/>
      <c r="O558" s="222">
        <f>IF($A558="","",IF(IF($B558="343",NETWORKDAYS($A558,$A558,FERIADOS_343),IF($B558="281",NETWORKDAYS($A558,$A558,FERIADOS_281),NETWORKDAYS($A558,$A558,FERIADOS_342)))=1,"SIM","NÃO"))</f>
      </c>
      <c r="P558" s="232">
        <f>IF($A558="","",$A558-WEEKDAY($A558,2)+5)</f>
      </c>
    </row>
    <row r="559">
      <c r="A559" s="220" t="n"/>
      <c r="B559" s="218" t="n"/>
      <c r="C559" s="218" t="n"/>
      <c r="D559" s="218" t="n"/>
      <c r="E559" s="218" t="n"/>
      <c r="F559" s="328" t="n"/>
      <c r="G559" s="218" t="n"/>
      <c r="H559" s="218" t="n"/>
      <c r="I559" s="218" t="n"/>
      <c r="J559" s="218" t="n"/>
      <c r="K559" s="218" t="n"/>
      <c r="L559" s="218" t="n"/>
      <c r="M559" s="218" t="n"/>
      <c r="N559" s="218" t="n"/>
      <c r="O559" s="222">
        <f>IF($A559="","",IF(IF($B559="343",NETWORKDAYS($A559,$A559,FERIADOS_343),IF($B559="281",NETWORKDAYS($A559,$A559,FERIADOS_281),NETWORKDAYS($A559,$A559,FERIADOS_342)))=1,"SIM","NÃO"))</f>
      </c>
      <c r="P559" s="232">
        <f>IF($A559="","",$A559-WEEKDAY($A559,2)+5)</f>
      </c>
    </row>
    <row r="560">
      <c r="A560" s="220" t="n"/>
      <c r="B560" s="218" t="n"/>
      <c r="C560" s="218" t="n"/>
      <c r="D560" s="218" t="n"/>
      <c r="E560" s="218" t="n"/>
      <c r="F560" s="328" t="n"/>
      <c r="G560" s="218" t="n"/>
      <c r="H560" s="218" t="n"/>
      <c r="I560" s="218" t="n"/>
      <c r="J560" s="218" t="n"/>
      <c r="K560" s="218" t="n"/>
      <c r="L560" s="218" t="n"/>
      <c r="M560" s="218" t="n"/>
      <c r="N560" s="218" t="n"/>
      <c r="O560" s="222">
        <f>IF($A560="","",IF(IF($B560="343",NETWORKDAYS($A560,$A560,FERIADOS_343),IF($B560="281",NETWORKDAYS($A560,$A560,FERIADOS_281),NETWORKDAYS($A560,$A560,FERIADOS_342)))=1,"SIM","NÃO"))</f>
      </c>
      <c r="P560" s="232">
        <f>IF($A560="","",$A560-WEEKDAY($A560,2)+5)</f>
      </c>
    </row>
    <row r="561">
      <c r="A561" s="220" t="n"/>
      <c r="B561" s="218" t="n"/>
      <c r="C561" s="218" t="n"/>
      <c r="D561" s="218" t="n"/>
      <c r="E561" s="218" t="n"/>
      <c r="F561" s="328" t="n"/>
      <c r="G561" s="218" t="n"/>
      <c r="H561" s="218" t="n"/>
      <c r="I561" s="218" t="n"/>
      <c r="J561" s="218" t="n"/>
      <c r="K561" s="218" t="n"/>
      <c r="L561" s="218" t="n"/>
      <c r="M561" s="218" t="n"/>
      <c r="N561" s="218" t="n"/>
      <c r="O561" s="222">
        <f>IF($A561="","",IF(IF($B561="343",NETWORKDAYS($A561,$A561,FERIADOS_343),IF($B561="281",NETWORKDAYS($A561,$A561,FERIADOS_281),NETWORKDAYS($A561,$A561,FERIADOS_342)))=1,"SIM","NÃO"))</f>
      </c>
      <c r="P561" s="232">
        <f>IF($A561="","",$A561-WEEKDAY($A561,2)+5)</f>
      </c>
    </row>
    <row r="562">
      <c r="A562" s="220" t="n"/>
      <c r="B562" s="218" t="n"/>
      <c r="C562" s="218" t="n"/>
      <c r="D562" s="218" t="n"/>
      <c r="E562" s="218" t="n"/>
      <c r="F562" s="328" t="n"/>
      <c r="G562" s="218" t="n"/>
      <c r="H562" s="218" t="n"/>
      <c r="I562" s="218" t="n"/>
      <c r="J562" s="218" t="n"/>
      <c r="K562" s="218" t="n"/>
      <c r="L562" s="218" t="n"/>
      <c r="M562" s="218" t="n"/>
      <c r="N562" s="218" t="n"/>
      <c r="O562" s="222">
        <f>IF($A562="","",IF(IF($B562="343",NETWORKDAYS($A562,$A562,FERIADOS_343),IF($B562="281",NETWORKDAYS($A562,$A562,FERIADOS_281),NETWORKDAYS($A562,$A562,FERIADOS_342)))=1,"SIM","NÃO"))</f>
      </c>
      <c r="P562" s="232">
        <f>IF($A562="","",$A562-WEEKDAY($A562,2)+5)</f>
      </c>
    </row>
    <row r="563">
      <c r="A563" s="220" t="n"/>
      <c r="B563" s="218" t="n"/>
      <c r="C563" s="218" t="n"/>
      <c r="D563" s="218" t="n"/>
      <c r="E563" s="218" t="n"/>
      <c r="F563" s="328" t="n"/>
      <c r="G563" s="218" t="n"/>
      <c r="H563" s="218" t="n"/>
      <c r="I563" s="218" t="n"/>
      <c r="J563" s="218" t="n"/>
      <c r="K563" s="218" t="n"/>
      <c r="L563" s="218" t="n"/>
      <c r="M563" s="218" t="n"/>
      <c r="N563" s="218" t="n"/>
      <c r="O563" s="222">
        <f>IF($A563="","",IF(IF($B563="343",NETWORKDAYS($A563,$A563,FERIADOS_343),IF($B563="281",NETWORKDAYS($A563,$A563,FERIADOS_281),NETWORKDAYS($A563,$A563,FERIADOS_342)))=1,"SIM","NÃO"))</f>
      </c>
      <c r="P563" s="232">
        <f>IF($A563="","",$A563-WEEKDAY($A563,2)+5)</f>
      </c>
    </row>
    <row r="564">
      <c r="A564" s="220" t="n"/>
      <c r="B564" s="218" t="n"/>
      <c r="C564" s="218" t="n"/>
      <c r="D564" s="218" t="n"/>
      <c r="E564" s="218" t="n"/>
      <c r="F564" s="328" t="n"/>
      <c r="G564" s="218" t="n"/>
      <c r="H564" s="218" t="n"/>
      <c r="I564" s="218" t="n"/>
      <c r="J564" s="218" t="n"/>
      <c r="K564" s="218" t="n"/>
      <c r="L564" s="218" t="n"/>
      <c r="M564" s="218" t="n"/>
      <c r="N564" s="218" t="n"/>
      <c r="O564" s="222">
        <f>IF($A564="","",IF(IF($B564="343",NETWORKDAYS($A564,$A564,FERIADOS_343),IF($B564="281",NETWORKDAYS($A564,$A564,FERIADOS_281),NETWORKDAYS($A564,$A564,FERIADOS_342)))=1,"SIM","NÃO"))</f>
      </c>
      <c r="P564" s="232">
        <f>IF($A564="","",$A564-WEEKDAY($A564,2)+5)</f>
      </c>
    </row>
    <row r="565">
      <c r="A565" s="220" t="n"/>
      <c r="B565" s="218" t="n"/>
      <c r="C565" s="218" t="n"/>
      <c r="D565" s="218" t="n"/>
      <c r="E565" s="218" t="n"/>
      <c r="F565" s="328" t="n"/>
      <c r="G565" s="218" t="n"/>
      <c r="H565" s="218" t="n"/>
      <c r="I565" s="218" t="n"/>
      <c r="J565" s="218" t="n"/>
      <c r="K565" s="218" t="n"/>
      <c r="L565" s="218" t="n"/>
      <c r="M565" s="218" t="n"/>
      <c r="N565" s="218" t="n"/>
      <c r="O565" s="222">
        <f>IF($A565="","",IF(IF($B565="343",NETWORKDAYS($A565,$A565,FERIADOS_343),IF($B565="281",NETWORKDAYS($A565,$A565,FERIADOS_281),NETWORKDAYS($A565,$A565,FERIADOS_342)))=1,"SIM","NÃO"))</f>
      </c>
      <c r="P565" s="232">
        <f>IF($A565="","",$A565-WEEKDAY($A565,2)+5)</f>
      </c>
    </row>
    <row r="566">
      <c r="A566" s="220" t="n"/>
      <c r="B566" s="218" t="n"/>
      <c r="C566" s="218" t="n"/>
      <c r="D566" s="218" t="n"/>
      <c r="E566" s="218" t="n"/>
      <c r="F566" s="328" t="n"/>
      <c r="G566" s="218" t="n"/>
      <c r="H566" s="218" t="n"/>
      <c r="I566" s="218" t="n"/>
      <c r="J566" s="218" t="n"/>
      <c r="K566" s="218" t="n"/>
      <c r="L566" s="218" t="n"/>
      <c r="M566" s="218" t="n"/>
      <c r="N566" s="218" t="n"/>
      <c r="O566" s="222">
        <f>IF($A566="","",IF(IF($B566="343",NETWORKDAYS($A566,$A566,FERIADOS_343),IF($B566="281",NETWORKDAYS($A566,$A566,FERIADOS_281),NETWORKDAYS($A566,$A566,FERIADOS_342)))=1,"SIM","NÃO"))</f>
      </c>
      <c r="P566" s="232">
        <f>IF($A566="","",$A566-WEEKDAY($A566,2)+5)</f>
      </c>
    </row>
    <row r="567">
      <c r="A567" s="220" t="n"/>
      <c r="B567" s="218" t="n"/>
      <c r="C567" s="218" t="n"/>
      <c r="D567" s="218" t="n"/>
      <c r="E567" s="218" t="n"/>
      <c r="F567" s="328" t="n"/>
      <c r="G567" s="218" t="n"/>
      <c r="H567" s="218" t="n"/>
      <c r="I567" s="218" t="n"/>
      <c r="J567" s="218" t="n"/>
      <c r="K567" s="218" t="n"/>
      <c r="L567" s="218" t="n"/>
      <c r="M567" s="218" t="n"/>
      <c r="N567" s="218" t="n"/>
      <c r="O567" s="222">
        <f>IF($A567="","",IF(IF($B567="343",NETWORKDAYS($A567,$A567,FERIADOS_343),IF($B567="281",NETWORKDAYS($A567,$A567,FERIADOS_281),NETWORKDAYS($A567,$A567,FERIADOS_342)))=1,"SIM","NÃO"))</f>
      </c>
      <c r="P567" s="232">
        <f>IF($A567="","",$A567-WEEKDAY($A567,2)+5)</f>
      </c>
    </row>
    <row r="568">
      <c r="A568" s="220" t="n"/>
      <c r="B568" s="218" t="n"/>
      <c r="C568" s="218" t="n"/>
      <c r="D568" s="218" t="n"/>
      <c r="E568" s="218" t="n"/>
      <c r="F568" s="328" t="n"/>
      <c r="G568" s="218" t="n"/>
      <c r="H568" s="218" t="n"/>
      <c r="I568" s="218" t="n"/>
      <c r="J568" s="218" t="n"/>
      <c r="K568" s="218" t="n"/>
      <c r="L568" s="218" t="n"/>
      <c r="M568" s="218" t="n"/>
      <c r="N568" s="218" t="n"/>
      <c r="O568" s="222">
        <f>IF($A568="","",IF(IF($B568="343",NETWORKDAYS($A568,$A568,FERIADOS_343),IF($B568="281",NETWORKDAYS($A568,$A568,FERIADOS_281),NETWORKDAYS($A568,$A568,FERIADOS_342)))=1,"SIM","NÃO"))</f>
      </c>
      <c r="P568" s="232">
        <f>IF($A568="","",$A568-WEEKDAY($A568,2)+5)</f>
      </c>
    </row>
    <row r="569">
      <c r="A569" s="220" t="n"/>
      <c r="B569" s="218" t="n"/>
      <c r="C569" s="218" t="n"/>
      <c r="D569" s="218" t="n"/>
      <c r="E569" s="218" t="n"/>
      <c r="F569" s="328" t="n"/>
      <c r="G569" s="218" t="n"/>
      <c r="H569" s="218" t="n"/>
      <c r="I569" s="218" t="n"/>
      <c r="J569" s="218" t="n"/>
      <c r="K569" s="218" t="n"/>
      <c r="L569" s="218" t="n"/>
      <c r="M569" s="218" t="n"/>
      <c r="N569" s="218" t="n"/>
      <c r="O569" s="222">
        <f>IF($A569="","",IF(IF($B569="343",NETWORKDAYS($A569,$A569,FERIADOS_343),IF($B569="281",NETWORKDAYS($A569,$A569,FERIADOS_281),NETWORKDAYS($A569,$A569,FERIADOS_342)))=1,"SIM","NÃO"))</f>
      </c>
      <c r="P569" s="232">
        <f>IF($A569="","",$A569-WEEKDAY($A569,2)+5)</f>
      </c>
    </row>
    <row r="570">
      <c r="A570" s="220" t="n"/>
      <c r="B570" s="218" t="n"/>
      <c r="C570" s="218" t="n"/>
      <c r="D570" s="218" t="n"/>
      <c r="E570" s="218" t="n"/>
      <c r="F570" s="328" t="n"/>
      <c r="G570" s="218" t="n"/>
      <c r="H570" s="218" t="n"/>
      <c r="I570" s="218" t="n"/>
      <c r="J570" s="218" t="n"/>
      <c r="K570" s="218" t="n"/>
      <c r="L570" s="218" t="n"/>
      <c r="M570" s="218" t="n"/>
      <c r="N570" s="218" t="n"/>
      <c r="O570" s="222">
        <f>IF($A570="","",IF(IF($B570="343",NETWORKDAYS($A570,$A570,FERIADOS_343),IF($B570="281",NETWORKDAYS($A570,$A570,FERIADOS_281),NETWORKDAYS($A570,$A570,FERIADOS_342)))=1,"SIM","NÃO"))</f>
      </c>
      <c r="P570" s="232">
        <f>IF($A570="","",$A570-WEEKDAY($A570,2)+5)</f>
      </c>
    </row>
    <row r="571">
      <c r="A571" s="220" t="n"/>
      <c r="B571" s="218" t="n"/>
      <c r="C571" s="218" t="n"/>
      <c r="D571" s="218" t="n"/>
      <c r="E571" s="218" t="n"/>
      <c r="F571" s="328" t="n"/>
      <c r="G571" s="218" t="n"/>
      <c r="H571" s="218" t="n"/>
      <c r="I571" s="218" t="n"/>
      <c r="J571" s="218" t="n"/>
      <c r="K571" s="218" t="n"/>
      <c r="L571" s="218" t="n"/>
      <c r="M571" s="218" t="n"/>
      <c r="N571" s="218" t="n"/>
      <c r="O571" s="222">
        <f>IF($A571="","",IF(IF($B571="343",NETWORKDAYS($A571,$A571,FERIADOS_343),IF($B571="281",NETWORKDAYS($A571,$A571,FERIADOS_281),NETWORKDAYS($A571,$A571,FERIADOS_342)))=1,"SIM","NÃO"))</f>
      </c>
      <c r="P571" s="232">
        <f>IF($A571="","",$A571-WEEKDAY($A571,2)+5)</f>
      </c>
    </row>
    <row r="572">
      <c r="A572" s="220" t="n"/>
      <c r="B572" s="218" t="n"/>
      <c r="C572" s="218" t="n"/>
      <c r="D572" s="218" t="n"/>
      <c r="E572" s="218" t="n"/>
      <c r="F572" s="328" t="n"/>
      <c r="G572" s="218" t="n"/>
      <c r="H572" s="218" t="n"/>
      <c r="I572" s="218" t="n"/>
      <c r="J572" s="218" t="n"/>
      <c r="K572" s="218" t="n"/>
      <c r="L572" s="218" t="n"/>
      <c r="M572" s="218" t="n"/>
      <c r="N572" s="218" t="n"/>
      <c r="O572" s="222">
        <f>IF($A572="","",IF(IF($B572="343",NETWORKDAYS($A572,$A572,FERIADOS_343),IF($B572="281",NETWORKDAYS($A572,$A572,FERIADOS_281),NETWORKDAYS($A572,$A572,FERIADOS_342)))=1,"SIM","NÃO"))</f>
      </c>
      <c r="P572" s="232">
        <f>IF($A572="","",$A572-WEEKDAY($A572,2)+5)</f>
      </c>
    </row>
    <row r="573">
      <c r="A573" s="220" t="n"/>
      <c r="B573" s="218" t="n"/>
      <c r="C573" s="218" t="n"/>
      <c r="D573" s="218" t="n"/>
      <c r="E573" s="218" t="n"/>
      <c r="F573" s="328" t="n"/>
      <c r="G573" s="218" t="n"/>
      <c r="H573" s="218" t="n"/>
      <c r="I573" s="218" t="n"/>
      <c r="J573" s="218" t="n"/>
      <c r="K573" s="218" t="n"/>
      <c r="L573" s="218" t="n"/>
      <c r="M573" s="218" t="n"/>
      <c r="N573" s="218" t="n"/>
      <c r="O573" s="222">
        <f>IF($A573="","",IF(IF($B573="343",NETWORKDAYS($A573,$A573,FERIADOS_343),IF($B573="281",NETWORKDAYS($A573,$A573,FERIADOS_281),NETWORKDAYS($A573,$A573,FERIADOS_342)))=1,"SIM","NÃO"))</f>
      </c>
      <c r="P573" s="232">
        <f>IF($A573="","",$A573-WEEKDAY($A573,2)+5)</f>
      </c>
    </row>
    <row r="574">
      <c r="A574" s="220" t="n"/>
      <c r="B574" s="218" t="n"/>
      <c r="C574" s="218" t="n"/>
      <c r="D574" s="218" t="n"/>
      <c r="E574" s="218" t="n"/>
      <c r="F574" s="328" t="n"/>
      <c r="G574" s="218" t="n"/>
      <c r="H574" s="218" t="n"/>
      <c r="I574" s="218" t="n"/>
      <c r="J574" s="218" t="n"/>
      <c r="K574" s="218" t="n"/>
      <c r="L574" s="218" t="n"/>
      <c r="M574" s="218" t="n"/>
      <c r="N574" s="218" t="n"/>
      <c r="O574" s="222">
        <f>IF($A574="","",IF(IF($B574="343",NETWORKDAYS($A574,$A574,FERIADOS_343),IF($B574="281",NETWORKDAYS($A574,$A574,FERIADOS_281),NETWORKDAYS($A574,$A574,FERIADOS_342)))=1,"SIM","NÃO"))</f>
      </c>
      <c r="P574" s="232">
        <f>IF($A574="","",$A574-WEEKDAY($A574,2)+5)</f>
      </c>
    </row>
    <row r="575">
      <c r="A575" s="220" t="n"/>
      <c r="B575" s="218" t="n"/>
      <c r="C575" s="218" t="n"/>
      <c r="D575" s="218" t="n"/>
      <c r="E575" s="218" t="n"/>
      <c r="F575" s="328" t="n"/>
      <c r="G575" s="218" t="n"/>
      <c r="H575" s="218" t="n"/>
      <c r="I575" s="218" t="n"/>
      <c r="J575" s="218" t="n"/>
      <c r="K575" s="218" t="n"/>
      <c r="L575" s="218" t="n"/>
      <c r="M575" s="218" t="n"/>
      <c r="N575" s="218" t="n"/>
      <c r="O575" s="222">
        <f>IF($A575="","",IF(IF($B575="343",NETWORKDAYS($A575,$A575,FERIADOS_343),IF($B575="281",NETWORKDAYS($A575,$A575,FERIADOS_281),NETWORKDAYS($A575,$A575,FERIADOS_342)))=1,"SIM","NÃO"))</f>
      </c>
      <c r="P575" s="232">
        <f>IF($A575="","",$A575-WEEKDAY($A575,2)+5)</f>
      </c>
    </row>
    <row r="576">
      <c r="A576" s="220" t="n"/>
      <c r="B576" s="218" t="n"/>
      <c r="C576" s="218" t="n"/>
      <c r="D576" s="218" t="n"/>
      <c r="E576" s="218" t="n"/>
      <c r="F576" s="328" t="n"/>
      <c r="G576" s="218" t="n"/>
      <c r="H576" s="218" t="n"/>
      <c r="I576" s="218" t="n"/>
      <c r="J576" s="218" t="n"/>
      <c r="K576" s="218" t="n"/>
      <c r="L576" s="218" t="n"/>
      <c r="M576" s="218" t="n"/>
      <c r="N576" s="218" t="n"/>
      <c r="O576" s="222">
        <f>IF($A576="","",IF(IF($B576="343",NETWORKDAYS($A576,$A576,FERIADOS_343),IF($B576="281",NETWORKDAYS($A576,$A576,FERIADOS_281),NETWORKDAYS($A576,$A576,FERIADOS_342)))=1,"SIM","NÃO"))</f>
      </c>
      <c r="P576" s="232">
        <f>IF($A576="","",$A576-WEEKDAY($A576,2)+5)</f>
      </c>
    </row>
    <row r="577">
      <c r="A577" s="220" t="n"/>
      <c r="B577" s="218" t="n"/>
      <c r="C577" s="218" t="n"/>
      <c r="D577" s="218" t="n"/>
      <c r="E577" s="218" t="n"/>
      <c r="F577" s="328" t="n"/>
      <c r="G577" s="218" t="n"/>
      <c r="H577" s="218" t="n"/>
      <c r="I577" s="218" t="n"/>
      <c r="J577" s="218" t="n"/>
      <c r="K577" s="218" t="n"/>
      <c r="L577" s="218" t="n"/>
      <c r="M577" s="218" t="n"/>
      <c r="N577" s="218" t="n"/>
      <c r="O577" s="222">
        <f>IF($A577="","",IF(IF($B577="343",NETWORKDAYS($A577,$A577,FERIADOS_343),IF($B577="281",NETWORKDAYS($A577,$A577,FERIADOS_281),NETWORKDAYS($A577,$A577,FERIADOS_342)))=1,"SIM","NÃO"))</f>
      </c>
      <c r="P577" s="232">
        <f>IF($A577="","",$A577-WEEKDAY($A577,2)+5)</f>
      </c>
    </row>
    <row r="578">
      <c r="A578" s="220" t="n"/>
      <c r="B578" s="218" t="n"/>
      <c r="C578" s="218" t="n"/>
      <c r="D578" s="218" t="n"/>
      <c r="E578" s="218" t="n"/>
      <c r="F578" s="328" t="n"/>
      <c r="G578" s="218" t="n"/>
      <c r="H578" s="218" t="n"/>
      <c r="I578" s="218" t="n"/>
      <c r="J578" s="218" t="n"/>
      <c r="K578" s="218" t="n"/>
      <c r="L578" s="218" t="n"/>
      <c r="M578" s="218" t="n"/>
      <c r="N578" s="218" t="n"/>
      <c r="O578" s="222">
        <f>IF($A578="","",IF(IF($B578="343",NETWORKDAYS($A578,$A578,FERIADOS_343),IF($B578="281",NETWORKDAYS($A578,$A578,FERIADOS_281),NETWORKDAYS($A578,$A578,FERIADOS_342)))=1,"SIM","NÃO"))</f>
      </c>
      <c r="P578" s="232">
        <f>IF($A578="","",$A578-WEEKDAY($A578,2)+5)</f>
      </c>
    </row>
    <row r="579">
      <c r="A579" s="220" t="n"/>
      <c r="B579" s="218" t="n"/>
      <c r="C579" s="218" t="n"/>
      <c r="D579" s="218" t="n"/>
      <c r="E579" s="218" t="n"/>
      <c r="F579" s="328" t="n"/>
      <c r="G579" s="218" t="n"/>
      <c r="H579" s="218" t="n"/>
      <c r="I579" s="218" t="n"/>
      <c r="J579" s="218" t="n"/>
      <c r="K579" s="218" t="n"/>
      <c r="L579" s="218" t="n"/>
      <c r="M579" s="218" t="n"/>
      <c r="N579" s="218" t="n"/>
      <c r="O579" s="222">
        <f>IF($A579="","",IF(IF($B579="343",NETWORKDAYS($A579,$A579,FERIADOS_343),IF($B579="281",NETWORKDAYS($A579,$A579,FERIADOS_281),NETWORKDAYS($A579,$A579,FERIADOS_342)))=1,"SIM","NÃO"))</f>
      </c>
      <c r="P579" s="232">
        <f>IF($A579="","",$A579-WEEKDAY($A579,2)+5)</f>
      </c>
    </row>
    <row r="580">
      <c r="A580" s="220" t="n"/>
      <c r="B580" s="218" t="n"/>
      <c r="C580" s="218" t="n"/>
      <c r="D580" s="218" t="n"/>
      <c r="E580" s="218" t="n"/>
      <c r="F580" s="328" t="n"/>
      <c r="G580" s="218" t="n"/>
      <c r="H580" s="218" t="n"/>
      <c r="I580" s="218" t="n"/>
      <c r="J580" s="218" t="n"/>
      <c r="K580" s="218" t="n"/>
      <c r="L580" s="218" t="n"/>
      <c r="M580" s="218" t="n"/>
      <c r="N580" s="218" t="n"/>
      <c r="O580" s="222">
        <f>IF($A580="","",IF(IF($B580="343",NETWORKDAYS($A580,$A580,FERIADOS_343),IF($B580="281",NETWORKDAYS($A580,$A580,FERIADOS_281),NETWORKDAYS($A580,$A580,FERIADOS_342)))=1,"SIM","NÃO"))</f>
      </c>
      <c r="P580" s="232">
        <f>IF($A580="","",$A580-WEEKDAY($A580,2)+5)</f>
      </c>
    </row>
    <row r="581">
      <c r="A581" s="220" t="n"/>
      <c r="B581" s="218" t="n"/>
      <c r="C581" s="218" t="n"/>
      <c r="D581" s="218" t="n"/>
      <c r="E581" s="218" t="n"/>
      <c r="F581" s="328" t="n"/>
      <c r="G581" s="218" t="n"/>
      <c r="H581" s="218" t="n"/>
      <c r="I581" s="218" t="n"/>
      <c r="J581" s="218" t="n"/>
      <c r="K581" s="218" t="n"/>
      <c r="L581" s="218" t="n"/>
      <c r="M581" s="218" t="n"/>
      <c r="N581" s="218" t="n"/>
      <c r="O581" s="222">
        <f>IF($A581="","",IF(IF($B581="343",NETWORKDAYS($A581,$A581,FERIADOS_343),IF($B581="281",NETWORKDAYS($A581,$A581,FERIADOS_281),NETWORKDAYS($A581,$A581,FERIADOS_342)))=1,"SIM","NÃO"))</f>
      </c>
      <c r="P581" s="232">
        <f>IF($A581="","",$A581-WEEKDAY($A581,2)+5)</f>
      </c>
    </row>
    <row r="582">
      <c r="A582" s="220" t="n"/>
      <c r="B582" s="218" t="n"/>
      <c r="C582" s="218" t="n"/>
      <c r="D582" s="218" t="n"/>
      <c r="E582" s="218" t="n"/>
      <c r="F582" s="328" t="n"/>
      <c r="G582" s="218" t="n"/>
      <c r="H582" s="218" t="n"/>
      <c r="I582" s="218" t="n"/>
      <c r="J582" s="218" t="n"/>
      <c r="K582" s="218" t="n"/>
      <c r="L582" s="218" t="n"/>
      <c r="M582" s="218" t="n"/>
      <c r="N582" s="218" t="n"/>
      <c r="O582" s="222">
        <f>IF($A582="","",IF(IF($B582="343",NETWORKDAYS($A582,$A582,FERIADOS_343),IF($B582="281",NETWORKDAYS($A582,$A582,FERIADOS_281),NETWORKDAYS($A582,$A582,FERIADOS_342)))=1,"SIM","NÃO"))</f>
      </c>
      <c r="P582" s="232">
        <f>IF($A582="","",$A582-WEEKDAY($A582,2)+5)</f>
      </c>
    </row>
    <row r="583">
      <c r="A583" s="220" t="n"/>
      <c r="B583" s="218" t="n"/>
      <c r="C583" s="218" t="n"/>
      <c r="D583" s="218" t="n"/>
      <c r="E583" s="218" t="n"/>
      <c r="F583" s="328" t="n"/>
      <c r="G583" s="218" t="n"/>
      <c r="H583" s="218" t="n"/>
      <c r="I583" s="218" t="n"/>
      <c r="J583" s="218" t="n"/>
      <c r="K583" s="218" t="n"/>
      <c r="L583" s="218" t="n"/>
      <c r="M583" s="218" t="n"/>
      <c r="N583" s="218" t="n"/>
      <c r="O583" s="222">
        <f>IF($A583="","",IF(IF($B583="343",NETWORKDAYS($A583,$A583,FERIADOS_343),IF($B583="281",NETWORKDAYS($A583,$A583,FERIADOS_281),NETWORKDAYS($A583,$A583,FERIADOS_342)))=1,"SIM","NÃO"))</f>
      </c>
      <c r="P583" s="232">
        <f>IF($A583="","",$A583-WEEKDAY($A583,2)+5)</f>
      </c>
    </row>
    <row r="584">
      <c r="A584" s="220" t="n"/>
      <c r="B584" s="218" t="n"/>
      <c r="C584" s="218" t="n"/>
      <c r="D584" s="218" t="n"/>
      <c r="E584" s="218" t="n"/>
      <c r="F584" s="328" t="n"/>
      <c r="G584" s="218" t="n"/>
      <c r="H584" s="218" t="n"/>
      <c r="I584" s="218" t="n"/>
      <c r="J584" s="218" t="n"/>
      <c r="K584" s="218" t="n"/>
      <c r="L584" s="218" t="n"/>
      <c r="M584" s="218" t="n"/>
      <c r="N584" s="218" t="n"/>
      <c r="O584" s="222">
        <f>IF($A584="","",IF(IF($B584="343",NETWORKDAYS($A584,$A584,FERIADOS_343),IF($B584="281",NETWORKDAYS($A584,$A584,FERIADOS_281),NETWORKDAYS($A584,$A584,FERIADOS_342)))=1,"SIM","NÃO"))</f>
      </c>
      <c r="P584" s="232">
        <f>IF($A584="","",$A584-WEEKDAY($A584,2)+5)</f>
      </c>
    </row>
    <row r="585">
      <c r="A585" s="220" t="n"/>
      <c r="B585" s="218" t="n"/>
      <c r="C585" s="218" t="n"/>
      <c r="D585" s="218" t="n"/>
      <c r="E585" s="218" t="n"/>
      <c r="F585" s="328" t="n"/>
      <c r="G585" s="218" t="n"/>
      <c r="H585" s="218" t="n"/>
      <c r="I585" s="218" t="n"/>
      <c r="J585" s="218" t="n"/>
      <c r="K585" s="218" t="n"/>
      <c r="L585" s="218" t="n"/>
      <c r="M585" s="218" t="n"/>
      <c r="N585" s="218" t="n"/>
      <c r="O585" s="222">
        <f>IF($A585="","",IF(IF($B585="343",NETWORKDAYS($A585,$A585,FERIADOS_343),IF($B585="281",NETWORKDAYS($A585,$A585,FERIADOS_281),NETWORKDAYS($A585,$A585,FERIADOS_342)))=1,"SIM","NÃO"))</f>
      </c>
      <c r="P585" s="232">
        <f>IF($A585="","",$A585-WEEKDAY($A585,2)+5)</f>
      </c>
    </row>
    <row r="586">
      <c r="A586" s="220" t="n"/>
      <c r="B586" s="218" t="n"/>
      <c r="C586" s="218" t="n"/>
      <c r="D586" s="218" t="n"/>
      <c r="E586" s="218" t="n"/>
      <c r="F586" s="328" t="n"/>
      <c r="G586" s="218" t="n"/>
      <c r="H586" s="218" t="n"/>
      <c r="I586" s="218" t="n"/>
      <c r="J586" s="218" t="n"/>
      <c r="K586" s="218" t="n"/>
      <c r="L586" s="218" t="n"/>
      <c r="M586" s="218" t="n"/>
      <c r="N586" s="218" t="n"/>
      <c r="O586" s="222">
        <f>IF($A586="","",IF(IF($B586="343",NETWORKDAYS($A586,$A586,FERIADOS_343),IF($B586="281",NETWORKDAYS($A586,$A586,FERIADOS_281),NETWORKDAYS($A586,$A586,FERIADOS_342)))=1,"SIM","NÃO"))</f>
      </c>
      <c r="P586" s="232">
        <f>IF($A586="","",$A586-WEEKDAY($A586,2)+5)</f>
      </c>
    </row>
    <row r="587">
      <c r="A587" s="220" t="n"/>
      <c r="B587" s="218" t="n"/>
      <c r="C587" s="218" t="n"/>
      <c r="D587" s="218" t="n"/>
      <c r="E587" s="218" t="n"/>
      <c r="F587" s="328" t="n"/>
      <c r="G587" s="218" t="n"/>
      <c r="H587" s="218" t="n"/>
      <c r="I587" s="218" t="n"/>
      <c r="J587" s="218" t="n"/>
      <c r="K587" s="218" t="n"/>
      <c r="L587" s="218" t="n"/>
      <c r="M587" s="218" t="n"/>
      <c r="N587" s="218" t="n"/>
      <c r="O587" s="222">
        <f>IF($A587="","",IF(IF($B587="343",NETWORKDAYS($A587,$A587,FERIADOS_343),IF($B587="281",NETWORKDAYS($A587,$A587,FERIADOS_281),NETWORKDAYS($A587,$A587,FERIADOS_342)))=1,"SIM","NÃO"))</f>
      </c>
      <c r="P587" s="232">
        <f>IF($A587="","",$A587-WEEKDAY($A587,2)+5)</f>
      </c>
    </row>
    <row r="588">
      <c r="A588" s="220" t="n"/>
      <c r="B588" s="218" t="n"/>
      <c r="C588" s="218" t="n"/>
      <c r="D588" s="218" t="n"/>
      <c r="E588" s="218" t="n"/>
      <c r="F588" s="328" t="n"/>
      <c r="G588" s="218" t="n"/>
      <c r="H588" s="218" t="n"/>
      <c r="I588" s="218" t="n"/>
      <c r="J588" s="218" t="n"/>
      <c r="K588" s="218" t="n"/>
      <c r="L588" s="218" t="n"/>
      <c r="M588" s="218" t="n"/>
      <c r="N588" s="218" t="n"/>
      <c r="O588" s="222">
        <f>IF($A588="","",IF(IF($B588="343",NETWORKDAYS($A588,$A588,FERIADOS_343),IF($B588="281",NETWORKDAYS($A588,$A588,FERIADOS_281),NETWORKDAYS($A588,$A588,FERIADOS_342)))=1,"SIM","NÃO"))</f>
      </c>
      <c r="P588" s="232">
        <f>IF($A588="","",$A588-WEEKDAY($A588,2)+5)</f>
      </c>
    </row>
    <row r="589">
      <c r="A589" s="220" t="n"/>
      <c r="B589" s="218" t="n"/>
      <c r="C589" s="218" t="n"/>
      <c r="D589" s="218" t="n"/>
      <c r="E589" s="218" t="n"/>
      <c r="F589" s="328" t="n"/>
      <c r="G589" s="218" t="n"/>
      <c r="H589" s="218" t="n"/>
      <c r="I589" s="218" t="n"/>
      <c r="J589" s="218" t="n"/>
      <c r="K589" s="218" t="n"/>
      <c r="L589" s="218" t="n"/>
      <c r="M589" s="218" t="n"/>
      <c r="N589" s="218" t="n"/>
      <c r="O589" s="222">
        <f>IF($A589="","",IF(IF($B589="343",NETWORKDAYS($A589,$A589,FERIADOS_343),IF($B589="281",NETWORKDAYS($A589,$A589,FERIADOS_281),NETWORKDAYS($A589,$A589,FERIADOS_342)))=1,"SIM","NÃO"))</f>
      </c>
      <c r="P589" s="232">
        <f>IF($A589="","",$A589-WEEKDAY($A589,2)+5)</f>
      </c>
    </row>
    <row r="590">
      <c r="A590" s="220" t="n"/>
      <c r="B590" s="218" t="n"/>
      <c r="C590" s="218" t="n"/>
      <c r="D590" s="218" t="n"/>
      <c r="E590" s="218" t="n"/>
      <c r="F590" s="328" t="n"/>
      <c r="G590" s="218" t="n"/>
      <c r="H590" s="218" t="n"/>
      <c r="I590" s="218" t="n"/>
      <c r="J590" s="218" t="n"/>
      <c r="K590" s="218" t="n"/>
      <c r="L590" s="218" t="n"/>
      <c r="M590" s="218" t="n"/>
      <c r="N590" s="218" t="n"/>
      <c r="O590" s="222">
        <f>IF($A590="","",IF(IF($B590="343",NETWORKDAYS($A590,$A590,FERIADOS_343),IF($B590="281",NETWORKDAYS($A590,$A590,FERIADOS_281),NETWORKDAYS($A590,$A590,FERIADOS_342)))=1,"SIM","NÃO"))</f>
      </c>
      <c r="P590" s="232">
        <f>IF($A590="","",$A590-WEEKDAY($A590,2)+5)</f>
      </c>
    </row>
    <row r="591">
      <c r="A591" s="220" t="n"/>
      <c r="B591" s="218" t="n"/>
      <c r="C591" s="218" t="n"/>
      <c r="D591" s="218" t="n"/>
      <c r="E591" s="218" t="n"/>
      <c r="F591" s="328" t="n"/>
      <c r="G591" s="218" t="n"/>
      <c r="H591" s="218" t="n"/>
      <c r="I591" s="218" t="n"/>
      <c r="J591" s="218" t="n"/>
      <c r="K591" s="218" t="n"/>
      <c r="L591" s="218" t="n"/>
      <c r="M591" s="218" t="n"/>
      <c r="N591" s="218" t="n"/>
      <c r="O591" s="222">
        <f>IF($A591="","",IF(IF($B591="343",NETWORKDAYS($A591,$A591,FERIADOS_343),IF($B591="281",NETWORKDAYS($A591,$A591,FERIADOS_281),NETWORKDAYS($A591,$A591,FERIADOS_342)))=1,"SIM","NÃO"))</f>
      </c>
      <c r="P591" s="232">
        <f>IF($A591="","",$A591-WEEKDAY($A591,2)+5)</f>
      </c>
    </row>
    <row r="592">
      <c r="A592" s="220" t="n"/>
      <c r="B592" s="218" t="n"/>
      <c r="C592" s="218" t="n"/>
      <c r="D592" s="218" t="n"/>
      <c r="E592" s="218" t="n"/>
      <c r="F592" s="328" t="n"/>
      <c r="G592" s="218" t="n"/>
      <c r="H592" s="218" t="n"/>
      <c r="I592" s="218" t="n"/>
      <c r="J592" s="218" t="n"/>
      <c r="K592" s="218" t="n"/>
      <c r="L592" s="218" t="n"/>
      <c r="M592" s="218" t="n"/>
      <c r="N592" s="218" t="n"/>
      <c r="O592" s="222">
        <f>IF($A592="","",IF(IF($B592="343",NETWORKDAYS($A592,$A592,FERIADOS_343),IF($B592="281",NETWORKDAYS($A592,$A592,FERIADOS_281),NETWORKDAYS($A592,$A592,FERIADOS_342)))=1,"SIM","NÃO"))</f>
      </c>
      <c r="P592" s="232">
        <f>IF($A592="","",$A592-WEEKDAY($A592,2)+5)</f>
      </c>
    </row>
    <row r="593">
      <c r="A593" s="220" t="n"/>
      <c r="B593" s="218" t="n"/>
      <c r="C593" s="218" t="n"/>
      <c r="D593" s="218" t="n"/>
      <c r="E593" s="218" t="n"/>
      <c r="F593" s="328" t="n"/>
      <c r="G593" s="218" t="n"/>
      <c r="H593" s="218" t="n"/>
      <c r="I593" s="218" t="n"/>
      <c r="J593" s="218" t="n"/>
      <c r="K593" s="218" t="n"/>
      <c r="L593" s="218" t="n"/>
      <c r="M593" s="218" t="n"/>
      <c r="N593" s="218" t="n"/>
      <c r="O593" s="222">
        <f>IF($A593="","",IF(IF($B593="343",NETWORKDAYS($A593,$A593,FERIADOS_343),IF($B593="281",NETWORKDAYS($A593,$A593,FERIADOS_281),NETWORKDAYS($A593,$A593,FERIADOS_342)))=1,"SIM","NÃO"))</f>
      </c>
      <c r="P593" s="232">
        <f>IF($A593="","",$A593-WEEKDAY($A593,2)+5)</f>
      </c>
    </row>
    <row r="594">
      <c r="A594" s="220" t="n"/>
      <c r="B594" s="218" t="n"/>
      <c r="C594" s="218" t="n"/>
      <c r="D594" s="218" t="n"/>
      <c r="E594" s="218" t="n"/>
      <c r="F594" s="328" t="n"/>
      <c r="G594" s="218" t="n"/>
      <c r="H594" s="218" t="n"/>
      <c r="I594" s="218" t="n"/>
      <c r="J594" s="218" t="n"/>
      <c r="K594" s="218" t="n"/>
      <c r="L594" s="218" t="n"/>
      <c r="M594" s="218" t="n"/>
      <c r="N594" s="218" t="n"/>
      <c r="O594" s="222">
        <f>IF($A594="","",IF(IF($B594="343",NETWORKDAYS($A594,$A594,FERIADOS_343),IF($B594="281",NETWORKDAYS($A594,$A594,FERIADOS_281),NETWORKDAYS($A594,$A594,FERIADOS_342)))=1,"SIM","NÃO"))</f>
      </c>
      <c r="P594" s="232">
        <f>IF($A594="","",$A594-WEEKDAY($A594,2)+5)</f>
      </c>
    </row>
    <row r="595">
      <c r="A595" s="220" t="n"/>
      <c r="B595" s="218" t="n"/>
      <c r="C595" s="218" t="n"/>
      <c r="D595" s="218" t="n"/>
      <c r="E595" s="218" t="n"/>
      <c r="F595" s="328" t="n"/>
      <c r="G595" s="218" t="n"/>
      <c r="H595" s="218" t="n"/>
      <c r="I595" s="218" t="n"/>
      <c r="J595" s="218" t="n"/>
      <c r="K595" s="218" t="n"/>
      <c r="L595" s="218" t="n"/>
      <c r="M595" s="218" t="n"/>
      <c r="N595" s="218" t="n"/>
      <c r="O595" s="222">
        <f>IF($A595="","",IF(IF($B595="343",NETWORKDAYS($A595,$A595,FERIADOS_343),IF($B595="281",NETWORKDAYS($A595,$A595,FERIADOS_281),NETWORKDAYS($A595,$A595,FERIADOS_342)))=1,"SIM","NÃO"))</f>
      </c>
      <c r="P595" s="232">
        <f>IF($A595="","",$A595-WEEKDAY($A595,2)+5)</f>
      </c>
    </row>
    <row r="596">
      <c r="A596" s="220" t="n"/>
      <c r="B596" s="218" t="n"/>
      <c r="C596" s="218" t="n"/>
      <c r="D596" s="218" t="n"/>
      <c r="E596" s="218" t="n"/>
      <c r="F596" s="328" t="n"/>
      <c r="G596" s="218" t="n"/>
      <c r="H596" s="218" t="n"/>
      <c r="I596" s="218" t="n"/>
      <c r="J596" s="218" t="n"/>
      <c r="K596" s="218" t="n"/>
      <c r="L596" s="218" t="n"/>
      <c r="M596" s="218" t="n"/>
      <c r="N596" s="218" t="n"/>
      <c r="O596" s="222">
        <f>IF($A596="","",IF(IF($B596="343",NETWORKDAYS($A596,$A596,FERIADOS_343),IF($B596="281",NETWORKDAYS($A596,$A596,FERIADOS_281),NETWORKDAYS($A596,$A596,FERIADOS_342)))=1,"SIM","NÃO"))</f>
      </c>
      <c r="P596" s="232">
        <f>IF($A596="","",$A596-WEEKDAY($A596,2)+5)</f>
      </c>
    </row>
    <row r="597">
      <c r="A597" s="220" t="n"/>
      <c r="B597" s="218" t="n"/>
      <c r="C597" s="218" t="n"/>
      <c r="D597" s="218" t="n"/>
      <c r="E597" s="218" t="n"/>
      <c r="F597" s="328" t="n"/>
      <c r="G597" s="218" t="n"/>
      <c r="H597" s="218" t="n"/>
      <c r="I597" s="218" t="n"/>
      <c r="J597" s="218" t="n"/>
      <c r="K597" s="218" t="n"/>
      <c r="L597" s="218" t="n"/>
      <c r="M597" s="218" t="n"/>
      <c r="N597" s="218" t="n"/>
      <c r="O597" s="222">
        <f>IF($A597="","",IF(IF($B597="343",NETWORKDAYS($A597,$A597,FERIADOS_343),IF($B597="281",NETWORKDAYS($A597,$A597,FERIADOS_281),NETWORKDAYS($A597,$A597,FERIADOS_342)))=1,"SIM","NÃO"))</f>
      </c>
      <c r="P597" s="232">
        <f>IF($A597="","",$A597-WEEKDAY($A597,2)+5)</f>
      </c>
    </row>
    <row r="598">
      <c r="A598" s="220" t="n"/>
      <c r="B598" s="218" t="n"/>
      <c r="C598" s="218" t="n"/>
      <c r="D598" s="218" t="n"/>
      <c r="E598" s="218" t="n"/>
      <c r="F598" s="328" t="n"/>
      <c r="G598" s="218" t="n"/>
      <c r="H598" s="218" t="n"/>
      <c r="I598" s="218" t="n"/>
      <c r="J598" s="218" t="n"/>
      <c r="K598" s="218" t="n"/>
      <c r="L598" s="218" t="n"/>
      <c r="M598" s="218" t="n"/>
      <c r="N598" s="218" t="n"/>
      <c r="O598" s="222">
        <f>IF($A598="","",IF(IF($B598="343",NETWORKDAYS($A598,$A598,FERIADOS_343),IF($B598="281",NETWORKDAYS($A598,$A598,FERIADOS_281),NETWORKDAYS($A598,$A598,FERIADOS_342)))=1,"SIM","NÃO"))</f>
      </c>
      <c r="P598" s="232">
        <f>IF($A598="","",$A598-WEEKDAY($A598,2)+5)</f>
      </c>
    </row>
    <row r="599">
      <c r="A599" s="220" t="n"/>
      <c r="B599" s="218" t="n"/>
      <c r="C599" s="218" t="n"/>
      <c r="D599" s="218" t="n"/>
      <c r="E599" s="218" t="n"/>
      <c r="F599" s="328" t="n"/>
      <c r="G599" s="218" t="n"/>
      <c r="H599" s="218" t="n"/>
      <c r="I599" s="218" t="n"/>
      <c r="J599" s="218" t="n"/>
      <c r="K599" s="218" t="n"/>
      <c r="L599" s="218" t="n"/>
      <c r="M599" s="218" t="n"/>
      <c r="N599" s="218" t="n"/>
      <c r="O599" s="222">
        <f>IF($A599="","",IF(IF($B599="343",NETWORKDAYS($A599,$A599,FERIADOS_343),IF($B599="281",NETWORKDAYS($A599,$A599,FERIADOS_281),NETWORKDAYS($A599,$A599,FERIADOS_342)))=1,"SIM","NÃO"))</f>
      </c>
      <c r="P599" s="232">
        <f>IF($A599="","",$A599-WEEKDAY($A599,2)+5)</f>
      </c>
    </row>
    <row r="600">
      <c r="A600" s="220" t="n"/>
      <c r="B600" s="218" t="n"/>
      <c r="C600" s="218" t="n"/>
      <c r="D600" s="218" t="n"/>
      <c r="E600" s="218" t="n"/>
      <c r="F600" s="328" t="n"/>
      <c r="G600" s="218" t="n"/>
      <c r="H600" s="218" t="n"/>
      <c r="I600" s="218" t="n"/>
      <c r="J600" s="218" t="n"/>
      <c r="K600" s="218" t="n"/>
      <c r="L600" s="218" t="n"/>
      <c r="M600" s="218" t="n"/>
      <c r="N600" s="218" t="n"/>
      <c r="O600" s="222">
        <f>IF($A600="","",IF(IF($B600="343",NETWORKDAYS($A600,$A600,FERIADOS_343),IF($B600="281",NETWORKDAYS($A600,$A600,FERIADOS_281),NETWORKDAYS($A600,$A600,FERIADOS_342)))=1,"SIM","NÃO"))</f>
      </c>
      <c r="P600" s="232">
        <f>IF($A600="","",$A600-WEEKDAY($A600,2)+5)</f>
      </c>
    </row>
    <row r="601">
      <c r="A601" s="220" t="n"/>
      <c r="B601" s="218" t="n"/>
      <c r="C601" s="218" t="n"/>
      <c r="D601" s="218" t="n"/>
      <c r="E601" s="218" t="n"/>
      <c r="F601" s="328" t="n"/>
      <c r="G601" s="218" t="n"/>
      <c r="H601" s="218" t="n"/>
      <c r="I601" s="218" t="n"/>
      <c r="J601" s="218" t="n"/>
      <c r="K601" s="218" t="n"/>
      <c r="L601" s="218" t="n"/>
      <c r="M601" s="218" t="n"/>
      <c r="N601" s="218" t="n"/>
      <c r="O601" s="222">
        <f>IF($A601="","",IF(IF($B601="343",NETWORKDAYS($A601,$A601,FERIADOS_343),IF($B601="281",NETWORKDAYS($A601,$A601,FERIADOS_281),NETWORKDAYS($A601,$A601,FERIADOS_342)))=1,"SIM","NÃO"))</f>
      </c>
      <c r="P601" s="232">
        <f>IF($A601="","",$A601-WEEKDAY($A601,2)+5)</f>
      </c>
    </row>
    <row r="602">
      <c r="A602" s="220" t="n"/>
      <c r="B602" s="218" t="n"/>
      <c r="C602" s="218" t="n"/>
      <c r="D602" s="218" t="n"/>
      <c r="E602" s="218" t="n"/>
      <c r="F602" s="328" t="n"/>
      <c r="G602" s="218" t="n"/>
      <c r="H602" s="218" t="n"/>
      <c r="I602" s="218" t="n"/>
      <c r="J602" s="218" t="n"/>
      <c r="K602" s="218" t="n"/>
      <c r="L602" s="218" t="n"/>
      <c r="M602" s="218" t="n"/>
      <c r="N602" s="218" t="n"/>
      <c r="O602" s="222">
        <f>IF($A602="","",IF(IF($B602="343",NETWORKDAYS($A602,$A602,FERIADOS_343),IF($B602="281",NETWORKDAYS($A602,$A602,FERIADOS_281),NETWORKDAYS($A602,$A602,FERIADOS_342)))=1,"SIM","NÃO"))</f>
      </c>
      <c r="P602" s="232">
        <f>IF($A602="","",$A602-WEEKDAY($A602,2)+5)</f>
      </c>
    </row>
    <row r="603">
      <c r="A603" s="220" t="n"/>
      <c r="B603" s="218" t="n"/>
      <c r="C603" s="218" t="n"/>
      <c r="D603" s="218" t="n"/>
      <c r="E603" s="218" t="n"/>
      <c r="F603" s="328" t="n"/>
      <c r="G603" s="218" t="n"/>
      <c r="H603" s="218" t="n"/>
      <c r="I603" s="218" t="n"/>
      <c r="J603" s="218" t="n"/>
      <c r="K603" s="218" t="n"/>
      <c r="L603" s="218" t="n"/>
      <c r="M603" s="218" t="n"/>
      <c r="N603" s="218" t="n"/>
      <c r="O603" s="222">
        <f>IF($A603="","",IF(IF($B603="343",NETWORKDAYS($A603,$A603,FERIADOS_343),IF($B603="281",NETWORKDAYS($A603,$A603,FERIADOS_281),NETWORKDAYS($A603,$A603,FERIADOS_342)))=1,"SIM","NÃO"))</f>
      </c>
      <c r="P603" s="232">
        <f>IF($A603="","",$A603-WEEKDAY($A603,2)+5)</f>
      </c>
    </row>
    <row r="604">
      <c r="A604" s="220" t="n"/>
      <c r="B604" s="218" t="n"/>
      <c r="C604" s="218" t="n"/>
      <c r="D604" s="218" t="n"/>
      <c r="E604" s="218" t="n"/>
      <c r="F604" s="328" t="n"/>
      <c r="G604" s="218" t="n"/>
      <c r="H604" s="218" t="n"/>
      <c r="I604" s="218" t="n"/>
      <c r="J604" s="218" t="n"/>
      <c r="K604" s="218" t="n"/>
      <c r="L604" s="218" t="n"/>
      <c r="M604" s="218" t="n"/>
      <c r="N604" s="218" t="n"/>
      <c r="O604" s="222">
        <f>IF($A604="","",IF(IF($B604="343",NETWORKDAYS($A604,$A604,FERIADOS_343),IF($B604="281",NETWORKDAYS($A604,$A604,FERIADOS_281),NETWORKDAYS($A604,$A604,FERIADOS_342)))=1,"SIM","NÃO"))</f>
      </c>
      <c r="P604" s="232">
        <f>IF($A604="","",$A604-WEEKDAY($A604,2)+5)</f>
      </c>
    </row>
    <row r="605">
      <c r="A605" s="220" t="n"/>
      <c r="B605" s="218" t="n"/>
      <c r="C605" s="218" t="n"/>
      <c r="D605" s="218" t="n"/>
      <c r="E605" s="218" t="n"/>
      <c r="F605" s="328" t="n"/>
      <c r="G605" s="218" t="n"/>
      <c r="H605" s="218" t="n"/>
      <c r="I605" s="218" t="n"/>
      <c r="J605" s="218" t="n"/>
      <c r="K605" s="218" t="n"/>
      <c r="L605" s="218" t="n"/>
      <c r="M605" s="218" t="n"/>
      <c r="N605" s="218" t="n"/>
      <c r="O605" s="222">
        <f>IF($A605="","",IF(IF($B605="343",NETWORKDAYS($A605,$A605,FERIADOS_343),IF($B605="281",NETWORKDAYS($A605,$A605,FERIADOS_281),NETWORKDAYS($A605,$A605,FERIADOS_342)))=1,"SIM","NÃO"))</f>
      </c>
      <c r="P605" s="232">
        <f>IF($A605="","",$A605-WEEKDAY($A605,2)+5)</f>
      </c>
    </row>
    <row r="606">
      <c r="A606" s="220" t="n"/>
      <c r="B606" s="218" t="n"/>
      <c r="C606" s="218" t="n"/>
      <c r="D606" s="218" t="n"/>
      <c r="E606" s="218" t="n"/>
      <c r="F606" s="328" t="n"/>
      <c r="G606" s="218" t="n"/>
      <c r="H606" s="218" t="n"/>
      <c r="I606" s="218" t="n"/>
      <c r="J606" s="218" t="n"/>
      <c r="K606" s="218" t="n"/>
      <c r="L606" s="218" t="n"/>
      <c r="M606" s="218" t="n"/>
      <c r="N606" s="218" t="n"/>
      <c r="O606" s="222">
        <f>IF($A606="","",IF(IF($B606="343",NETWORKDAYS($A606,$A606,FERIADOS_343),IF($B606="281",NETWORKDAYS($A606,$A606,FERIADOS_281),NETWORKDAYS($A606,$A606,FERIADOS_342)))=1,"SIM","NÃO"))</f>
      </c>
      <c r="P606" s="232">
        <f>IF($A606="","",$A606-WEEKDAY($A606,2)+5)</f>
      </c>
    </row>
    <row r="607">
      <c r="A607" s="220" t="n"/>
      <c r="B607" s="218" t="n"/>
      <c r="C607" s="218" t="n"/>
      <c r="D607" s="218" t="n"/>
      <c r="E607" s="218" t="n"/>
      <c r="F607" s="328" t="n"/>
      <c r="G607" s="218" t="n"/>
      <c r="H607" s="218" t="n"/>
      <c r="I607" s="218" t="n"/>
      <c r="J607" s="218" t="n"/>
      <c r="K607" s="218" t="n"/>
      <c r="L607" s="218" t="n"/>
      <c r="M607" s="218" t="n"/>
      <c r="N607" s="218" t="n"/>
      <c r="O607" s="222">
        <f>IF($A607="","",IF(IF($B607="343",NETWORKDAYS($A607,$A607,FERIADOS_343),IF($B607="281",NETWORKDAYS($A607,$A607,FERIADOS_281),NETWORKDAYS($A607,$A607,FERIADOS_342)))=1,"SIM","NÃO"))</f>
      </c>
      <c r="P607" s="232">
        <f>IF($A607="","",$A607-WEEKDAY($A607,2)+5)</f>
      </c>
    </row>
    <row r="608">
      <c r="A608" s="220" t="n"/>
      <c r="B608" s="218" t="n"/>
      <c r="C608" s="218" t="n"/>
      <c r="D608" s="218" t="n"/>
      <c r="E608" s="218" t="n"/>
      <c r="F608" s="328" t="n"/>
      <c r="G608" s="218" t="n"/>
      <c r="H608" s="218" t="n"/>
      <c r="I608" s="218" t="n"/>
      <c r="J608" s="218" t="n"/>
      <c r="K608" s="218" t="n"/>
      <c r="L608" s="218" t="n"/>
      <c r="M608" s="218" t="n"/>
      <c r="N608" s="218" t="n"/>
      <c r="O608" s="222">
        <f>IF($A608="","",IF(IF($B608="343",NETWORKDAYS($A608,$A608,FERIADOS_343),IF($B608="281",NETWORKDAYS($A608,$A608,FERIADOS_281),NETWORKDAYS($A608,$A608,FERIADOS_342)))=1,"SIM","NÃO"))</f>
      </c>
      <c r="P608" s="232">
        <f>IF($A608="","",$A608-WEEKDAY($A608,2)+5)</f>
      </c>
    </row>
    <row r="609">
      <c r="A609" s="220" t="n"/>
      <c r="B609" s="218" t="n"/>
      <c r="C609" s="218" t="n"/>
      <c r="D609" s="218" t="n"/>
      <c r="E609" s="218" t="n"/>
      <c r="F609" s="328" t="n"/>
      <c r="G609" s="218" t="n"/>
      <c r="H609" s="218" t="n"/>
      <c r="I609" s="218" t="n"/>
      <c r="J609" s="218" t="n"/>
      <c r="K609" s="218" t="n"/>
      <c r="L609" s="218" t="n"/>
      <c r="M609" s="218" t="n"/>
      <c r="N609" s="218" t="n"/>
      <c r="O609" s="222">
        <f>IF($A609="","",IF(IF($B609="343",NETWORKDAYS($A609,$A609,FERIADOS_343),IF($B609="281",NETWORKDAYS($A609,$A609,FERIADOS_281),NETWORKDAYS($A609,$A609,FERIADOS_342)))=1,"SIM","NÃO"))</f>
      </c>
      <c r="P609" s="232">
        <f>IF($A609="","",$A609-WEEKDAY($A609,2)+5)</f>
      </c>
    </row>
    <row r="610">
      <c r="A610" s="220" t="n"/>
      <c r="B610" s="218" t="n"/>
      <c r="C610" s="218" t="n"/>
      <c r="D610" s="218" t="n"/>
      <c r="E610" s="218" t="n"/>
      <c r="F610" s="328" t="n"/>
      <c r="G610" s="218" t="n"/>
      <c r="H610" s="218" t="n"/>
      <c r="I610" s="218" t="n"/>
      <c r="J610" s="218" t="n"/>
      <c r="K610" s="218" t="n"/>
      <c r="L610" s="218" t="n"/>
      <c r="M610" s="218" t="n"/>
      <c r="N610" s="218" t="n"/>
      <c r="O610" s="222">
        <f>IF($A610="","",IF(IF($B610="343",NETWORKDAYS($A610,$A610,FERIADOS_343),IF($B610="281",NETWORKDAYS($A610,$A610,FERIADOS_281),NETWORKDAYS($A610,$A610,FERIADOS_342)))=1,"SIM","NÃO"))</f>
      </c>
      <c r="P610" s="232">
        <f>IF($A610="","",$A610-WEEKDAY($A610,2)+5)</f>
      </c>
    </row>
    <row r="611">
      <c r="A611" s="220" t="n"/>
      <c r="B611" s="218" t="n"/>
      <c r="C611" s="218" t="n"/>
      <c r="D611" s="218" t="n"/>
      <c r="E611" s="218" t="n"/>
      <c r="F611" s="328" t="n"/>
      <c r="G611" s="218" t="n"/>
      <c r="H611" s="218" t="n"/>
      <c r="I611" s="218" t="n"/>
      <c r="J611" s="218" t="n"/>
      <c r="K611" s="218" t="n"/>
      <c r="L611" s="218" t="n"/>
      <c r="M611" s="218" t="n"/>
      <c r="N611" s="218" t="n"/>
      <c r="O611" s="222">
        <f>IF($A611="","",IF(IF($B611="343",NETWORKDAYS($A611,$A611,FERIADOS_343),IF($B611="281",NETWORKDAYS($A611,$A611,FERIADOS_281),NETWORKDAYS($A611,$A611,FERIADOS_342)))=1,"SIM","NÃO"))</f>
      </c>
      <c r="P611" s="232">
        <f>IF($A611="","",$A611-WEEKDAY($A611,2)+5)</f>
      </c>
    </row>
    <row r="612">
      <c r="A612" s="220" t="n"/>
      <c r="B612" s="218" t="n"/>
      <c r="C612" s="218" t="n"/>
      <c r="D612" s="218" t="n"/>
      <c r="E612" s="218" t="n"/>
      <c r="F612" s="328" t="n"/>
      <c r="G612" s="218" t="n"/>
      <c r="H612" s="218" t="n"/>
      <c r="I612" s="218" t="n"/>
      <c r="J612" s="218" t="n"/>
      <c r="K612" s="218" t="n"/>
      <c r="L612" s="218" t="n"/>
      <c r="M612" s="218" t="n"/>
      <c r="N612" s="218" t="n"/>
      <c r="O612" s="222">
        <f>IF($A612="","",IF(IF($B612="343",NETWORKDAYS($A612,$A612,FERIADOS_343),IF($B612="281",NETWORKDAYS($A612,$A612,FERIADOS_281),NETWORKDAYS($A612,$A612,FERIADOS_342)))=1,"SIM","NÃO"))</f>
      </c>
      <c r="P612" s="232">
        <f>IF($A612="","",$A612-WEEKDAY($A612,2)+5)</f>
      </c>
    </row>
    <row r="613">
      <c r="A613" s="220" t="n"/>
      <c r="B613" s="218" t="n"/>
      <c r="C613" s="218" t="n"/>
      <c r="D613" s="218" t="n"/>
      <c r="E613" s="218" t="n"/>
      <c r="F613" s="328" t="n"/>
      <c r="G613" s="218" t="n"/>
      <c r="H613" s="218" t="n"/>
      <c r="I613" s="218" t="n"/>
      <c r="J613" s="218" t="n"/>
      <c r="K613" s="218" t="n"/>
      <c r="L613" s="218" t="n"/>
      <c r="M613" s="218" t="n"/>
      <c r="N613" s="218" t="n"/>
      <c r="O613" s="222">
        <f>IF($A613="","",IF(IF($B613="343",NETWORKDAYS($A613,$A613,FERIADOS_343),IF($B613="281",NETWORKDAYS($A613,$A613,FERIADOS_281),NETWORKDAYS($A613,$A613,FERIADOS_342)))=1,"SIM","NÃO"))</f>
      </c>
      <c r="P613" s="232">
        <f>IF($A613="","",$A613-WEEKDAY($A613,2)+5)</f>
      </c>
    </row>
    <row r="614">
      <c r="A614" s="220" t="n"/>
      <c r="B614" s="218" t="n"/>
      <c r="C614" s="218" t="n"/>
      <c r="D614" s="218" t="n"/>
      <c r="E614" s="218" t="n"/>
      <c r="F614" s="328" t="n"/>
      <c r="G614" s="218" t="n"/>
      <c r="H614" s="218" t="n"/>
      <c r="I614" s="218" t="n"/>
      <c r="J614" s="218" t="n"/>
      <c r="K614" s="218" t="n"/>
      <c r="L614" s="218" t="n"/>
      <c r="M614" s="218" t="n"/>
      <c r="N614" s="218" t="n"/>
      <c r="O614" s="222">
        <f>IF($A614="","",IF(IF($B614="343",NETWORKDAYS($A614,$A614,FERIADOS_343),IF($B614="281",NETWORKDAYS($A614,$A614,FERIADOS_281),NETWORKDAYS($A614,$A614,FERIADOS_342)))=1,"SIM","NÃO"))</f>
      </c>
      <c r="P614" s="232">
        <f>IF($A614="","",$A614-WEEKDAY($A614,2)+5)</f>
      </c>
    </row>
    <row r="615">
      <c r="A615" s="220" t="n"/>
      <c r="B615" s="218" t="n"/>
      <c r="C615" s="218" t="n"/>
      <c r="D615" s="218" t="n"/>
      <c r="E615" s="218" t="n"/>
      <c r="F615" s="328" t="n"/>
      <c r="G615" s="218" t="n"/>
      <c r="H615" s="218" t="n"/>
      <c r="I615" s="218" t="n"/>
      <c r="J615" s="218" t="n"/>
      <c r="K615" s="218" t="n"/>
      <c r="L615" s="218" t="n"/>
      <c r="M615" s="218" t="n"/>
      <c r="N615" s="218" t="n"/>
      <c r="O615" s="222">
        <f>IF($A615="","",IF(IF($B615="343",NETWORKDAYS($A615,$A615,FERIADOS_343),IF($B615="281",NETWORKDAYS($A615,$A615,FERIADOS_281),NETWORKDAYS($A615,$A615,FERIADOS_342)))=1,"SIM","NÃO"))</f>
      </c>
      <c r="P615" s="232">
        <f>IF($A615="","",$A615-WEEKDAY($A615,2)+5)</f>
      </c>
    </row>
    <row r="616">
      <c r="A616" s="220" t="n"/>
      <c r="B616" s="218" t="n"/>
      <c r="C616" s="218" t="n"/>
      <c r="D616" s="218" t="n"/>
      <c r="E616" s="218" t="n"/>
      <c r="F616" s="328" t="n"/>
      <c r="G616" s="218" t="n"/>
      <c r="H616" s="218" t="n"/>
      <c r="I616" s="218" t="n"/>
      <c r="J616" s="218" t="n"/>
      <c r="K616" s="218" t="n"/>
      <c r="L616" s="218" t="n"/>
      <c r="M616" s="218" t="n"/>
      <c r="N616" s="218" t="n"/>
      <c r="O616" s="222">
        <f>IF($A616="","",IF(IF($B616="343",NETWORKDAYS($A616,$A616,FERIADOS_343),IF($B616="281",NETWORKDAYS($A616,$A616,FERIADOS_281),NETWORKDAYS($A616,$A616,FERIADOS_342)))=1,"SIM","NÃO"))</f>
      </c>
      <c r="P616" s="232">
        <f>IF($A616="","",$A616-WEEKDAY($A616,2)+5)</f>
      </c>
    </row>
    <row r="617">
      <c r="A617" s="220" t="n"/>
      <c r="B617" s="218" t="n"/>
      <c r="C617" s="218" t="n"/>
      <c r="D617" s="218" t="n"/>
      <c r="E617" s="218" t="n"/>
      <c r="F617" s="328" t="n"/>
      <c r="G617" s="218" t="n"/>
      <c r="H617" s="218" t="n"/>
      <c r="I617" s="218" t="n"/>
      <c r="J617" s="218" t="n"/>
      <c r="K617" s="218" t="n"/>
      <c r="L617" s="218" t="n"/>
      <c r="M617" s="218" t="n"/>
      <c r="N617" s="218" t="n"/>
      <c r="O617" s="222">
        <f>IF($A617="","",IF(IF($B617="343",NETWORKDAYS($A617,$A617,FERIADOS_343),IF($B617="281",NETWORKDAYS($A617,$A617,FERIADOS_281),NETWORKDAYS($A617,$A617,FERIADOS_342)))=1,"SIM","NÃO"))</f>
      </c>
      <c r="P617" s="232">
        <f>IF($A617="","",$A617-WEEKDAY($A617,2)+5)</f>
      </c>
    </row>
    <row r="618">
      <c r="A618" s="220" t="n"/>
      <c r="B618" s="218" t="n"/>
      <c r="C618" s="218" t="n"/>
      <c r="D618" s="218" t="n"/>
      <c r="E618" s="218" t="n"/>
      <c r="F618" s="328" t="n"/>
      <c r="G618" s="218" t="n"/>
      <c r="H618" s="218" t="n"/>
      <c r="I618" s="218" t="n"/>
      <c r="J618" s="218" t="n"/>
      <c r="K618" s="218" t="n"/>
      <c r="L618" s="218" t="n"/>
      <c r="M618" s="218" t="n"/>
      <c r="N618" s="218" t="n"/>
      <c r="O618" s="222">
        <f>IF($A618="","",IF(IF($B618="343",NETWORKDAYS($A618,$A618,FERIADOS_343),IF($B618="281",NETWORKDAYS($A618,$A618,FERIADOS_281),NETWORKDAYS($A618,$A618,FERIADOS_342)))=1,"SIM","NÃO"))</f>
      </c>
      <c r="P618" s="232">
        <f>IF($A618="","",$A618-WEEKDAY($A618,2)+5)</f>
      </c>
    </row>
    <row r="619">
      <c r="A619" s="220" t="n"/>
      <c r="B619" s="218" t="n"/>
      <c r="C619" s="218" t="n"/>
      <c r="D619" s="218" t="n"/>
      <c r="E619" s="218" t="n"/>
      <c r="F619" s="328" t="n"/>
      <c r="G619" s="218" t="n"/>
      <c r="H619" s="218" t="n"/>
      <c r="I619" s="218" t="n"/>
      <c r="J619" s="218" t="n"/>
      <c r="K619" s="218" t="n"/>
      <c r="L619" s="218" t="n"/>
      <c r="M619" s="218" t="n"/>
      <c r="N619" s="218" t="n"/>
      <c r="O619" s="222">
        <f>IF($A619="","",IF(IF($B619="343",NETWORKDAYS($A619,$A619,FERIADOS_343),IF($B619="281",NETWORKDAYS($A619,$A619,FERIADOS_281),NETWORKDAYS($A619,$A619,FERIADOS_342)))=1,"SIM","NÃO"))</f>
      </c>
      <c r="P619" s="232">
        <f>IF($A619="","",$A619-WEEKDAY($A619,2)+5)</f>
      </c>
    </row>
    <row r="620">
      <c r="A620" s="220" t="n"/>
      <c r="B620" s="218" t="n"/>
      <c r="C620" s="218" t="n"/>
      <c r="D620" s="218" t="n"/>
      <c r="E620" s="218" t="n"/>
      <c r="F620" s="328" t="n"/>
      <c r="G620" s="218" t="n"/>
      <c r="H620" s="218" t="n"/>
      <c r="I620" s="218" t="n"/>
      <c r="J620" s="218" t="n"/>
      <c r="K620" s="218" t="n"/>
      <c r="L620" s="218" t="n"/>
      <c r="M620" s="218" t="n"/>
      <c r="N620" s="218" t="n"/>
      <c r="O620" s="222">
        <f>IF($A620="","",IF(IF($B620="343",NETWORKDAYS($A620,$A620,FERIADOS_343),IF($B620="281",NETWORKDAYS($A620,$A620,FERIADOS_281),NETWORKDAYS($A620,$A620,FERIADOS_342)))=1,"SIM","NÃO"))</f>
      </c>
      <c r="P620" s="232">
        <f>IF($A620="","",$A620-WEEKDAY($A620,2)+5)</f>
      </c>
    </row>
    <row r="621">
      <c r="A621" s="220" t="n"/>
      <c r="B621" s="218" t="n"/>
      <c r="C621" s="218" t="n"/>
      <c r="D621" s="218" t="n"/>
      <c r="E621" s="218" t="n"/>
      <c r="F621" s="328" t="n"/>
      <c r="G621" s="218" t="n"/>
      <c r="H621" s="218" t="n"/>
      <c r="I621" s="218" t="n"/>
      <c r="J621" s="218" t="n"/>
      <c r="K621" s="218" t="n"/>
      <c r="L621" s="218" t="n"/>
      <c r="M621" s="218" t="n"/>
      <c r="N621" s="218" t="n"/>
      <c r="O621" s="222">
        <f>IF($A621="","",IF(IF($B621="343",NETWORKDAYS($A621,$A621,FERIADOS_343),IF($B621="281",NETWORKDAYS($A621,$A621,FERIADOS_281),NETWORKDAYS($A621,$A621,FERIADOS_342)))=1,"SIM","NÃO"))</f>
      </c>
      <c r="P621" s="232">
        <f>IF($A621="","",$A621-WEEKDAY($A621,2)+5)</f>
      </c>
    </row>
    <row r="622">
      <c r="A622" s="220" t="n"/>
      <c r="B622" s="218" t="n"/>
      <c r="C622" s="218" t="n"/>
      <c r="D622" s="218" t="n"/>
      <c r="E622" s="218" t="n"/>
      <c r="F622" s="328" t="n"/>
      <c r="G622" s="218" t="n"/>
      <c r="H622" s="218" t="n"/>
      <c r="I622" s="218" t="n"/>
      <c r="J622" s="218" t="n"/>
      <c r="K622" s="218" t="n"/>
      <c r="L622" s="218" t="n"/>
      <c r="M622" s="218" t="n"/>
      <c r="N622" s="218" t="n"/>
      <c r="O622" s="222">
        <f>IF($A622="","",IF(IF($B622="343",NETWORKDAYS($A622,$A622,FERIADOS_343),IF($B622="281",NETWORKDAYS($A622,$A622,FERIADOS_281),NETWORKDAYS($A622,$A622,FERIADOS_342)))=1,"SIM","NÃO"))</f>
      </c>
      <c r="P622" s="232">
        <f>IF($A622="","",$A622-WEEKDAY($A622,2)+5)</f>
      </c>
    </row>
    <row r="623">
      <c r="A623" s="220" t="n"/>
      <c r="B623" s="218" t="n"/>
      <c r="C623" s="218" t="n"/>
      <c r="D623" s="218" t="n"/>
      <c r="E623" s="218" t="n"/>
      <c r="F623" s="328" t="n"/>
      <c r="G623" s="218" t="n"/>
      <c r="H623" s="218" t="n"/>
      <c r="I623" s="218" t="n"/>
      <c r="J623" s="218" t="n"/>
      <c r="K623" s="218" t="n"/>
      <c r="L623" s="218" t="n"/>
      <c r="M623" s="218" t="n"/>
      <c r="N623" s="218" t="n"/>
      <c r="O623" s="222">
        <f>IF($A623="","",IF(IF($B623="343",NETWORKDAYS($A623,$A623,FERIADOS_343),IF($B623="281",NETWORKDAYS($A623,$A623,FERIADOS_281),NETWORKDAYS($A623,$A623,FERIADOS_342)))=1,"SIM","NÃO"))</f>
      </c>
      <c r="P623" s="232">
        <f>IF($A623="","",$A623-WEEKDAY($A623,2)+5)</f>
      </c>
    </row>
    <row r="624">
      <c r="A624" s="220" t="n"/>
      <c r="B624" s="218" t="n"/>
      <c r="C624" s="218" t="n"/>
      <c r="D624" s="218" t="n"/>
      <c r="E624" s="218" t="n"/>
      <c r="F624" s="328" t="n"/>
      <c r="G624" s="218" t="n"/>
      <c r="H624" s="218" t="n"/>
      <c r="I624" s="218" t="n"/>
      <c r="J624" s="218" t="n"/>
      <c r="K624" s="218" t="n"/>
      <c r="L624" s="218" t="n"/>
      <c r="M624" s="218" t="n"/>
      <c r="N624" s="218" t="n"/>
      <c r="O624" s="222">
        <f>IF($A624="","",IF(IF($B624="343",NETWORKDAYS($A624,$A624,FERIADOS_343),IF($B624="281",NETWORKDAYS($A624,$A624,FERIADOS_281),NETWORKDAYS($A624,$A624,FERIADOS_342)))=1,"SIM","NÃO"))</f>
      </c>
      <c r="P624" s="232">
        <f>IF($A624="","",$A624-WEEKDAY($A624,2)+5)</f>
      </c>
    </row>
    <row r="625">
      <c r="A625" s="220" t="n"/>
      <c r="B625" s="218" t="n"/>
      <c r="C625" s="218" t="n"/>
      <c r="D625" s="218" t="n"/>
      <c r="E625" s="218" t="n"/>
      <c r="F625" s="328" t="n"/>
      <c r="G625" s="218" t="n"/>
      <c r="H625" s="218" t="n"/>
      <c r="I625" s="218" t="n"/>
      <c r="J625" s="218" t="n"/>
      <c r="K625" s="218" t="n"/>
      <c r="L625" s="218" t="n"/>
      <c r="M625" s="218" t="n"/>
      <c r="N625" s="218" t="n"/>
      <c r="O625" s="222">
        <f>IF($A625="","",IF(IF($B625="343",NETWORKDAYS($A625,$A625,FERIADOS_343),IF($B625="281",NETWORKDAYS($A625,$A625,FERIADOS_281),NETWORKDAYS($A625,$A625,FERIADOS_342)))=1,"SIM","NÃO"))</f>
      </c>
      <c r="P625" s="232">
        <f>IF($A625="","",$A625-WEEKDAY($A625,2)+5)</f>
      </c>
    </row>
    <row r="626">
      <c r="A626" s="220" t="n"/>
      <c r="B626" s="218" t="n"/>
      <c r="C626" s="218" t="n"/>
      <c r="D626" s="218" t="n"/>
      <c r="E626" s="218" t="n"/>
      <c r="F626" s="328" t="n"/>
      <c r="G626" s="218" t="n"/>
      <c r="H626" s="218" t="n"/>
      <c r="I626" s="218" t="n"/>
      <c r="J626" s="218" t="n"/>
      <c r="K626" s="218" t="n"/>
      <c r="L626" s="218" t="n"/>
      <c r="M626" s="218" t="n"/>
      <c r="N626" s="218" t="n"/>
      <c r="O626" s="222">
        <f>IF($A626="","",IF(IF($B626="343",NETWORKDAYS($A626,$A626,FERIADOS_343),IF($B626="281",NETWORKDAYS($A626,$A626,FERIADOS_281),NETWORKDAYS($A626,$A626,FERIADOS_342)))=1,"SIM","NÃO"))</f>
      </c>
      <c r="P626" s="232">
        <f>IF($A626="","",$A626-WEEKDAY($A626,2)+5)</f>
      </c>
    </row>
    <row r="627">
      <c r="A627" s="220" t="n"/>
      <c r="B627" s="218" t="n"/>
      <c r="C627" s="218" t="n"/>
      <c r="D627" s="218" t="n"/>
      <c r="E627" s="218" t="n"/>
      <c r="F627" s="328" t="n"/>
      <c r="G627" s="218" t="n"/>
      <c r="H627" s="218" t="n"/>
      <c r="I627" s="218" t="n"/>
      <c r="J627" s="218" t="n"/>
      <c r="K627" s="218" t="n"/>
      <c r="L627" s="218" t="n"/>
      <c r="M627" s="218" t="n"/>
      <c r="N627" s="218" t="n"/>
      <c r="O627" s="222">
        <f>IF($A627="","",IF(IF($B627="343",NETWORKDAYS($A627,$A627,FERIADOS_343),IF($B627="281",NETWORKDAYS($A627,$A627,FERIADOS_281),NETWORKDAYS($A627,$A627,FERIADOS_342)))=1,"SIM","NÃO"))</f>
      </c>
      <c r="P627" s="232">
        <f>IF($A627="","",$A627-WEEKDAY($A627,2)+5)</f>
      </c>
    </row>
    <row r="628">
      <c r="A628" s="220" t="n"/>
      <c r="B628" s="218" t="n"/>
      <c r="C628" s="218" t="n"/>
      <c r="D628" s="218" t="n"/>
      <c r="E628" s="218" t="n"/>
      <c r="F628" s="328" t="n"/>
      <c r="G628" s="218" t="n"/>
      <c r="H628" s="218" t="n"/>
      <c r="I628" s="218" t="n"/>
      <c r="J628" s="218" t="n"/>
      <c r="K628" s="218" t="n"/>
      <c r="L628" s="218" t="n"/>
      <c r="M628" s="218" t="n"/>
      <c r="N628" s="218" t="n"/>
      <c r="O628" s="222">
        <f>IF($A628="","",IF(IF($B628="343",NETWORKDAYS($A628,$A628,FERIADOS_343),IF($B628="281",NETWORKDAYS($A628,$A628,FERIADOS_281),NETWORKDAYS($A628,$A628,FERIADOS_342)))=1,"SIM","NÃO"))</f>
      </c>
      <c r="P628" s="232">
        <f>IF($A628="","",$A628-WEEKDAY($A628,2)+5)</f>
      </c>
    </row>
    <row r="629">
      <c r="A629" s="220" t="n"/>
      <c r="B629" s="218" t="n"/>
      <c r="C629" s="218" t="n"/>
      <c r="D629" s="218" t="n"/>
      <c r="E629" s="218" t="n"/>
      <c r="F629" s="328" t="n"/>
      <c r="G629" s="218" t="n"/>
      <c r="H629" s="218" t="n"/>
      <c r="I629" s="218" t="n"/>
      <c r="J629" s="218" t="n"/>
      <c r="K629" s="218" t="n"/>
      <c r="L629" s="218" t="n"/>
      <c r="M629" s="218" t="n"/>
      <c r="N629" s="218" t="n"/>
      <c r="O629" s="222">
        <f>IF($A629="","",IF(IF($B629="343",NETWORKDAYS($A629,$A629,FERIADOS_343),IF($B629="281",NETWORKDAYS($A629,$A629,FERIADOS_281),NETWORKDAYS($A629,$A629,FERIADOS_342)))=1,"SIM","NÃO"))</f>
      </c>
      <c r="P629" s="232">
        <f>IF($A629="","",$A629-WEEKDAY($A629,2)+5)</f>
      </c>
    </row>
    <row r="630">
      <c r="A630" s="220" t="n"/>
      <c r="B630" s="218" t="n"/>
      <c r="C630" s="218" t="n"/>
      <c r="D630" s="218" t="n"/>
      <c r="E630" s="218" t="n"/>
      <c r="F630" s="328" t="n"/>
      <c r="G630" s="218" t="n"/>
      <c r="H630" s="218" t="n"/>
      <c r="I630" s="218" t="n"/>
      <c r="J630" s="218" t="n"/>
      <c r="K630" s="218" t="n"/>
      <c r="L630" s="218" t="n"/>
      <c r="M630" s="218" t="n"/>
      <c r="N630" s="218" t="n"/>
      <c r="O630" s="222">
        <f>IF($A630="","",IF(IF($B630="343",NETWORKDAYS($A630,$A630,FERIADOS_343),IF($B630="281",NETWORKDAYS($A630,$A630,FERIADOS_281),NETWORKDAYS($A630,$A630,FERIADOS_342)))=1,"SIM","NÃO"))</f>
      </c>
      <c r="P630" s="232">
        <f>IF($A630="","",$A630-WEEKDAY($A630,2)+5)</f>
      </c>
    </row>
    <row r="631">
      <c r="A631" s="220" t="n"/>
      <c r="B631" s="218" t="n"/>
      <c r="C631" s="218" t="n"/>
      <c r="D631" s="218" t="n"/>
      <c r="E631" s="218" t="n"/>
      <c r="F631" s="328" t="n"/>
      <c r="G631" s="218" t="n"/>
      <c r="H631" s="218" t="n"/>
      <c r="I631" s="218" t="n"/>
      <c r="J631" s="218" t="n"/>
      <c r="K631" s="218" t="n"/>
      <c r="L631" s="218" t="n"/>
      <c r="M631" s="218" t="n"/>
      <c r="N631" s="218" t="n"/>
      <c r="O631" s="222">
        <f>IF($A631="","",IF(IF($B631="343",NETWORKDAYS($A631,$A631,FERIADOS_343),IF($B631="281",NETWORKDAYS($A631,$A631,FERIADOS_281),NETWORKDAYS($A631,$A631,FERIADOS_342)))=1,"SIM","NÃO"))</f>
      </c>
      <c r="P631" s="232">
        <f>IF($A631="","",$A631-WEEKDAY($A631,2)+5)</f>
      </c>
    </row>
    <row r="632">
      <c r="A632" s="220" t="n"/>
      <c r="B632" s="218" t="n"/>
      <c r="C632" s="218" t="n"/>
      <c r="D632" s="218" t="n"/>
      <c r="E632" s="218" t="n"/>
      <c r="F632" s="328" t="n"/>
      <c r="G632" s="218" t="n"/>
      <c r="H632" s="218" t="n"/>
      <c r="I632" s="218" t="n"/>
      <c r="J632" s="218" t="n"/>
      <c r="K632" s="218" t="n"/>
      <c r="L632" s="218" t="n"/>
      <c r="M632" s="218" t="n"/>
      <c r="N632" s="218" t="n"/>
      <c r="O632" s="222">
        <f>IF($A632="","",IF(IF($B632="343",NETWORKDAYS($A632,$A632,FERIADOS_343),IF($B632="281",NETWORKDAYS($A632,$A632,FERIADOS_281),NETWORKDAYS($A632,$A632,FERIADOS_342)))=1,"SIM","NÃO"))</f>
      </c>
      <c r="P632" s="232">
        <f>IF($A632="","",$A632-WEEKDAY($A632,2)+5)</f>
      </c>
    </row>
    <row r="633">
      <c r="A633" s="220" t="n"/>
      <c r="B633" s="218" t="n"/>
      <c r="C633" s="218" t="n"/>
      <c r="D633" s="218" t="n"/>
      <c r="E633" s="218" t="n"/>
      <c r="F633" s="328" t="n"/>
      <c r="G633" s="218" t="n"/>
      <c r="H633" s="218" t="n"/>
      <c r="I633" s="218" t="n"/>
      <c r="J633" s="218" t="n"/>
      <c r="K633" s="218" t="n"/>
      <c r="L633" s="218" t="n"/>
      <c r="M633" s="218" t="n"/>
      <c r="N633" s="218" t="n"/>
      <c r="O633" s="222">
        <f>IF($A633="","",IF(IF($B633="343",NETWORKDAYS($A633,$A633,FERIADOS_343),IF($B633="281",NETWORKDAYS($A633,$A633,FERIADOS_281),NETWORKDAYS($A633,$A633,FERIADOS_342)))=1,"SIM","NÃO"))</f>
      </c>
      <c r="P633" s="232">
        <f>IF($A633="","",$A633-WEEKDAY($A633,2)+5)</f>
      </c>
    </row>
    <row r="634">
      <c r="A634" s="220" t="n"/>
      <c r="B634" s="218" t="n"/>
      <c r="C634" s="218" t="n"/>
      <c r="D634" s="218" t="n"/>
      <c r="E634" s="218" t="n"/>
      <c r="F634" s="328" t="n"/>
      <c r="G634" s="218" t="n"/>
      <c r="H634" s="218" t="n"/>
      <c r="I634" s="218" t="n"/>
      <c r="J634" s="218" t="n"/>
      <c r="K634" s="218" t="n"/>
      <c r="L634" s="218" t="n"/>
      <c r="M634" s="218" t="n"/>
      <c r="N634" s="218" t="n"/>
      <c r="O634" s="222">
        <f>IF($A634="","",IF(IF($B634="343",NETWORKDAYS($A634,$A634,FERIADOS_343),IF($B634="281",NETWORKDAYS($A634,$A634,FERIADOS_281),NETWORKDAYS($A634,$A634,FERIADOS_342)))=1,"SIM","NÃO"))</f>
      </c>
      <c r="P634" s="232">
        <f>IF($A634="","",$A634-WEEKDAY($A634,2)+5)</f>
      </c>
    </row>
    <row r="635">
      <c r="A635" s="220" t="n"/>
      <c r="B635" s="218" t="n"/>
      <c r="C635" s="218" t="n"/>
      <c r="D635" s="218" t="n"/>
      <c r="E635" s="218" t="n"/>
      <c r="F635" s="328" t="n"/>
      <c r="G635" s="218" t="n"/>
      <c r="H635" s="218" t="n"/>
      <c r="I635" s="218" t="n"/>
      <c r="J635" s="218" t="n"/>
      <c r="K635" s="218" t="n"/>
      <c r="L635" s="218" t="n"/>
      <c r="M635" s="218" t="n"/>
      <c r="N635" s="218" t="n"/>
      <c r="O635" s="222">
        <f>IF($A635="","",IF(IF($B635="343",NETWORKDAYS($A635,$A635,FERIADOS_343),IF($B635="281",NETWORKDAYS($A635,$A635,FERIADOS_281),NETWORKDAYS($A635,$A635,FERIADOS_342)))=1,"SIM","NÃO"))</f>
      </c>
      <c r="P635" s="232">
        <f>IF($A635="","",$A635-WEEKDAY($A635,2)+5)</f>
      </c>
    </row>
    <row r="636">
      <c r="A636" s="220" t="n"/>
      <c r="B636" s="218" t="n"/>
      <c r="C636" s="218" t="n"/>
      <c r="D636" s="218" t="n"/>
      <c r="E636" s="218" t="n"/>
      <c r="F636" s="328" t="n"/>
      <c r="G636" s="218" t="n"/>
      <c r="H636" s="218" t="n"/>
      <c r="I636" s="218" t="n"/>
      <c r="J636" s="218" t="n"/>
      <c r="K636" s="218" t="n"/>
      <c r="L636" s="218" t="n"/>
      <c r="M636" s="218" t="n"/>
      <c r="N636" s="218" t="n"/>
      <c r="O636" s="222">
        <f>IF($A636="","",IF(IF($B636="343",NETWORKDAYS($A636,$A636,FERIADOS_343),IF($B636="281",NETWORKDAYS($A636,$A636,FERIADOS_281),NETWORKDAYS($A636,$A636,FERIADOS_342)))=1,"SIM","NÃO"))</f>
      </c>
      <c r="P636" s="232">
        <f>IF($A636="","",$A636-WEEKDAY($A636,2)+5)</f>
      </c>
    </row>
    <row r="637">
      <c r="A637" s="220" t="n"/>
      <c r="B637" s="218" t="n"/>
      <c r="C637" s="218" t="n"/>
      <c r="D637" s="218" t="n"/>
      <c r="E637" s="218" t="n"/>
      <c r="F637" s="328" t="n"/>
      <c r="G637" s="218" t="n"/>
      <c r="H637" s="218" t="n"/>
      <c r="I637" s="218" t="n"/>
      <c r="J637" s="218" t="n"/>
      <c r="K637" s="218" t="n"/>
      <c r="L637" s="218" t="n"/>
      <c r="M637" s="218" t="n"/>
      <c r="N637" s="218" t="n"/>
      <c r="O637" s="222">
        <f>IF($A637="","",IF(IF($B637="343",NETWORKDAYS($A637,$A637,FERIADOS_343),IF($B637="281",NETWORKDAYS($A637,$A637,FERIADOS_281),NETWORKDAYS($A637,$A637,FERIADOS_342)))=1,"SIM","NÃO"))</f>
      </c>
      <c r="P637" s="232">
        <f>IF($A637="","",$A637-WEEKDAY($A637,2)+5)</f>
      </c>
    </row>
    <row r="638">
      <c r="A638" s="220" t="n"/>
      <c r="B638" s="218" t="n"/>
      <c r="C638" s="218" t="n"/>
      <c r="D638" s="218" t="n"/>
      <c r="E638" s="218" t="n"/>
      <c r="F638" s="328" t="n"/>
      <c r="G638" s="218" t="n"/>
      <c r="H638" s="218" t="n"/>
      <c r="I638" s="218" t="n"/>
      <c r="J638" s="218" t="n"/>
      <c r="K638" s="218" t="n"/>
      <c r="L638" s="218" t="n"/>
      <c r="M638" s="218" t="n"/>
      <c r="N638" s="218" t="n"/>
      <c r="O638" s="222">
        <f>IF($A638="","",IF(IF($B638="343",NETWORKDAYS($A638,$A638,FERIADOS_343),IF($B638="281",NETWORKDAYS($A638,$A638,FERIADOS_281),NETWORKDAYS($A638,$A638,FERIADOS_342)))=1,"SIM","NÃO"))</f>
      </c>
      <c r="P638" s="232">
        <f>IF($A638="","",$A638-WEEKDAY($A638,2)+5)</f>
      </c>
    </row>
    <row r="639">
      <c r="A639" s="220" t="n"/>
      <c r="B639" s="218" t="n"/>
      <c r="C639" s="218" t="n"/>
      <c r="D639" s="218" t="n"/>
      <c r="E639" s="218" t="n"/>
      <c r="F639" s="328" t="n"/>
      <c r="G639" s="218" t="n"/>
      <c r="H639" s="218" t="n"/>
      <c r="I639" s="218" t="n"/>
      <c r="J639" s="218" t="n"/>
      <c r="K639" s="218" t="n"/>
      <c r="L639" s="218" t="n"/>
      <c r="M639" s="218" t="n"/>
      <c r="N639" s="218" t="n"/>
      <c r="O639" s="222">
        <f>IF($A639="","",IF(IF($B639="343",NETWORKDAYS($A639,$A639,FERIADOS_343),IF($B639="281",NETWORKDAYS($A639,$A639,FERIADOS_281),NETWORKDAYS($A639,$A639,FERIADOS_342)))=1,"SIM","NÃO"))</f>
      </c>
      <c r="P639" s="232">
        <f>IF($A639="","",$A639-WEEKDAY($A639,2)+5)</f>
      </c>
    </row>
    <row r="640">
      <c r="A640" s="220" t="n"/>
      <c r="B640" s="218" t="n"/>
      <c r="C640" s="218" t="n"/>
      <c r="D640" s="218" t="n"/>
      <c r="E640" s="218" t="n"/>
      <c r="F640" s="328" t="n"/>
      <c r="G640" s="218" t="n"/>
      <c r="H640" s="218" t="n"/>
      <c r="I640" s="218" t="n"/>
      <c r="J640" s="218" t="n"/>
      <c r="K640" s="218" t="n"/>
      <c r="L640" s="218" t="n"/>
      <c r="M640" s="218" t="n"/>
      <c r="N640" s="218" t="n"/>
      <c r="O640" s="222">
        <f>IF($A640="","",IF(IF($B640="343",NETWORKDAYS($A640,$A640,FERIADOS_343),IF($B640="281",NETWORKDAYS($A640,$A640,FERIADOS_281),NETWORKDAYS($A640,$A640,FERIADOS_342)))=1,"SIM","NÃO"))</f>
      </c>
      <c r="P640" s="232">
        <f>IF($A640="","",$A640-WEEKDAY($A640,2)+5)</f>
      </c>
    </row>
    <row r="641">
      <c r="A641" s="220" t="n"/>
      <c r="B641" s="218" t="n"/>
      <c r="C641" s="218" t="n"/>
      <c r="D641" s="218" t="n"/>
      <c r="E641" s="218" t="n"/>
      <c r="F641" s="328" t="n"/>
      <c r="G641" s="218" t="n"/>
      <c r="H641" s="218" t="n"/>
      <c r="I641" s="218" t="n"/>
      <c r="J641" s="218" t="n"/>
      <c r="K641" s="218" t="n"/>
      <c r="L641" s="218" t="n"/>
      <c r="M641" s="218" t="n"/>
      <c r="N641" s="218" t="n"/>
      <c r="O641" s="222">
        <f>IF($A641="","",IF(IF($B641="343",NETWORKDAYS($A641,$A641,FERIADOS_343),IF($B641="281",NETWORKDAYS($A641,$A641,FERIADOS_281),NETWORKDAYS($A641,$A641,FERIADOS_342)))=1,"SIM","NÃO"))</f>
      </c>
      <c r="P641" s="232">
        <f>IF($A641="","",$A641-WEEKDAY($A641,2)+5)</f>
      </c>
    </row>
    <row r="642">
      <c r="A642" s="220" t="n"/>
      <c r="B642" s="218" t="n"/>
      <c r="C642" s="218" t="n"/>
      <c r="D642" s="218" t="n"/>
      <c r="E642" s="218" t="n"/>
      <c r="F642" s="328" t="n"/>
      <c r="G642" s="218" t="n"/>
      <c r="H642" s="218" t="n"/>
      <c r="I642" s="218" t="n"/>
      <c r="J642" s="218" t="n"/>
      <c r="K642" s="218" t="n"/>
      <c r="L642" s="218" t="n"/>
      <c r="M642" s="218" t="n"/>
      <c r="N642" s="218" t="n"/>
      <c r="O642" s="222">
        <f>IF($A642="","",IF(IF($B642="343",NETWORKDAYS($A642,$A642,FERIADOS_343),IF($B642="281",NETWORKDAYS($A642,$A642,FERIADOS_281),NETWORKDAYS($A642,$A642,FERIADOS_342)))=1,"SIM","NÃO"))</f>
      </c>
      <c r="P642" s="232">
        <f>IF($A642="","",$A642-WEEKDAY($A642,2)+5)</f>
      </c>
    </row>
    <row r="643">
      <c r="A643" s="220" t="n"/>
      <c r="B643" s="218" t="n"/>
      <c r="C643" s="218" t="n"/>
      <c r="D643" s="218" t="n"/>
      <c r="E643" s="218" t="n"/>
      <c r="F643" s="328" t="n"/>
      <c r="G643" s="218" t="n"/>
      <c r="H643" s="218" t="n"/>
      <c r="I643" s="218" t="n"/>
      <c r="J643" s="218" t="n"/>
      <c r="K643" s="218" t="n"/>
      <c r="L643" s="218" t="n"/>
      <c r="M643" s="218" t="n"/>
      <c r="N643" s="218" t="n"/>
      <c r="O643" s="222">
        <f>IF($A643="","",IF(IF($B643="343",NETWORKDAYS($A643,$A643,FERIADOS_343),IF($B643="281",NETWORKDAYS($A643,$A643,FERIADOS_281),NETWORKDAYS($A643,$A643,FERIADOS_342)))=1,"SIM","NÃO"))</f>
      </c>
      <c r="P643" s="232">
        <f>IF($A643="","",$A643-WEEKDAY($A643,2)+5)</f>
      </c>
    </row>
    <row r="644">
      <c r="A644" s="220" t="n"/>
      <c r="B644" s="218" t="n"/>
      <c r="C644" s="218" t="n"/>
      <c r="D644" s="218" t="n"/>
      <c r="E644" s="218" t="n"/>
      <c r="F644" s="328" t="n"/>
      <c r="G644" s="218" t="n"/>
      <c r="H644" s="218" t="n"/>
      <c r="I644" s="218" t="n"/>
      <c r="J644" s="218" t="n"/>
      <c r="K644" s="218" t="n"/>
      <c r="L644" s="218" t="n"/>
      <c r="M644" s="218" t="n"/>
      <c r="N644" s="218" t="n"/>
      <c r="O644" s="222">
        <f>IF($A644="","",IF(IF($B644="343",NETWORKDAYS($A644,$A644,FERIADOS_343),IF($B644="281",NETWORKDAYS($A644,$A644,FERIADOS_281),NETWORKDAYS($A644,$A644,FERIADOS_342)))=1,"SIM","NÃO"))</f>
      </c>
      <c r="P644" s="232">
        <f>IF($A644="","",$A644-WEEKDAY($A644,2)+5)</f>
      </c>
    </row>
    <row r="645">
      <c r="A645" s="220" t="n"/>
      <c r="B645" s="218" t="n"/>
      <c r="C645" s="218" t="n"/>
      <c r="D645" s="218" t="n"/>
      <c r="E645" s="218" t="n"/>
      <c r="F645" s="328" t="n"/>
      <c r="G645" s="218" t="n"/>
      <c r="H645" s="218" t="n"/>
      <c r="I645" s="218" t="n"/>
      <c r="J645" s="218" t="n"/>
      <c r="K645" s="218" t="n"/>
      <c r="L645" s="218" t="n"/>
      <c r="M645" s="218" t="n"/>
      <c r="N645" s="218" t="n"/>
      <c r="O645" s="222">
        <f>IF($A645="","",IF(IF($B645="343",NETWORKDAYS($A645,$A645,FERIADOS_343),IF($B645="281",NETWORKDAYS($A645,$A645,FERIADOS_281),NETWORKDAYS($A645,$A645,FERIADOS_342)))=1,"SIM","NÃO"))</f>
      </c>
      <c r="P645" s="232">
        <f>IF($A645="","",$A645-WEEKDAY($A645,2)+5)</f>
      </c>
    </row>
    <row r="646">
      <c r="A646" s="220" t="n"/>
      <c r="B646" s="218" t="n"/>
      <c r="C646" s="218" t="n"/>
      <c r="D646" s="218" t="n"/>
      <c r="E646" s="218" t="n"/>
      <c r="F646" s="328" t="n"/>
      <c r="G646" s="218" t="n"/>
      <c r="H646" s="218" t="n"/>
      <c r="I646" s="218" t="n"/>
      <c r="J646" s="218" t="n"/>
      <c r="K646" s="218" t="n"/>
      <c r="L646" s="218" t="n"/>
      <c r="M646" s="218" t="n"/>
      <c r="N646" s="218" t="n"/>
      <c r="O646" s="222">
        <f>IF($A646="","",IF(IF($B646="343",NETWORKDAYS($A646,$A646,FERIADOS_343),IF($B646="281",NETWORKDAYS($A646,$A646,FERIADOS_281),NETWORKDAYS($A646,$A646,FERIADOS_342)))=1,"SIM","NÃO"))</f>
      </c>
      <c r="P646" s="232">
        <f>IF($A646="","",$A646-WEEKDAY($A646,2)+5)</f>
      </c>
    </row>
    <row r="647">
      <c r="A647" s="220" t="n"/>
      <c r="B647" s="218" t="n"/>
      <c r="C647" s="218" t="n"/>
      <c r="D647" s="218" t="n"/>
      <c r="E647" s="218" t="n"/>
      <c r="F647" s="328" t="n"/>
      <c r="G647" s="218" t="n"/>
      <c r="H647" s="218" t="n"/>
      <c r="I647" s="218" t="n"/>
      <c r="J647" s="218" t="n"/>
      <c r="K647" s="218" t="n"/>
      <c r="L647" s="218" t="n"/>
      <c r="M647" s="218" t="n"/>
      <c r="N647" s="218" t="n"/>
      <c r="O647" s="222">
        <f>IF($A647="","",IF(IF($B647="343",NETWORKDAYS($A647,$A647,FERIADOS_343),IF($B647="281",NETWORKDAYS($A647,$A647,FERIADOS_281),NETWORKDAYS($A647,$A647,FERIADOS_342)))=1,"SIM","NÃO"))</f>
      </c>
      <c r="P647" s="232">
        <f>IF($A647="","",$A647-WEEKDAY($A647,2)+5)</f>
      </c>
    </row>
    <row r="648">
      <c r="A648" s="220" t="n"/>
      <c r="B648" s="218" t="n"/>
      <c r="C648" s="218" t="n"/>
      <c r="D648" s="218" t="n"/>
      <c r="E648" s="218" t="n"/>
      <c r="F648" s="328" t="n"/>
      <c r="G648" s="218" t="n"/>
      <c r="H648" s="218" t="n"/>
      <c r="I648" s="218" t="n"/>
      <c r="J648" s="218" t="n"/>
      <c r="K648" s="218" t="n"/>
      <c r="L648" s="218" t="n"/>
      <c r="M648" s="218" t="n"/>
      <c r="N648" s="218" t="n"/>
      <c r="O648" s="222">
        <f>IF($A648="","",IF(IF($B648="343",NETWORKDAYS($A648,$A648,FERIADOS_343),IF($B648="281",NETWORKDAYS($A648,$A648,FERIADOS_281),NETWORKDAYS($A648,$A648,FERIADOS_342)))=1,"SIM","NÃO"))</f>
      </c>
      <c r="P648" s="232">
        <f>IF($A648="","",$A648-WEEKDAY($A648,2)+5)</f>
      </c>
    </row>
    <row r="649">
      <c r="A649" s="220" t="n"/>
      <c r="B649" s="218" t="n"/>
      <c r="C649" s="218" t="n"/>
      <c r="D649" s="218" t="n"/>
      <c r="E649" s="218" t="n"/>
      <c r="F649" s="328" t="n"/>
      <c r="G649" s="218" t="n"/>
      <c r="H649" s="218" t="n"/>
      <c r="I649" s="218" t="n"/>
      <c r="J649" s="218" t="n"/>
      <c r="K649" s="218" t="n"/>
      <c r="L649" s="218" t="n"/>
      <c r="M649" s="218" t="n"/>
      <c r="N649" s="218" t="n"/>
      <c r="O649" s="222">
        <f>IF($A649="","",IF(IF($B649="343",NETWORKDAYS($A649,$A649,FERIADOS_343),IF($B649="281",NETWORKDAYS($A649,$A649,FERIADOS_281),NETWORKDAYS($A649,$A649,FERIADOS_342)))=1,"SIM","NÃO"))</f>
      </c>
      <c r="P649" s="232">
        <f>IF($A649="","",$A649-WEEKDAY($A649,2)+5)</f>
      </c>
    </row>
    <row r="650">
      <c r="A650" s="220" t="n"/>
      <c r="B650" s="218" t="n"/>
      <c r="C650" s="218" t="n"/>
      <c r="D650" s="218" t="n"/>
      <c r="E650" s="218" t="n"/>
      <c r="F650" s="328" t="n"/>
      <c r="G650" s="218" t="n"/>
      <c r="H650" s="218" t="n"/>
      <c r="I650" s="218" t="n"/>
      <c r="J650" s="218" t="n"/>
      <c r="K650" s="218" t="n"/>
      <c r="L650" s="218" t="n"/>
      <c r="M650" s="218" t="n"/>
      <c r="N650" s="218" t="n"/>
      <c r="O650" s="222">
        <f>IF($A650="","",IF(IF($B650="343",NETWORKDAYS($A650,$A650,FERIADOS_343),IF($B650="281",NETWORKDAYS($A650,$A650,FERIADOS_281),NETWORKDAYS($A650,$A650,FERIADOS_342)))=1,"SIM","NÃO"))</f>
      </c>
      <c r="P650" s="232">
        <f>IF($A650="","",$A650-WEEKDAY($A650,2)+5)</f>
      </c>
    </row>
    <row r="651">
      <c r="A651" s="220" t="n"/>
      <c r="B651" s="218" t="n"/>
      <c r="C651" s="218" t="n"/>
      <c r="D651" s="218" t="n"/>
      <c r="E651" s="218" t="n"/>
      <c r="F651" s="328" t="n"/>
      <c r="G651" s="218" t="n"/>
      <c r="H651" s="218" t="n"/>
      <c r="I651" s="218" t="n"/>
      <c r="J651" s="218" t="n"/>
      <c r="K651" s="218" t="n"/>
      <c r="L651" s="218" t="n"/>
      <c r="M651" s="218" t="n"/>
      <c r="N651" s="218" t="n"/>
      <c r="O651" s="222">
        <f>IF($A651="","",IF(IF($B651="343",NETWORKDAYS($A651,$A651,FERIADOS_343),IF($B651="281",NETWORKDAYS($A651,$A651,FERIADOS_281),NETWORKDAYS($A651,$A651,FERIADOS_342)))=1,"SIM","NÃO"))</f>
      </c>
      <c r="P651" s="232">
        <f>IF($A651="","",$A651-WEEKDAY($A651,2)+5)</f>
      </c>
    </row>
    <row r="652">
      <c r="A652" s="220" t="n"/>
      <c r="B652" s="218" t="n"/>
      <c r="C652" s="218" t="n"/>
      <c r="D652" s="218" t="n"/>
      <c r="E652" s="218" t="n"/>
      <c r="F652" s="328" t="n"/>
      <c r="G652" s="218" t="n"/>
      <c r="H652" s="218" t="n"/>
      <c r="I652" s="218" t="n"/>
      <c r="J652" s="218" t="n"/>
      <c r="K652" s="218" t="n"/>
      <c r="L652" s="218" t="n"/>
      <c r="M652" s="218" t="n"/>
      <c r="N652" s="218" t="n"/>
      <c r="O652" s="222">
        <f>IF($A652="","",IF(IF($B652="343",NETWORKDAYS($A652,$A652,FERIADOS_343),IF($B652="281",NETWORKDAYS($A652,$A652,FERIADOS_281),NETWORKDAYS($A652,$A652,FERIADOS_342)))=1,"SIM","NÃO"))</f>
      </c>
      <c r="P652" s="232">
        <f>IF($A652="","",$A652-WEEKDAY($A652,2)+5)</f>
      </c>
    </row>
    <row r="653">
      <c r="A653" s="220" t="n"/>
      <c r="B653" s="218" t="n"/>
      <c r="C653" s="218" t="n"/>
      <c r="D653" s="218" t="n"/>
      <c r="E653" s="218" t="n"/>
      <c r="F653" s="328" t="n"/>
      <c r="G653" s="218" t="n"/>
      <c r="H653" s="218" t="n"/>
      <c r="I653" s="218" t="n"/>
      <c r="J653" s="218" t="n"/>
      <c r="K653" s="218" t="n"/>
      <c r="L653" s="218" t="n"/>
      <c r="M653" s="218" t="n"/>
      <c r="N653" s="218" t="n"/>
      <c r="O653" s="222">
        <f>IF($A653="","",IF(IF($B653="343",NETWORKDAYS($A653,$A653,FERIADOS_343),IF($B653="281",NETWORKDAYS($A653,$A653,FERIADOS_281),NETWORKDAYS($A653,$A653,FERIADOS_342)))=1,"SIM","NÃO"))</f>
      </c>
      <c r="P653" s="232">
        <f>IF($A653="","",$A653-WEEKDAY($A653,2)+5)</f>
      </c>
    </row>
    <row r="654">
      <c r="A654" s="220" t="n"/>
      <c r="B654" s="218" t="n"/>
      <c r="C654" s="218" t="n"/>
      <c r="D654" s="218" t="n"/>
      <c r="E654" s="218" t="n"/>
      <c r="F654" s="328" t="n"/>
      <c r="G654" s="218" t="n"/>
      <c r="H654" s="218" t="n"/>
      <c r="I654" s="218" t="n"/>
      <c r="J654" s="218" t="n"/>
      <c r="K654" s="218" t="n"/>
      <c r="L654" s="218" t="n"/>
      <c r="M654" s="218" t="n"/>
      <c r="N654" s="218" t="n"/>
      <c r="O654" s="222">
        <f>IF($A654="","",IF(IF($B654="343",NETWORKDAYS($A654,$A654,FERIADOS_343),IF($B654="281",NETWORKDAYS($A654,$A654,FERIADOS_281),NETWORKDAYS($A654,$A654,FERIADOS_342)))=1,"SIM","NÃO"))</f>
      </c>
      <c r="P654" s="232">
        <f>IF($A654="","",$A654-WEEKDAY($A654,2)+5)</f>
      </c>
    </row>
    <row r="655">
      <c r="A655" s="220" t="n"/>
      <c r="B655" s="218" t="n"/>
      <c r="C655" s="218" t="n"/>
      <c r="D655" s="218" t="n"/>
      <c r="E655" s="218" t="n"/>
      <c r="F655" s="328" t="n"/>
      <c r="G655" s="218" t="n"/>
      <c r="H655" s="218" t="n"/>
      <c r="I655" s="218" t="n"/>
      <c r="J655" s="218" t="n"/>
      <c r="K655" s="218" t="n"/>
      <c r="L655" s="218" t="n"/>
      <c r="M655" s="218" t="n"/>
      <c r="N655" s="218" t="n"/>
      <c r="O655" s="222">
        <f>IF($A655="","",IF(IF($B655="343",NETWORKDAYS($A655,$A655,FERIADOS_343),IF($B655="281",NETWORKDAYS($A655,$A655,FERIADOS_281),NETWORKDAYS($A655,$A655,FERIADOS_342)))=1,"SIM","NÃO"))</f>
      </c>
      <c r="P655" s="232">
        <f>IF($A655="","",$A655-WEEKDAY($A655,2)+5)</f>
      </c>
    </row>
    <row r="656">
      <c r="A656" s="220" t="n"/>
      <c r="B656" s="218" t="n"/>
      <c r="C656" s="218" t="n"/>
      <c r="D656" s="218" t="n"/>
      <c r="E656" s="218" t="n"/>
      <c r="F656" s="328" t="n"/>
      <c r="G656" s="218" t="n"/>
      <c r="H656" s="218" t="n"/>
      <c r="I656" s="218" t="n"/>
      <c r="J656" s="218" t="n"/>
      <c r="K656" s="218" t="n"/>
      <c r="L656" s="218" t="n"/>
      <c r="M656" s="218" t="n"/>
      <c r="N656" s="218" t="n"/>
      <c r="O656" s="222">
        <f>IF($A656="","",IF(IF($B656="343",NETWORKDAYS($A656,$A656,FERIADOS_343),IF($B656="281",NETWORKDAYS($A656,$A656,FERIADOS_281),NETWORKDAYS($A656,$A656,FERIADOS_342)))=1,"SIM","NÃO"))</f>
      </c>
      <c r="P656" s="232">
        <f>IF($A656="","",$A656-WEEKDAY($A656,2)+5)</f>
      </c>
    </row>
    <row r="657">
      <c r="A657" s="220" t="n"/>
      <c r="B657" s="218" t="n"/>
      <c r="C657" s="218" t="n"/>
      <c r="D657" s="218" t="n"/>
      <c r="E657" s="218" t="n"/>
      <c r="F657" s="328" t="n"/>
      <c r="G657" s="218" t="n"/>
      <c r="H657" s="218" t="n"/>
      <c r="I657" s="218" t="n"/>
      <c r="J657" s="218" t="n"/>
      <c r="K657" s="218" t="n"/>
      <c r="L657" s="218" t="n"/>
      <c r="M657" s="218" t="n"/>
      <c r="N657" s="218" t="n"/>
      <c r="O657" s="222">
        <f>IF($A657="","",IF(IF($B657="343",NETWORKDAYS($A657,$A657,FERIADOS_343),IF($B657="281",NETWORKDAYS($A657,$A657,FERIADOS_281),NETWORKDAYS($A657,$A657,FERIADOS_342)))=1,"SIM","NÃO"))</f>
      </c>
      <c r="P657" s="232">
        <f>IF($A657="","",$A657-WEEKDAY($A657,2)+5)</f>
      </c>
    </row>
    <row r="658">
      <c r="A658" s="220" t="n"/>
      <c r="B658" s="218" t="n"/>
      <c r="C658" s="218" t="n"/>
      <c r="D658" s="218" t="n"/>
      <c r="E658" s="218" t="n"/>
      <c r="F658" s="328" t="n"/>
      <c r="G658" s="218" t="n"/>
      <c r="H658" s="218" t="n"/>
      <c r="I658" s="218" t="n"/>
      <c r="J658" s="218" t="n"/>
      <c r="K658" s="218" t="n"/>
      <c r="L658" s="218" t="n"/>
      <c r="M658" s="218" t="n"/>
      <c r="N658" s="218" t="n"/>
      <c r="O658" s="222">
        <f>IF($A658="","",IF(IF($B658="343",NETWORKDAYS($A658,$A658,FERIADOS_343),IF($B658="281",NETWORKDAYS($A658,$A658,FERIADOS_281),NETWORKDAYS($A658,$A658,FERIADOS_342)))=1,"SIM","NÃO"))</f>
      </c>
      <c r="P658" s="232">
        <f>IF($A658="","",$A658-WEEKDAY($A658,2)+5)</f>
      </c>
    </row>
    <row r="659">
      <c r="A659" s="220" t="n"/>
      <c r="B659" s="218" t="n"/>
      <c r="C659" s="218" t="n"/>
      <c r="D659" s="218" t="n"/>
      <c r="E659" s="218" t="n"/>
      <c r="F659" s="328" t="n"/>
      <c r="G659" s="218" t="n"/>
      <c r="H659" s="218" t="n"/>
      <c r="I659" s="218" t="n"/>
      <c r="J659" s="218" t="n"/>
      <c r="K659" s="218" t="n"/>
      <c r="L659" s="218" t="n"/>
      <c r="M659" s="218" t="n"/>
      <c r="N659" s="218" t="n"/>
      <c r="O659" s="222">
        <f>IF($A659="","",IF(IF($B659="343",NETWORKDAYS($A659,$A659,FERIADOS_343),IF($B659="281",NETWORKDAYS($A659,$A659,FERIADOS_281),NETWORKDAYS($A659,$A659,FERIADOS_342)))=1,"SIM","NÃO"))</f>
      </c>
      <c r="P659" s="232">
        <f>IF($A659="","",$A659-WEEKDAY($A659,2)+5)</f>
      </c>
    </row>
    <row r="660">
      <c r="A660" s="220" t="n"/>
      <c r="B660" s="218" t="n"/>
      <c r="C660" s="218" t="n"/>
      <c r="D660" s="218" t="n"/>
      <c r="E660" s="218" t="n"/>
      <c r="F660" s="328" t="n"/>
      <c r="G660" s="218" t="n"/>
      <c r="H660" s="218" t="n"/>
      <c r="I660" s="218" t="n"/>
      <c r="J660" s="218" t="n"/>
      <c r="K660" s="218" t="n"/>
      <c r="L660" s="218" t="n"/>
      <c r="M660" s="218" t="n"/>
      <c r="N660" s="218" t="n"/>
      <c r="O660" s="222">
        <f>IF($A660="","",IF(IF($B660="343",NETWORKDAYS($A660,$A660,FERIADOS_343),IF($B660="281",NETWORKDAYS($A660,$A660,FERIADOS_281),NETWORKDAYS($A660,$A660,FERIADOS_342)))=1,"SIM","NÃO"))</f>
      </c>
      <c r="P660" s="232">
        <f>IF($A660="","",$A660-WEEKDAY($A660,2)+5)</f>
      </c>
    </row>
    <row r="661">
      <c r="A661" s="220" t="n"/>
      <c r="B661" s="218" t="n"/>
      <c r="C661" s="218" t="n"/>
      <c r="D661" s="218" t="n"/>
      <c r="E661" s="218" t="n"/>
      <c r="F661" s="328" t="n"/>
      <c r="G661" s="218" t="n"/>
      <c r="H661" s="218" t="n"/>
      <c r="I661" s="218" t="n"/>
      <c r="J661" s="218" t="n"/>
      <c r="K661" s="218" t="n"/>
      <c r="L661" s="218" t="n"/>
      <c r="M661" s="218" t="n"/>
      <c r="N661" s="218" t="n"/>
      <c r="O661" s="222">
        <f>IF($A661="","",IF(IF($B661="343",NETWORKDAYS($A661,$A661,FERIADOS_343),IF($B661="281",NETWORKDAYS($A661,$A661,FERIADOS_281),NETWORKDAYS($A661,$A661,FERIADOS_342)))=1,"SIM","NÃO"))</f>
      </c>
      <c r="P661" s="232">
        <f>IF($A661="","",$A661-WEEKDAY($A661,2)+5)</f>
      </c>
    </row>
    <row r="662">
      <c r="A662" s="220" t="n"/>
      <c r="B662" s="218" t="n"/>
      <c r="C662" s="218" t="n"/>
      <c r="D662" s="218" t="n"/>
      <c r="E662" s="218" t="n"/>
      <c r="F662" s="328" t="n"/>
      <c r="G662" s="218" t="n"/>
      <c r="H662" s="218" t="n"/>
      <c r="I662" s="218" t="n"/>
      <c r="J662" s="218" t="n"/>
      <c r="K662" s="218" t="n"/>
      <c r="L662" s="218" t="n"/>
      <c r="M662" s="218" t="n"/>
      <c r="N662" s="218" t="n"/>
      <c r="O662" s="222">
        <f>IF($A662="","",IF(IF($B662="343",NETWORKDAYS($A662,$A662,FERIADOS_343),IF($B662="281",NETWORKDAYS($A662,$A662,FERIADOS_281),NETWORKDAYS($A662,$A662,FERIADOS_342)))=1,"SIM","NÃO"))</f>
      </c>
      <c r="P662" s="232">
        <f>IF($A662="","",$A662-WEEKDAY($A662,2)+5)</f>
      </c>
    </row>
    <row r="663">
      <c r="A663" s="220" t="n"/>
      <c r="B663" s="218" t="n"/>
      <c r="C663" s="218" t="n"/>
      <c r="D663" s="218" t="n"/>
      <c r="E663" s="218" t="n"/>
      <c r="F663" s="328" t="n"/>
      <c r="G663" s="218" t="n"/>
      <c r="H663" s="218" t="n"/>
      <c r="I663" s="218" t="n"/>
      <c r="J663" s="218" t="n"/>
      <c r="K663" s="218" t="n"/>
      <c r="L663" s="218" t="n"/>
      <c r="M663" s="218" t="n"/>
      <c r="N663" s="218" t="n"/>
      <c r="O663" s="222">
        <f>IF($A663="","",IF(IF($B663="343",NETWORKDAYS($A663,$A663,FERIADOS_343),IF($B663="281",NETWORKDAYS($A663,$A663,FERIADOS_281),NETWORKDAYS($A663,$A663,FERIADOS_342)))=1,"SIM","NÃO"))</f>
      </c>
      <c r="P663" s="232">
        <f>IF($A663="","",$A663-WEEKDAY($A663,2)+5)</f>
      </c>
    </row>
    <row r="664">
      <c r="A664" s="220" t="n"/>
      <c r="B664" s="218" t="n"/>
      <c r="C664" s="218" t="n"/>
      <c r="D664" s="218" t="n"/>
      <c r="E664" s="218" t="n"/>
      <c r="F664" s="328" t="n"/>
      <c r="G664" s="218" t="n"/>
      <c r="H664" s="218" t="n"/>
      <c r="I664" s="218" t="n"/>
      <c r="J664" s="218" t="n"/>
      <c r="K664" s="218" t="n"/>
      <c r="L664" s="218" t="n"/>
      <c r="M664" s="218" t="n"/>
      <c r="N664" s="218" t="n"/>
      <c r="O664" s="222">
        <f>IF($A664="","",IF(IF($B664="343",NETWORKDAYS($A664,$A664,FERIADOS_343),IF($B664="281",NETWORKDAYS($A664,$A664,FERIADOS_281),NETWORKDAYS($A664,$A664,FERIADOS_342)))=1,"SIM","NÃO"))</f>
      </c>
      <c r="P664" s="232">
        <f>IF($A664="","",$A664-WEEKDAY($A664,2)+5)</f>
      </c>
    </row>
    <row r="665">
      <c r="A665" s="220" t="n"/>
      <c r="B665" s="218" t="n"/>
      <c r="C665" s="218" t="n"/>
      <c r="D665" s="218" t="n"/>
      <c r="E665" s="218" t="n"/>
      <c r="F665" s="328" t="n"/>
      <c r="G665" s="218" t="n"/>
      <c r="H665" s="218" t="n"/>
      <c r="I665" s="218" t="n"/>
      <c r="J665" s="218" t="n"/>
      <c r="K665" s="218" t="n"/>
      <c r="L665" s="218" t="n"/>
      <c r="M665" s="218" t="n"/>
      <c r="N665" s="218" t="n"/>
      <c r="O665" s="222">
        <f>IF($A665="","",IF(IF($B665="343",NETWORKDAYS($A665,$A665,FERIADOS_343),IF($B665="281",NETWORKDAYS($A665,$A665,FERIADOS_281),NETWORKDAYS($A665,$A665,FERIADOS_342)))=1,"SIM","NÃO"))</f>
      </c>
      <c r="P665" s="232">
        <f>IF($A665="","",$A665-WEEKDAY($A665,2)+5)</f>
      </c>
    </row>
    <row r="666">
      <c r="A666" s="220" t="n"/>
      <c r="B666" s="218" t="n"/>
      <c r="C666" s="218" t="n"/>
      <c r="D666" s="218" t="n"/>
      <c r="E666" s="218" t="n"/>
      <c r="F666" s="328" t="n"/>
      <c r="G666" s="218" t="n"/>
      <c r="H666" s="218" t="n"/>
      <c r="I666" s="218" t="n"/>
      <c r="J666" s="218" t="n"/>
      <c r="K666" s="218" t="n"/>
      <c r="L666" s="218" t="n"/>
      <c r="M666" s="218" t="n"/>
      <c r="N666" s="218" t="n"/>
      <c r="O666" s="222">
        <f>IF($A666="","",IF(IF($B666="343",NETWORKDAYS($A666,$A666,FERIADOS_343),IF($B666="281",NETWORKDAYS($A666,$A666,FERIADOS_281),NETWORKDAYS($A666,$A666,FERIADOS_342)))=1,"SIM","NÃO"))</f>
      </c>
      <c r="P666" s="232">
        <f>IF($A666="","",$A666-WEEKDAY($A666,2)+5)</f>
      </c>
    </row>
    <row r="667">
      <c r="A667" s="220" t="n"/>
      <c r="B667" s="218" t="n"/>
      <c r="C667" s="218" t="n"/>
      <c r="D667" s="218" t="n"/>
      <c r="E667" s="218" t="n"/>
      <c r="F667" s="328" t="n"/>
      <c r="G667" s="218" t="n"/>
      <c r="H667" s="218" t="n"/>
      <c r="I667" s="218" t="n"/>
      <c r="J667" s="218" t="n"/>
      <c r="K667" s="218" t="n"/>
      <c r="L667" s="218" t="n"/>
      <c r="M667" s="218" t="n"/>
      <c r="N667" s="218" t="n"/>
      <c r="O667" s="222">
        <f>IF($A667="","",IF(IF($B667="343",NETWORKDAYS($A667,$A667,FERIADOS_343),IF($B667="281",NETWORKDAYS($A667,$A667,FERIADOS_281),NETWORKDAYS($A667,$A667,FERIADOS_342)))=1,"SIM","NÃO"))</f>
      </c>
      <c r="P667" s="232">
        <f>IF($A667="","",$A667-WEEKDAY($A667,2)+5)</f>
      </c>
    </row>
    <row r="668">
      <c r="A668" s="220" t="n"/>
      <c r="B668" s="218" t="n"/>
      <c r="C668" s="218" t="n"/>
      <c r="D668" s="218" t="n"/>
      <c r="E668" s="218" t="n"/>
      <c r="F668" s="328" t="n"/>
      <c r="G668" s="218" t="n"/>
      <c r="H668" s="218" t="n"/>
      <c r="I668" s="218" t="n"/>
      <c r="J668" s="218" t="n"/>
      <c r="K668" s="218" t="n"/>
      <c r="L668" s="218" t="n"/>
      <c r="M668" s="218" t="n"/>
      <c r="N668" s="218" t="n"/>
      <c r="O668" s="222">
        <f>IF($A668="","",IF(IF($B668="343",NETWORKDAYS($A668,$A668,FERIADOS_343),IF($B668="281",NETWORKDAYS($A668,$A668,FERIADOS_281),NETWORKDAYS($A668,$A668,FERIADOS_342)))=1,"SIM","NÃO"))</f>
      </c>
      <c r="P668" s="232">
        <f>IF($A668="","",$A668-WEEKDAY($A668,2)+5)</f>
      </c>
    </row>
    <row r="669">
      <c r="A669" s="220" t="n"/>
      <c r="B669" s="218" t="n"/>
      <c r="C669" s="218" t="n"/>
      <c r="D669" s="218" t="n"/>
      <c r="E669" s="218" t="n"/>
      <c r="F669" s="328" t="n"/>
      <c r="G669" s="218" t="n"/>
      <c r="H669" s="218" t="n"/>
      <c r="I669" s="218" t="n"/>
      <c r="J669" s="218" t="n"/>
      <c r="K669" s="218" t="n"/>
      <c r="L669" s="218" t="n"/>
      <c r="M669" s="218" t="n"/>
      <c r="N669" s="218" t="n"/>
      <c r="O669" s="222">
        <f>IF($A669="","",IF(IF($B669="343",NETWORKDAYS($A669,$A669,FERIADOS_343),IF($B669="281",NETWORKDAYS($A669,$A669,FERIADOS_281),NETWORKDAYS($A669,$A669,FERIADOS_342)))=1,"SIM","NÃO"))</f>
      </c>
      <c r="P669" s="232">
        <f>IF($A669="","",$A669-WEEKDAY($A669,2)+5)</f>
      </c>
    </row>
    <row r="670">
      <c r="A670" s="220" t="n"/>
      <c r="B670" s="218" t="n"/>
      <c r="C670" s="218" t="n"/>
      <c r="D670" s="218" t="n"/>
      <c r="E670" s="218" t="n"/>
      <c r="F670" s="328" t="n"/>
      <c r="G670" s="218" t="n"/>
      <c r="H670" s="218" t="n"/>
      <c r="I670" s="218" t="n"/>
      <c r="J670" s="218" t="n"/>
      <c r="K670" s="218" t="n"/>
      <c r="L670" s="218" t="n"/>
      <c r="M670" s="218" t="n"/>
      <c r="N670" s="218" t="n"/>
      <c r="O670" s="222">
        <f>IF($A670="","",IF(IF($B670="343",NETWORKDAYS($A670,$A670,FERIADOS_343),IF($B670="281",NETWORKDAYS($A670,$A670,FERIADOS_281),NETWORKDAYS($A670,$A670,FERIADOS_342)))=1,"SIM","NÃO"))</f>
      </c>
      <c r="P670" s="232">
        <f>IF($A670="","",$A670-WEEKDAY($A670,2)+5)</f>
      </c>
    </row>
    <row r="671">
      <c r="A671" s="220" t="n"/>
      <c r="B671" s="218" t="n"/>
      <c r="C671" s="218" t="n"/>
      <c r="D671" s="218" t="n"/>
      <c r="E671" s="218" t="n"/>
      <c r="F671" s="328" t="n"/>
      <c r="G671" s="218" t="n"/>
      <c r="H671" s="218" t="n"/>
      <c r="I671" s="218" t="n"/>
      <c r="J671" s="218" t="n"/>
      <c r="K671" s="218" t="n"/>
      <c r="L671" s="218" t="n"/>
      <c r="M671" s="218" t="n"/>
      <c r="N671" s="218" t="n"/>
      <c r="O671" s="222">
        <f>IF($A671="","",IF(IF($B671="343",NETWORKDAYS($A671,$A671,FERIADOS_343),IF($B671="281",NETWORKDAYS($A671,$A671,FERIADOS_281),NETWORKDAYS($A671,$A671,FERIADOS_342)))=1,"SIM","NÃO"))</f>
      </c>
      <c r="P671" s="232">
        <f>IF($A671="","",$A671-WEEKDAY($A671,2)+5)</f>
      </c>
    </row>
    <row r="672">
      <c r="A672" s="220" t="n"/>
      <c r="B672" s="218" t="n"/>
      <c r="C672" s="218" t="n"/>
      <c r="D672" s="218" t="n"/>
      <c r="E672" s="218" t="n"/>
      <c r="F672" s="328" t="n"/>
      <c r="G672" s="218" t="n"/>
      <c r="H672" s="218" t="n"/>
      <c r="I672" s="218" t="n"/>
      <c r="J672" s="218" t="n"/>
      <c r="K672" s="218" t="n"/>
      <c r="L672" s="218" t="n"/>
      <c r="M672" s="218" t="n"/>
      <c r="N672" s="218" t="n"/>
      <c r="O672" s="222">
        <f>IF($A672="","",IF(IF($B672="343",NETWORKDAYS($A672,$A672,FERIADOS_343),IF($B672="281",NETWORKDAYS($A672,$A672,FERIADOS_281),NETWORKDAYS($A672,$A672,FERIADOS_342)))=1,"SIM","NÃO"))</f>
      </c>
      <c r="P672" s="232">
        <f>IF($A672="","",$A672-WEEKDAY($A672,2)+5)</f>
      </c>
    </row>
    <row r="673">
      <c r="A673" s="220" t="n"/>
      <c r="B673" s="218" t="n"/>
      <c r="C673" s="218" t="n"/>
      <c r="D673" s="218" t="n"/>
      <c r="E673" s="218" t="n"/>
      <c r="F673" s="328" t="n"/>
      <c r="G673" s="218" t="n"/>
      <c r="H673" s="218" t="n"/>
      <c r="I673" s="218" t="n"/>
      <c r="J673" s="218" t="n"/>
      <c r="K673" s="218" t="n"/>
      <c r="L673" s="218" t="n"/>
      <c r="M673" s="218" t="n"/>
      <c r="N673" s="218" t="n"/>
      <c r="O673" s="222">
        <f>IF($A673="","",IF(IF($B673="343",NETWORKDAYS($A673,$A673,FERIADOS_343),IF($B673="281",NETWORKDAYS($A673,$A673,FERIADOS_281),NETWORKDAYS($A673,$A673,FERIADOS_342)))=1,"SIM","NÃO"))</f>
      </c>
      <c r="P673" s="232">
        <f>IF($A673="","",$A673-WEEKDAY($A673,2)+5)</f>
      </c>
    </row>
    <row r="674">
      <c r="A674" s="220" t="n"/>
      <c r="B674" s="218" t="n"/>
      <c r="C674" s="218" t="n"/>
      <c r="D674" s="218" t="n"/>
      <c r="E674" s="218" t="n"/>
      <c r="F674" s="328" t="n"/>
      <c r="G674" s="218" t="n"/>
      <c r="H674" s="218" t="n"/>
      <c r="I674" s="218" t="n"/>
      <c r="J674" s="218" t="n"/>
      <c r="K674" s="218" t="n"/>
      <c r="L674" s="218" t="n"/>
      <c r="M674" s="218" t="n"/>
      <c r="N674" s="218" t="n"/>
      <c r="O674" s="222">
        <f>IF($A674="","",IF(IF($B674="343",NETWORKDAYS($A674,$A674,FERIADOS_343),IF($B674="281",NETWORKDAYS($A674,$A674,FERIADOS_281),NETWORKDAYS($A674,$A674,FERIADOS_342)))=1,"SIM","NÃO"))</f>
      </c>
      <c r="P674" s="232">
        <f>IF($A674="","",$A674-WEEKDAY($A674,2)+5)</f>
      </c>
    </row>
    <row r="675">
      <c r="A675" s="220" t="n"/>
      <c r="B675" s="218" t="n"/>
      <c r="C675" s="218" t="n"/>
      <c r="D675" s="218" t="n"/>
      <c r="E675" s="218" t="n"/>
      <c r="F675" s="328" t="n"/>
      <c r="G675" s="218" t="n"/>
      <c r="H675" s="218" t="n"/>
      <c r="I675" s="218" t="n"/>
      <c r="J675" s="218" t="n"/>
      <c r="K675" s="218" t="n"/>
      <c r="L675" s="218" t="n"/>
      <c r="M675" s="218" t="n"/>
      <c r="N675" s="218" t="n"/>
      <c r="O675" s="222">
        <f>IF($A675="","",IF(IF($B675="343",NETWORKDAYS($A675,$A675,FERIADOS_343),IF($B675="281",NETWORKDAYS($A675,$A675,FERIADOS_281),NETWORKDAYS($A675,$A675,FERIADOS_342)))=1,"SIM","NÃO"))</f>
      </c>
      <c r="P675" s="232">
        <f>IF($A675="","",$A675-WEEKDAY($A675,2)+5)</f>
      </c>
    </row>
    <row r="676">
      <c r="A676" s="220" t="n"/>
      <c r="B676" s="218" t="n"/>
      <c r="C676" s="218" t="n"/>
      <c r="D676" s="218" t="n"/>
      <c r="E676" s="218" t="n"/>
      <c r="F676" s="328" t="n"/>
      <c r="G676" s="218" t="n"/>
      <c r="H676" s="218" t="n"/>
      <c r="I676" s="218" t="n"/>
      <c r="J676" s="218" t="n"/>
      <c r="K676" s="218" t="n"/>
      <c r="L676" s="218" t="n"/>
      <c r="M676" s="218" t="n"/>
      <c r="N676" s="218" t="n"/>
      <c r="O676" s="222">
        <f>IF($A676="","",IF(IF($B676="343",NETWORKDAYS($A676,$A676,FERIADOS_343),IF($B676="281",NETWORKDAYS($A676,$A676,FERIADOS_281),NETWORKDAYS($A676,$A676,FERIADOS_342)))=1,"SIM","NÃO"))</f>
      </c>
      <c r="P676" s="232">
        <f>IF($A676="","",$A676-WEEKDAY($A676,2)+5)</f>
      </c>
    </row>
    <row r="677">
      <c r="A677" s="220" t="n"/>
      <c r="B677" s="218" t="n"/>
      <c r="C677" s="218" t="n"/>
      <c r="D677" s="218" t="n"/>
      <c r="E677" s="218" t="n"/>
      <c r="F677" s="328" t="n"/>
      <c r="G677" s="218" t="n"/>
      <c r="H677" s="218" t="n"/>
      <c r="I677" s="218" t="n"/>
      <c r="J677" s="218" t="n"/>
      <c r="K677" s="218" t="n"/>
      <c r="L677" s="218" t="n"/>
      <c r="M677" s="218" t="n"/>
      <c r="N677" s="218" t="n"/>
      <c r="O677" s="222">
        <f>IF($A677="","",IF(IF($B677="343",NETWORKDAYS($A677,$A677,FERIADOS_343),IF($B677="281",NETWORKDAYS($A677,$A677,FERIADOS_281),NETWORKDAYS($A677,$A677,FERIADOS_342)))=1,"SIM","NÃO"))</f>
      </c>
      <c r="P677" s="232">
        <f>IF($A677="","",$A677-WEEKDAY($A677,2)+5)</f>
      </c>
    </row>
    <row r="678">
      <c r="A678" s="220" t="n"/>
      <c r="B678" s="218" t="n"/>
      <c r="C678" s="218" t="n"/>
      <c r="D678" s="218" t="n"/>
      <c r="E678" s="218" t="n"/>
      <c r="F678" s="328" t="n"/>
      <c r="G678" s="218" t="n"/>
      <c r="H678" s="218" t="n"/>
      <c r="I678" s="218" t="n"/>
      <c r="J678" s="218" t="n"/>
      <c r="K678" s="218" t="n"/>
      <c r="L678" s="218" t="n"/>
      <c r="M678" s="218" t="n"/>
      <c r="N678" s="218" t="n"/>
      <c r="O678" s="222">
        <f>IF($A678="","",IF(IF($B678="343",NETWORKDAYS($A678,$A678,FERIADOS_343),IF($B678="281",NETWORKDAYS($A678,$A678,FERIADOS_281),NETWORKDAYS($A678,$A678,FERIADOS_342)))=1,"SIM","NÃO"))</f>
      </c>
      <c r="P678" s="232">
        <f>IF($A678="","",$A678-WEEKDAY($A678,2)+5)</f>
      </c>
    </row>
    <row r="679">
      <c r="A679" s="220" t="n"/>
      <c r="B679" s="218" t="n"/>
      <c r="C679" s="218" t="n"/>
      <c r="D679" s="218" t="n"/>
      <c r="E679" s="218" t="n"/>
      <c r="F679" s="328" t="n"/>
      <c r="G679" s="218" t="n"/>
      <c r="H679" s="218" t="n"/>
      <c r="I679" s="218" t="n"/>
      <c r="J679" s="218" t="n"/>
      <c r="K679" s="218" t="n"/>
      <c r="L679" s="218" t="n"/>
      <c r="M679" s="218" t="n"/>
      <c r="N679" s="218" t="n"/>
      <c r="O679" s="222">
        <f>IF($A679="","",IF(IF($B679="343",NETWORKDAYS($A679,$A679,FERIADOS_343),IF($B679="281",NETWORKDAYS($A679,$A679,FERIADOS_281),NETWORKDAYS($A679,$A679,FERIADOS_342)))=1,"SIM","NÃO"))</f>
      </c>
      <c r="P679" s="232">
        <f>IF($A679="","",$A679-WEEKDAY($A679,2)+5)</f>
      </c>
    </row>
    <row r="680">
      <c r="A680" s="220" t="n"/>
      <c r="B680" s="218" t="n"/>
      <c r="C680" s="218" t="n"/>
      <c r="D680" s="218" t="n"/>
      <c r="E680" s="218" t="n"/>
      <c r="F680" s="328" t="n"/>
      <c r="G680" s="218" t="n"/>
      <c r="H680" s="218" t="n"/>
      <c r="I680" s="218" t="n"/>
      <c r="J680" s="218" t="n"/>
      <c r="K680" s="218" t="n"/>
      <c r="L680" s="218" t="n"/>
      <c r="M680" s="218" t="n"/>
      <c r="N680" s="218" t="n"/>
      <c r="O680" s="222">
        <f>IF($A680="","",IF(IF($B680="343",NETWORKDAYS($A680,$A680,FERIADOS_343),IF($B680="281",NETWORKDAYS($A680,$A680,FERIADOS_281),NETWORKDAYS($A680,$A680,FERIADOS_342)))=1,"SIM","NÃO"))</f>
      </c>
      <c r="P680" s="232">
        <f>IF($A680="","",$A680-WEEKDAY($A680,2)+5)</f>
      </c>
    </row>
    <row r="681">
      <c r="A681" s="220" t="n"/>
      <c r="B681" s="218" t="n"/>
      <c r="C681" s="218" t="n"/>
      <c r="D681" s="218" t="n"/>
      <c r="E681" s="218" t="n"/>
      <c r="F681" s="328" t="n"/>
      <c r="G681" s="218" t="n"/>
      <c r="H681" s="218" t="n"/>
      <c r="I681" s="218" t="n"/>
      <c r="J681" s="218" t="n"/>
      <c r="K681" s="218" t="n"/>
      <c r="L681" s="218" t="n"/>
      <c r="M681" s="218" t="n"/>
      <c r="N681" s="218" t="n"/>
      <c r="O681" s="222">
        <f>IF($A681="","",IF(IF($B681="343",NETWORKDAYS($A681,$A681,FERIADOS_343),IF($B681="281",NETWORKDAYS($A681,$A681,FERIADOS_281),NETWORKDAYS($A681,$A681,FERIADOS_342)))=1,"SIM","NÃO"))</f>
      </c>
      <c r="P681" s="232">
        <f>IF($A681="","",$A681-WEEKDAY($A681,2)+5)</f>
      </c>
    </row>
    <row r="682">
      <c r="A682" s="220" t="n"/>
      <c r="B682" s="218" t="n"/>
      <c r="C682" s="218" t="n"/>
      <c r="D682" s="218" t="n"/>
      <c r="E682" s="218" t="n"/>
      <c r="F682" s="328" t="n"/>
      <c r="G682" s="218" t="n"/>
      <c r="H682" s="218" t="n"/>
      <c r="I682" s="218" t="n"/>
      <c r="J682" s="218" t="n"/>
      <c r="K682" s="218" t="n"/>
      <c r="L682" s="218" t="n"/>
      <c r="M682" s="218" t="n"/>
      <c r="N682" s="218" t="n"/>
      <c r="O682" s="222">
        <f>IF($A682="","",IF(IF($B682="343",NETWORKDAYS($A682,$A682,FERIADOS_343),IF($B682="281",NETWORKDAYS($A682,$A682,FERIADOS_281),NETWORKDAYS($A682,$A682,FERIADOS_342)))=1,"SIM","NÃO"))</f>
      </c>
      <c r="P682" s="232">
        <f>IF($A682="","",$A682-WEEKDAY($A682,2)+5)</f>
      </c>
    </row>
    <row r="683">
      <c r="A683" s="220" t="n"/>
      <c r="B683" s="218" t="n"/>
      <c r="C683" s="218" t="n"/>
      <c r="D683" s="218" t="n"/>
      <c r="E683" s="218" t="n"/>
      <c r="F683" s="328" t="n"/>
      <c r="G683" s="218" t="n"/>
      <c r="H683" s="218" t="n"/>
      <c r="I683" s="218" t="n"/>
      <c r="J683" s="218" t="n"/>
      <c r="K683" s="218" t="n"/>
      <c r="L683" s="218" t="n"/>
      <c r="M683" s="218" t="n"/>
      <c r="N683" s="218" t="n"/>
      <c r="O683" s="222">
        <f>IF($A683="","",IF(IF($B683="343",NETWORKDAYS($A683,$A683,FERIADOS_343),IF($B683="281",NETWORKDAYS($A683,$A683,FERIADOS_281),NETWORKDAYS($A683,$A683,FERIADOS_342)))=1,"SIM","NÃO"))</f>
      </c>
      <c r="P683" s="232">
        <f>IF($A683="","",$A683-WEEKDAY($A683,2)+5)</f>
      </c>
    </row>
    <row r="684">
      <c r="A684" s="220" t="n"/>
      <c r="B684" s="218" t="n"/>
      <c r="C684" s="218" t="n"/>
      <c r="D684" s="218" t="n"/>
      <c r="E684" s="218" t="n"/>
      <c r="F684" s="328" t="n"/>
      <c r="G684" s="218" t="n"/>
      <c r="H684" s="218" t="n"/>
      <c r="I684" s="218" t="n"/>
      <c r="J684" s="218" t="n"/>
      <c r="K684" s="218" t="n"/>
      <c r="L684" s="218" t="n"/>
      <c r="M684" s="218" t="n"/>
      <c r="N684" s="218" t="n"/>
      <c r="O684" s="222">
        <f>IF($A684="","",IF(IF($B684="343",NETWORKDAYS($A684,$A684,FERIADOS_343),IF($B684="281",NETWORKDAYS($A684,$A684,FERIADOS_281),NETWORKDAYS($A684,$A684,FERIADOS_342)))=1,"SIM","NÃO"))</f>
      </c>
      <c r="P684" s="232">
        <f>IF($A684="","",$A684-WEEKDAY($A684,2)+5)</f>
      </c>
    </row>
    <row r="685">
      <c r="A685" s="220" t="n"/>
      <c r="B685" s="218" t="n"/>
      <c r="C685" s="218" t="n"/>
      <c r="D685" s="218" t="n"/>
      <c r="E685" s="218" t="n"/>
      <c r="F685" s="328" t="n"/>
      <c r="G685" s="218" t="n"/>
      <c r="H685" s="218" t="n"/>
      <c r="I685" s="218" t="n"/>
      <c r="J685" s="218" t="n"/>
      <c r="K685" s="218" t="n"/>
      <c r="L685" s="218" t="n"/>
      <c r="M685" s="218" t="n"/>
      <c r="N685" s="218" t="n"/>
      <c r="O685" s="222">
        <f>IF($A685="","",IF(IF($B685="343",NETWORKDAYS($A685,$A685,FERIADOS_343),IF($B685="281",NETWORKDAYS($A685,$A685,FERIADOS_281),NETWORKDAYS($A685,$A685,FERIADOS_342)))=1,"SIM","NÃO"))</f>
      </c>
      <c r="P685" s="232">
        <f>IF($A685="","",$A685-WEEKDAY($A685,2)+5)</f>
      </c>
    </row>
    <row r="686">
      <c r="A686" s="220" t="n"/>
      <c r="B686" s="218" t="n"/>
      <c r="C686" s="218" t="n"/>
      <c r="D686" s="218" t="n"/>
      <c r="E686" s="218" t="n"/>
      <c r="F686" s="328" t="n"/>
      <c r="G686" s="218" t="n"/>
      <c r="H686" s="218" t="n"/>
      <c r="I686" s="218" t="n"/>
      <c r="J686" s="218" t="n"/>
      <c r="K686" s="218" t="n"/>
      <c r="L686" s="218" t="n"/>
      <c r="M686" s="218" t="n"/>
      <c r="N686" s="218" t="n"/>
      <c r="O686" s="222">
        <f>IF($A686="","",IF(IF($B686="343",NETWORKDAYS($A686,$A686,FERIADOS_343),IF($B686="281",NETWORKDAYS($A686,$A686,FERIADOS_281),NETWORKDAYS($A686,$A686,FERIADOS_342)))=1,"SIM","NÃO"))</f>
      </c>
      <c r="P686" s="232">
        <f>IF($A686="","",$A686-WEEKDAY($A686,2)+5)</f>
      </c>
    </row>
    <row r="687">
      <c r="A687" s="220" t="n"/>
      <c r="B687" s="218" t="n"/>
      <c r="C687" s="218" t="n"/>
      <c r="D687" s="218" t="n"/>
      <c r="E687" s="218" t="n"/>
      <c r="F687" s="328" t="n"/>
      <c r="G687" s="218" t="n"/>
      <c r="H687" s="218" t="n"/>
      <c r="I687" s="218" t="n"/>
      <c r="J687" s="218" t="n"/>
      <c r="K687" s="218" t="n"/>
      <c r="L687" s="218" t="n"/>
      <c r="M687" s="218" t="n"/>
      <c r="N687" s="218" t="n"/>
      <c r="O687" s="222">
        <f>IF($A687="","",IF(IF($B687="343",NETWORKDAYS($A687,$A687,FERIADOS_343),IF($B687="281",NETWORKDAYS($A687,$A687,FERIADOS_281),NETWORKDAYS($A687,$A687,FERIADOS_342)))=1,"SIM","NÃO"))</f>
      </c>
      <c r="P687" s="232">
        <f>IF($A687="","",$A687-WEEKDAY($A687,2)+5)</f>
      </c>
    </row>
    <row r="688">
      <c r="A688" s="220" t="n"/>
      <c r="B688" s="218" t="n"/>
      <c r="C688" s="218" t="n"/>
      <c r="D688" s="218" t="n"/>
      <c r="E688" s="218" t="n"/>
      <c r="F688" s="328" t="n"/>
      <c r="G688" s="218" t="n"/>
      <c r="H688" s="218" t="n"/>
      <c r="I688" s="218" t="n"/>
      <c r="J688" s="218" t="n"/>
      <c r="K688" s="218" t="n"/>
      <c r="L688" s="218" t="n"/>
      <c r="M688" s="218" t="n"/>
      <c r="N688" s="218" t="n"/>
      <c r="O688" s="222">
        <f>IF($A688="","",IF(IF($B688="343",NETWORKDAYS($A688,$A688,FERIADOS_343),IF($B688="281",NETWORKDAYS($A688,$A688,FERIADOS_281),NETWORKDAYS($A688,$A688,FERIADOS_342)))=1,"SIM","NÃO"))</f>
      </c>
      <c r="P688" s="232">
        <f>IF($A688="","",$A688-WEEKDAY($A688,2)+5)</f>
      </c>
    </row>
    <row r="689">
      <c r="A689" s="220" t="n"/>
      <c r="B689" s="218" t="n"/>
      <c r="C689" s="218" t="n"/>
      <c r="D689" s="218" t="n"/>
      <c r="E689" s="218" t="n"/>
      <c r="F689" s="328" t="n"/>
      <c r="G689" s="218" t="n"/>
      <c r="H689" s="218" t="n"/>
      <c r="I689" s="218" t="n"/>
      <c r="J689" s="218" t="n"/>
      <c r="K689" s="218" t="n"/>
      <c r="L689" s="218" t="n"/>
      <c r="M689" s="218" t="n"/>
      <c r="N689" s="218" t="n"/>
      <c r="O689" s="222">
        <f>IF($A689="","",IF(IF($B689="343",NETWORKDAYS($A689,$A689,FERIADOS_343),IF($B689="281",NETWORKDAYS($A689,$A689,FERIADOS_281),NETWORKDAYS($A689,$A689,FERIADOS_342)))=1,"SIM","NÃO"))</f>
      </c>
      <c r="P689" s="232">
        <f>IF($A689="","",$A689-WEEKDAY($A689,2)+5)</f>
      </c>
    </row>
    <row r="690">
      <c r="A690" s="220" t="n"/>
      <c r="B690" s="218" t="n"/>
      <c r="C690" s="218" t="n"/>
      <c r="D690" s="218" t="n"/>
      <c r="E690" s="218" t="n"/>
      <c r="F690" s="328" t="n"/>
      <c r="G690" s="218" t="n"/>
      <c r="H690" s="218" t="n"/>
      <c r="I690" s="218" t="n"/>
      <c r="J690" s="218" t="n"/>
      <c r="K690" s="218" t="n"/>
      <c r="L690" s="218" t="n"/>
      <c r="M690" s="218" t="n"/>
      <c r="N690" s="218" t="n"/>
      <c r="O690" s="222">
        <f>IF($A690="","",IF(IF($B690="343",NETWORKDAYS($A690,$A690,FERIADOS_343),IF($B690="281",NETWORKDAYS($A690,$A690,FERIADOS_281),NETWORKDAYS($A690,$A690,FERIADOS_342)))=1,"SIM","NÃO"))</f>
      </c>
      <c r="P690" s="232">
        <f>IF($A690="","",$A690-WEEKDAY($A690,2)+5)</f>
      </c>
    </row>
    <row r="691">
      <c r="A691" s="220" t="n"/>
      <c r="B691" s="218" t="n"/>
      <c r="C691" s="218" t="n"/>
      <c r="D691" s="218" t="n"/>
      <c r="E691" s="218" t="n"/>
      <c r="F691" s="328" t="n"/>
      <c r="G691" s="218" t="n"/>
      <c r="H691" s="218" t="n"/>
      <c r="I691" s="218" t="n"/>
      <c r="J691" s="218" t="n"/>
      <c r="K691" s="218" t="n"/>
      <c r="L691" s="218" t="n"/>
      <c r="M691" s="218" t="n"/>
      <c r="N691" s="218" t="n"/>
      <c r="O691" s="222">
        <f>IF($A691="","",IF(IF($B691="343",NETWORKDAYS($A691,$A691,FERIADOS_343),IF($B691="281",NETWORKDAYS($A691,$A691,FERIADOS_281),NETWORKDAYS($A691,$A691,FERIADOS_342)))=1,"SIM","NÃO"))</f>
      </c>
      <c r="P691" s="232">
        <f>IF($A691="","",$A691-WEEKDAY($A691,2)+5)</f>
      </c>
    </row>
    <row r="692">
      <c r="A692" s="220" t="n"/>
      <c r="B692" s="218" t="n"/>
      <c r="C692" s="218" t="n"/>
      <c r="D692" s="218" t="n"/>
      <c r="E692" s="218" t="n"/>
      <c r="F692" s="328" t="n"/>
      <c r="G692" s="218" t="n"/>
      <c r="H692" s="218" t="n"/>
      <c r="I692" s="218" t="n"/>
      <c r="J692" s="218" t="n"/>
      <c r="K692" s="218" t="n"/>
      <c r="L692" s="218" t="n"/>
      <c r="M692" s="218" t="n"/>
      <c r="N692" s="218" t="n"/>
      <c r="O692" s="222">
        <f>IF($A692="","",IF(IF($B692="343",NETWORKDAYS($A692,$A692,FERIADOS_343),IF($B692="281",NETWORKDAYS($A692,$A692,FERIADOS_281),NETWORKDAYS($A692,$A692,FERIADOS_342)))=1,"SIM","NÃO"))</f>
      </c>
      <c r="P692" s="232">
        <f>IF($A692="","",$A692-WEEKDAY($A692,2)+5)</f>
      </c>
    </row>
    <row r="693">
      <c r="A693" s="220" t="n"/>
      <c r="B693" s="218" t="n"/>
      <c r="C693" s="218" t="n"/>
      <c r="D693" s="218" t="n"/>
      <c r="E693" s="218" t="n"/>
      <c r="F693" s="328" t="n"/>
      <c r="G693" s="218" t="n"/>
      <c r="H693" s="218" t="n"/>
      <c r="I693" s="218" t="n"/>
      <c r="J693" s="218" t="n"/>
      <c r="K693" s="218" t="n"/>
      <c r="L693" s="218" t="n"/>
      <c r="M693" s="218" t="n"/>
      <c r="N693" s="218" t="n"/>
      <c r="O693" s="222">
        <f>IF($A693="","",IF(IF($B693="343",NETWORKDAYS($A693,$A693,FERIADOS_343),IF($B693="281",NETWORKDAYS($A693,$A693,FERIADOS_281),NETWORKDAYS($A693,$A693,FERIADOS_342)))=1,"SIM","NÃO"))</f>
      </c>
      <c r="P693" s="232">
        <f>IF($A693="","",$A693-WEEKDAY($A693,2)+5)</f>
      </c>
    </row>
    <row r="694">
      <c r="A694" s="220" t="n"/>
      <c r="B694" s="218" t="n"/>
      <c r="C694" s="218" t="n"/>
      <c r="D694" s="218" t="n"/>
      <c r="E694" s="218" t="n"/>
      <c r="F694" s="328" t="n"/>
      <c r="G694" s="218" t="n"/>
      <c r="H694" s="218" t="n"/>
      <c r="I694" s="218" t="n"/>
      <c r="J694" s="218" t="n"/>
      <c r="K694" s="218" t="n"/>
      <c r="L694" s="218" t="n"/>
      <c r="M694" s="218" t="n"/>
      <c r="N694" s="218" t="n"/>
      <c r="O694" s="222">
        <f>IF($A694="","",IF(IF($B694="343",NETWORKDAYS($A694,$A694,FERIADOS_343),IF($B694="281",NETWORKDAYS($A694,$A694,FERIADOS_281),NETWORKDAYS($A694,$A694,FERIADOS_342)))=1,"SIM","NÃO"))</f>
      </c>
      <c r="P694" s="232">
        <f>IF($A694="","",$A694-WEEKDAY($A694,2)+5)</f>
      </c>
    </row>
    <row r="695">
      <c r="A695" s="220" t="n"/>
      <c r="B695" s="218" t="n"/>
      <c r="C695" s="218" t="n"/>
      <c r="D695" s="218" t="n"/>
      <c r="E695" s="218" t="n"/>
      <c r="F695" s="328" t="n"/>
      <c r="G695" s="218" t="n"/>
      <c r="H695" s="218" t="n"/>
      <c r="I695" s="218" t="n"/>
      <c r="J695" s="218" t="n"/>
      <c r="K695" s="218" t="n"/>
      <c r="L695" s="218" t="n"/>
      <c r="M695" s="218" t="n"/>
      <c r="N695" s="218" t="n"/>
      <c r="O695" s="222">
        <f>IF($A695="","",IF(IF($B695="343",NETWORKDAYS($A695,$A695,FERIADOS_343),IF($B695="281",NETWORKDAYS($A695,$A695,FERIADOS_281),NETWORKDAYS($A695,$A695,FERIADOS_342)))=1,"SIM","NÃO"))</f>
      </c>
      <c r="P695" s="232">
        <f>IF($A695="","",$A695-WEEKDAY($A695,2)+5)</f>
      </c>
    </row>
    <row r="696">
      <c r="A696" s="220" t="n"/>
      <c r="B696" s="218" t="n"/>
      <c r="C696" s="218" t="n"/>
      <c r="D696" s="218" t="n"/>
      <c r="E696" s="218" t="n"/>
      <c r="F696" s="328" t="n"/>
      <c r="G696" s="218" t="n"/>
      <c r="H696" s="218" t="n"/>
      <c r="I696" s="218" t="n"/>
      <c r="J696" s="218" t="n"/>
      <c r="K696" s="218" t="n"/>
      <c r="L696" s="218" t="n"/>
      <c r="M696" s="218" t="n"/>
      <c r="N696" s="218" t="n"/>
      <c r="O696" s="222">
        <f>IF($A696="","",IF(IF($B696="343",NETWORKDAYS($A696,$A696,FERIADOS_343),IF($B696="281",NETWORKDAYS($A696,$A696,FERIADOS_281),NETWORKDAYS($A696,$A696,FERIADOS_342)))=1,"SIM","NÃO"))</f>
      </c>
      <c r="P696" s="232">
        <f>IF($A696="","",$A696-WEEKDAY($A696,2)+5)</f>
      </c>
    </row>
    <row r="697">
      <c r="A697" s="220" t="n"/>
      <c r="B697" s="218" t="n"/>
      <c r="C697" s="218" t="n"/>
      <c r="D697" s="218" t="n"/>
      <c r="E697" s="218" t="n"/>
      <c r="F697" s="328" t="n"/>
      <c r="G697" s="218" t="n"/>
      <c r="H697" s="218" t="n"/>
      <c r="I697" s="218" t="n"/>
      <c r="J697" s="218" t="n"/>
      <c r="K697" s="218" t="n"/>
      <c r="L697" s="218" t="n"/>
      <c r="M697" s="218" t="n"/>
      <c r="N697" s="218" t="n"/>
      <c r="O697" s="222">
        <f>IF($A697="","",IF(IF($B697="343",NETWORKDAYS($A697,$A697,FERIADOS_343),IF($B697="281",NETWORKDAYS($A697,$A697,FERIADOS_281),NETWORKDAYS($A697,$A697,FERIADOS_342)))=1,"SIM","NÃO"))</f>
      </c>
      <c r="P697" s="232">
        <f>IF($A697="","",$A697-WEEKDAY($A697,2)+5)</f>
      </c>
    </row>
    <row r="698">
      <c r="A698" s="220" t="n"/>
      <c r="B698" s="218" t="n"/>
      <c r="C698" s="218" t="n"/>
      <c r="D698" s="218" t="n"/>
      <c r="E698" s="218" t="n"/>
      <c r="F698" s="328" t="n"/>
      <c r="G698" s="218" t="n"/>
      <c r="H698" s="218" t="n"/>
      <c r="I698" s="218" t="n"/>
      <c r="J698" s="218" t="n"/>
      <c r="K698" s="218" t="n"/>
      <c r="L698" s="218" t="n"/>
      <c r="M698" s="218" t="n"/>
      <c r="N698" s="218" t="n"/>
      <c r="O698" s="222">
        <f>IF($A698="","",IF(IF($B698="343",NETWORKDAYS($A698,$A698,FERIADOS_343),IF($B698="281",NETWORKDAYS($A698,$A698,FERIADOS_281),NETWORKDAYS($A698,$A698,FERIADOS_342)))=1,"SIM","NÃO"))</f>
      </c>
      <c r="P698" s="232">
        <f>IF($A698="","",$A698-WEEKDAY($A698,2)+5)</f>
      </c>
    </row>
    <row r="699">
      <c r="A699" s="220" t="n"/>
      <c r="B699" s="218" t="n"/>
      <c r="C699" s="218" t="n"/>
      <c r="D699" s="218" t="n"/>
      <c r="E699" s="218" t="n"/>
      <c r="F699" s="328" t="n"/>
      <c r="G699" s="218" t="n"/>
      <c r="H699" s="218" t="n"/>
      <c r="I699" s="218" t="n"/>
      <c r="J699" s="218" t="n"/>
      <c r="K699" s="218" t="n"/>
      <c r="L699" s="218" t="n"/>
      <c r="M699" s="218" t="n"/>
      <c r="N699" s="218" t="n"/>
      <c r="O699" s="222">
        <f>IF($A699="","",IF(IF($B699="343",NETWORKDAYS($A699,$A699,FERIADOS_343),IF($B699="281",NETWORKDAYS($A699,$A699,FERIADOS_281),NETWORKDAYS($A699,$A699,FERIADOS_342)))=1,"SIM","NÃO"))</f>
      </c>
      <c r="P699" s="232">
        <f>IF($A699="","",$A699-WEEKDAY($A699,2)+5)</f>
      </c>
    </row>
    <row r="700">
      <c r="A700" s="220" t="n"/>
      <c r="B700" s="218" t="n"/>
      <c r="C700" s="218" t="n"/>
      <c r="D700" s="218" t="n"/>
      <c r="E700" s="218" t="n"/>
      <c r="F700" s="328" t="n"/>
      <c r="G700" s="218" t="n"/>
      <c r="H700" s="218" t="n"/>
      <c r="I700" s="218" t="n"/>
      <c r="J700" s="218" t="n"/>
      <c r="K700" s="218" t="n"/>
      <c r="L700" s="218" t="n"/>
      <c r="M700" s="218" t="n"/>
      <c r="N700" s="218" t="n"/>
      <c r="O700" s="222">
        <f>IF($A700="","",IF(IF($B700="343",NETWORKDAYS($A700,$A700,FERIADOS_343),IF($B700="281",NETWORKDAYS($A700,$A700,FERIADOS_281),NETWORKDAYS($A700,$A700,FERIADOS_342)))=1,"SIM","NÃO"))</f>
      </c>
      <c r="P700" s="232">
        <f>IF($A700="","",$A700-WEEKDAY($A700,2)+5)</f>
      </c>
    </row>
    <row r="701">
      <c r="A701" s="220" t="n"/>
      <c r="B701" s="218" t="n"/>
      <c r="C701" s="218" t="n"/>
      <c r="D701" s="218" t="n"/>
      <c r="E701" s="218" t="n"/>
      <c r="F701" s="328" t="n"/>
      <c r="G701" s="218" t="n"/>
      <c r="H701" s="218" t="n"/>
      <c r="I701" s="218" t="n"/>
      <c r="J701" s="218" t="n"/>
      <c r="K701" s="218" t="n"/>
      <c r="L701" s="218" t="n"/>
      <c r="M701" s="218" t="n"/>
      <c r="N701" s="218" t="n"/>
      <c r="O701" s="222">
        <f>IF($A701="","",IF(IF($B701="343",NETWORKDAYS($A701,$A701,FERIADOS_343),IF($B701="281",NETWORKDAYS($A701,$A701,FERIADOS_281),NETWORKDAYS($A701,$A701,FERIADOS_342)))=1,"SIM","NÃO"))</f>
      </c>
      <c r="P701" s="232">
        <f>IF($A701="","",$A701-WEEKDAY($A701,2)+5)</f>
      </c>
    </row>
    <row r="702">
      <c r="A702" s="220" t="n"/>
      <c r="B702" s="218" t="n"/>
      <c r="C702" s="218" t="n"/>
      <c r="D702" s="218" t="n"/>
      <c r="E702" s="218" t="n"/>
      <c r="F702" s="328" t="n"/>
      <c r="G702" s="218" t="n"/>
      <c r="H702" s="218" t="n"/>
      <c r="I702" s="218" t="n"/>
      <c r="J702" s="218" t="n"/>
      <c r="K702" s="218" t="n"/>
      <c r="L702" s="218" t="n"/>
      <c r="M702" s="218" t="n"/>
      <c r="N702" s="218" t="n"/>
      <c r="O702" s="222">
        <f>IF($A702="","",IF(IF($B702="343",NETWORKDAYS($A702,$A702,FERIADOS_343),IF($B702="281",NETWORKDAYS($A702,$A702,FERIADOS_281),NETWORKDAYS($A702,$A702,FERIADOS_342)))=1,"SIM","NÃO"))</f>
      </c>
      <c r="P702" s="232">
        <f>IF($A702="","",$A702-WEEKDAY($A702,2)+5)</f>
      </c>
    </row>
    <row r="703">
      <c r="A703" s="220" t="n"/>
      <c r="B703" s="218" t="n"/>
      <c r="C703" s="218" t="n"/>
      <c r="D703" s="218" t="n"/>
      <c r="E703" s="218" t="n"/>
      <c r="F703" s="328" t="n"/>
      <c r="G703" s="218" t="n"/>
      <c r="H703" s="218" t="n"/>
      <c r="I703" s="218" t="n"/>
      <c r="J703" s="218" t="n"/>
      <c r="K703" s="218" t="n"/>
      <c r="L703" s="218" t="n"/>
      <c r="M703" s="218" t="n"/>
      <c r="N703" s="218" t="n"/>
      <c r="O703" s="222">
        <f>IF($A703="","",IF(IF($B703="343",NETWORKDAYS($A703,$A703,FERIADOS_343),IF($B703="281",NETWORKDAYS($A703,$A703,FERIADOS_281),NETWORKDAYS($A703,$A703,FERIADOS_342)))=1,"SIM","NÃO"))</f>
      </c>
      <c r="P703" s="232">
        <f>IF($A703="","",$A703-WEEKDAY($A703,2)+5)</f>
      </c>
    </row>
    <row r="704">
      <c r="A704" s="220" t="n"/>
      <c r="B704" s="218" t="n"/>
      <c r="C704" s="218" t="n"/>
      <c r="D704" s="218" t="n"/>
      <c r="E704" s="218" t="n"/>
      <c r="F704" s="328" t="n"/>
      <c r="G704" s="218" t="n"/>
      <c r="H704" s="218" t="n"/>
      <c r="I704" s="218" t="n"/>
      <c r="J704" s="218" t="n"/>
      <c r="K704" s="218" t="n"/>
      <c r="L704" s="218" t="n"/>
      <c r="M704" s="218" t="n"/>
      <c r="N704" s="218" t="n"/>
      <c r="O704" s="222">
        <f>IF($A704="","",IF(IF($B704="343",NETWORKDAYS($A704,$A704,FERIADOS_343),IF($B704="281",NETWORKDAYS($A704,$A704,FERIADOS_281),NETWORKDAYS($A704,$A704,FERIADOS_342)))=1,"SIM","NÃO"))</f>
      </c>
      <c r="P704" s="232">
        <f>IF($A704="","",$A704-WEEKDAY($A704,2)+5)</f>
      </c>
    </row>
    <row r="705">
      <c r="A705" s="220" t="n"/>
      <c r="B705" s="218" t="n"/>
      <c r="C705" s="218" t="n"/>
      <c r="D705" s="218" t="n"/>
      <c r="E705" s="218" t="n"/>
      <c r="F705" s="328" t="n"/>
      <c r="G705" s="218" t="n"/>
      <c r="H705" s="218" t="n"/>
      <c r="I705" s="218" t="n"/>
      <c r="J705" s="218" t="n"/>
      <c r="K705" s="218" t="n"/>
      <c r="L705" s="218" t="n"/>
      <c r="M705" s="218" t="n"/>
      <c r="N705" s="218" t="n"/>
      <c r="O705" s="222">
        <f>IF($A705="","",IF(IF($B705="343",NETWORKDAYS($A705,$A705,FERIADOS_343),IF($B705="281",NETWORKDAYS($A705,$A705,FERIADOS_281),NETWORKDAYS($A705,$A705,FERIADOS_342)))=1,"SIM","NÃO"))</f>
      </c>
      <c r="P705" s="232">
        <f>IF($A705="","",$A705-WEEKDAY($A705,2)+5)</f>
      </c>
    </row>
    <row r="706">
      <c r="A706" s="220" t="n"/>
      <c r="B706" s="218" t="n"/>
      <c r="C706" s="218" t="n"/>
      <c r="D706" s="218" t="n"/>
      <c r="E706" s="218" t="n"/>
      <c r="F706" s="328" t="n"/>
      <c r="G706" s="218" t="n"/>
      <c r="H706" s="218" t="n"/>
      <c r="I706" s="218" t="n"/>
      <c r="J706" s="218" t="n"/>
      <c r="K706" s="218" t="n"/>
      <c r="L706" s="218" t="n"/>
      <c r="M706" s="218" t="n"/>
      <c r="N706" s="218" t="n"/>
      <c r="O706" s="222">
        <f>IF($A706="","",IF(IF($B706="343",NETWORKDAYS($A706,$A706,FERIADOS_343),IF($B706="281",NETWORKDAYS($A706,$A706,FERIADOS_281),NETWORKDAYS($A706,$A706,FERIADOS_342)))=1,"SIM","NÃO"))</f>
      </c>
      <c r="P706" s="232">
        <f>IF($A706="","",$A706-WEEKDAY($A706,2)+5)</f>
      </c>
    </row>
    <row r="707">
      <c r="A707" s="220" t="n"/>
      <c r="B707" s="218" t="n"/>
      <c r="C707" s="218" t="n"/>
      <c r="D707" s="218" t="n"/>
      <c r="E707" s="218" t="n"/>
      <c r="F707" s="328" t="n"/>
      <c r="G707" s="218" t="n"/>
      <c r="H707" s="218" t="n"/>
      <c r="I707" s="218" t="n"/>
      <c r="J707" s="218" t="n"/>
      <c r="K707" s="218" t="n"/>
      <c r="L707" s="218" t="n"/>
      <c r="M707" s="218" t="n"/>
      <c r="N707" s="218" t="n"/>
      <c r="O707" s="222">
        <f>IF($A707="","",IF(IF($B707="343",NETWORKDAYS($A707,$A707,FERIADOS_343),IF($B707="281",NETWORKDAYS($A707,$A707,FERIADOS_281),NETWORKDAYS($A707,$A707,FERIADOS_342)))=1,"SIM","NÃO"))</f>
      </c>
      <c r="P707" s="232">
        <f>IF($A707="","",$A707-WEEKDAY($A707,2)+5)</f>
      </c>
    </row>
    <row r="708">
      <c r="A708" s="220" t="n"/>
      <c r="B708" s="218" t="n"/>
      <c r="C708" s="218" t="n"/>
      <c r="D708" s="218" t="n"/>
      <c r="E708" s="218" t="n"/>
      <c r="F708" s="328" t="n"/>
      <c r="G708" s="218" t="n"/>
      <c r="H708" s="218" t="n"/>
      <c r="I708" s="218" t="n"/>
      <c r="J708" s="218" t="n"/>
      <c r="K708" s="218" t="n"/>
      <c r="L708" s="218" t="n"/>
      <c r="M708" s="218" t="n"/>
      <c r="N708" s="218" t="n"/>
      <c r="O708" s="222">
        <f>IF($A708="","",IF(IF($B708="343",NETWORKDAYS($A708,$A708,FERIADOS_343),IF($B708="281",NETWORKDAYS($A708,$A708,FERIADOS_281),NETWORKDAYS($A708,$A708,FERIADOS_342)))=1,"SIM","NÃO"))</f>
      </c>
      <c r="P708" s="232">
        <f>IF($A708="","",$A708-WEEKDAY($A708,2)+5)</f>
      </c>
    </row>
    <row r="709">
      <c r="A709" s="220" t="n"/>
      <c r="B709" s="218" t="n"/>
      <c r="C709" s="218" t="n"/>
      <c r="D709" s="218" t="n"/>
      <c r="E709" s="218" t="n"/>
      <c r="F709" s="328" t="n"/>
      <c r="G709" s="218" t="n"/>
      <c r="H709" s="218" t="n"/>
      <c r="I709" s="218" t="n"/>
      <c r="J709" s="218" t="n"/>
      <c r="K709" s="218" t="n"/>
      <c r="L709" s="218" t="n"/>
      <c r="M709" s="218" t="n"/>
      <c r="N709" s="218" t="n"/>
      <c r="O709" s="222">
        <f>IF($A709="","",IF(IF($B709="343",NETWORKDAYS($A709,$A709,FERIADOS_343),IF($B709="281",NETWORKDAYS($A709,$A709,FERIADOS_281),NETWORKDAYS($A709,$A709,FERIADOS_342)))=1,"SIM","NÃO"))</f>
      </c>
      <c r="P709" s="232">
        <f>IF($A709="","",$A709-WEEKDAY($A709,2)+5)</f>
      </c>
    </row>
    <row r="710">
      <c r="A710" s="220" t="n"/>
      <c r="B710" s="218" t="n"/>
      <c r="C710" s="218" t="n"/>
      <c r="D710" s="218" t="n"/>
      <c r="E710" s="218" t="n"/>
      <c r="F710" s="328" t="n"/>
      <c r="G710" s="218" t="n"/>
      <c r="H710" s="218" t="n"/>
      <c r="I710" s="218" t="n"/>
      <c r="J710" s="218" t="n"/>
      <c r="K710" s="218" t="n"/>
      <c r="L710" s="218" t="n"/>
      <c r="M710" s="218" t="n"/>
      <c r="N710" s="218" t="n"/>
      <c r="O710" s="222">
        <f>IF($A710="","",IF(IF($B710="343",NETWORKDAYS($A710,$A710,FERIADOS_343),IF($B710="281",NETWORKDAYS($A710,$A710,FERIADOS_281),NETWORKDAYS($A710,$A710,FERIADOS_342)))=1,"SIM","NÃO"))</f>
      </c>
      <c r="P710" s="232">
        <f>IF($A710="","",$A710-WEEKDAY($A710,2)+5)</f>
      </c>
    </row>
    <row r="711">
      <c r="A711" s="220" t="n"/>
      <c r="B711" s="218" t="n"/>
      <c r="C711" s="218" t="n"/>
      <c r="D711" s="218" t="n"/>
      <c r="E711" s="218" t="n"/>
      <c r="F711" s="328" t="n"/>
      <c r="G711" s="218" t="n"/>
      <c r="H711" s="218" t="n"/>
      <c r="I711" s="218" t="n"/>
      <c r="J711" s="218" t="n"/>
      <c r="K711" s="218" t="n"/>
      <c r="L711" s="218" t="n"/>
      <c r="M711" s="218" t="n"/>
      <c r="N711" s="218" t="n"/>
      <c r="O711" s="222">
        <f>IF($A711="","",IF(IF($B711="343",NETWORKDAYS($A711,$A711,FERIADOS_343),IF($B711="281",NETWORKDAYS($A711,$A711,FERIADOS_281),NETWORKDAYS($A711,$A711,FERIADOS_342)))=1,"SIM","NÃO"))</f>
      </c>
      <c r="P711" s="232">
        <f>IF($A711="","",$A711-WEEKDAY($A711,2)+5)</f>
      </c>
    </row>
    <row r="712">
      <c r="A712" s="220" t="n"/>
      <c r="B712" s="218" t="n"/>
      <c r="C712" s="218" t="n"/>
      <c r="D712" s="218" t="n"/>
      <c r="E712" s="218" t="n"/>
      <c r="F712" s="328" t="n"/>
      <c r="G712" s="218" t="n"/>
      <c r="H712" s="218" t="n"/>
      <c r="I712" s="218" t="n"/>
      <c r="J712" s="218" t="n"/>
      <c r="K712" s="218" t="n"/>
      <c r="L712" s="218" t="n"/>
      <c r="M712" s="218" t="n"/>
      <c r="N712" s="218" t="n"/>
      <c r="O712" s="222">
        <f>IF($A712="","",IF(IF($B712="343",NETWORKDAYS($A712,$A712,FERIADOS_343),IF($B712="281",NETWORKDAYS($A712,$A712,FERIADOS_281),NETWORKDAYS($A712,$A712,FERIADOS_342)))=1,"SIM","NÃO"))</f>
      </c>
      <c r="P712" s="232">
        <f>IF($A712="","",$A712-WEEKDAY($A712,2)+5)</f>
      </c>
    </row>
    <row r="713">
      <c r="A713" s="220" t="n"/>
      <c r="B713" s="218" t="n"/>
      <c r="C713" s="218" t="n"/>
      <c r="D713" s="218" t="n"/>
      <c r="E713" s="218" t="n"/>
      <c r="F713" s="328" t="n"/>
      <c r="G713" s="218" t="n"/>
      <c r="H713" s="218" t="n"/>
      <c r="I713" s="218" t="n"/>
      <c r="J713" s="218" t="n"/>
      <c r="K713" s="218" t="n"/>
      <c r="L713" s="218" t="n"/>
      <c r="M713" s="218" t="n"/>
      <c r="N713" s="218" t="n"/>
      <c r="O713" s="222">
        <f>IF($A713="","",IF(IF($B713="343",NETWORKDAYS($A713,$A713,FERIADOS_343),IF($B713="281",NETWORKDAYS($A713,$A713,FERIADOS_281),NETWORKDAYS($A713,$A713,FERIADOS_342)))=1,"SIM","NÃO"))</f>
      </c>
      <c r="P713" s="232">
        <f>IF($A713="","",$A713-WEEKDAY($A713,2)+5)</f>
      </c>
    </row>
    <row r="714">
      <c r="A714" s="220" t="n"/>
      <c r="B714" s="218" t="n"/>
      <c r="C714" s="218" t="n"/>
      <c r="D714" s="218" t="n"/>
      <c r="E714" s="218" t="n"/>
      <c r="F714" s="328" t="n"/>
      <c r="G714" s="218" t="n"/>
      <c r="H714" s="218" t="n"/>
      <c r="I714" s="218" t="n"/>
      <c r="J714" s="218" t="n"/>
      <c r="K714" s="218" t="n"/>
      <c r="L714" s="218" t="n"/>
      <c r="M714" s="218" t="n"/>
      <c r="N714" s="218" t="n"/>
      <c r="O714" s="222">
        <f>IF($A714="","",IF(IF($B714="343",NETWORKDAYS($A714,$A714,FERIADOS_343),IF($B714="281",NETWORKDAYS($A714,$A714,FERIADOS_281),NETWORKDAYS($A714,$A714,FERIADOS_342)))=1,"SIM","NÃO"))</f>
      </c>
      <c r="P714" s="232">
        <f>IF($A714="","",$A714-WEEKDAY($A714,2)+5)</f>
      </c>
    </row>
    <row r="715">
      <c r="A715" s="220" t="n"/>
      <c r="B715" s="218" t="n"/>
      <c r="C715" s="218" t="n"/>
      <c r="D715" s="218" t="n"/>
      <c r="E715" s="218" t="n"/>
      <c r="F715" s="328" t="n"/>
      <c r="G715" s="218" t="n"/>
      <c r="H715" s="218" t="n"/>
      <c r="I715" s="218" t="n"/>
      <c r="J715" s="218" t="n"/>
      <c r="K715" s="218" t="n"/>
      <c r="L715" s="218" t="n"/>
      <c r="M715" s="218" t="n"/>
      <c r="N715" s="218" t="n"/>
      <c r="O715" s="222">
        <f>IF($A715="","",IF(IF($B715="343",NETWORKDAYS($A715,$A715,FERIADOS_343),IF($B715="281",NETWORKDAYS($A715,$A715,FERIADOS_281),NETWORKDAYS($A715,$A715,FERIADOS_342)))=1,"SIM","NÃO"))</f>
      </c>
      <c r="P715" s="232">
        <f>IF($A715="","",$A715-WEEKDAY($A715,2)+5)</f>
      </c>
    </row>
    <row r="716">
      <c r="A716" s="220" t="n"/>
      <c r="B716" s="218" t="n"/>
      <c r="C716" s="218" t="n"/>
      <c r="D716" s="218" t="n"/>
      <c r="E716" s="218" t="n"/>
      <c r="F716" s="328" t="n"/>
      <c r="G716" s="218" t="n"/>
      <c r="H716" s="218" t="n"/>
      <c r="I716" s="218" t="n"/>
      <c r="J716" s="218" t="n"/>
      <c r="K716" s="218" t="n"/>
      <c r="L716" s="218" t="n"/>
      <c r="M716" s="218" t="n"/>
      <c r="N716" s="218" t="n"/>
      <c r="O716" s="222">
        <f>IF($A716="","",IF(IF($B716="343",NETWORKDAYS($A716,$A716,FERIADOS_343),IF($B716="281",NETWORKDAYS($A716,$A716,FERIADOS_281),NETWORKDAYS($A716,$A716,FERIADOS_342)))=1,"SIM","NÃO"))</f>
      </c>
      <c r="P716" s="232">
        <f>IF($A716="","",$A716-WEEKDAY($A716,2)+5)</f>
      </c>
    </row>
    <row r="717">
      <c r="A717" s="220" t="n"/>
      <c r="B717" s="218" t="n"/>
      <c r="C717" s="218" t="n"/>
      <c r="D717" s="218" t="n"/>
      <c r="E717" s="218" t="n"/>
      <c r="F717" s="328" t="n"/>
      <c r="G717" s="218" t="n"/>
      <c r="H717" s="218" t="n"/>
      <c r="I717" s="218" t="n"/>
      <c r="J717" s="218" t="n"/>
      <c r="K717" s="218" t="n"/>
      <c r="L717" s="218" t="n"/>
      <c r="M717" s="218" t="n"/>
      <c r="N717" s="218" t="n"/>
      <c r="O717" s="222">
        <f>IF($A717="","",IF(IF($B717="343",NETWORKDAYS($A717,$A717,FERIADOS_343),IF($B717="281",NETWORKDAYS($A717,$A717,FERIADOS_281),NETWORKDAYS($A717,$A717,FERIADOS_342)))=1,"SIM","NÃO"))</f>
      </c>
      <c r="P717" s="232">
        <f>IF($A717="","",$A717-WEEKDAY($A717,2)+5)</f>
      </c>
    </row>
    <row r="718">
      <c r="A718" s="220" t="n"/>
      <c r="B718" s="218" t="n"/>
      <c r="C718" s="218" t="n"/>
      <c r="D718" s="218" t="n"/>
      <c r="E718" s="218" t="n"/>
      <c r="F718" s="328" t="n"/>
      <c r="G718" s="218" t="n"/>
      <c r="H718" s="218" t="n"/>
      <c r="I718" s="218" t="n"/>
      <c r="J718" s="218" t="n"/>
      <c r="K718" s="218" t="n"/>
      <c r="L718" s="218" t="n"/>
      <c r="M718" s="218" t="n"/>
      <c r="N718" s="218" t="n"/>
      <c r="O718" s="222">
        <f>IF($A718="","",IF(IF($B718="343",NETWORKDAYS($A718,$A718,FERIADOS_343),IF($B718="281",NETWORKDAYS($A718,$A718,FERIADOS_281),NETWORKDAYS($A718,$A718,FERIADOS_342)))=1,"SIM","NÃO"))</f>
      </c>
      <c r="P718" s="232">
        <f>IF($A718="","",$A718-WEEKDAY($A718,2)+5)</f>
      </c>
    </row>
    <row r="719">
      <c r="A719" s="220" t="n"/>
      <c r="B719" s="218" t="n"/>
      <c r="C719" s="218" t="n"/>
      <c r="D719" s="218" t="n"/>
      <c r="E719" s="218" t="n"/>
      <c r="F719" s="328" t="n"/>
      <c r="G719" s="218" t="n"/>
      <c r="H719" s="218" t="n"/>
      <c r="I719" s="218" t="n"/>
      <c r="J719" s="218" t="n"/>
      <c r="K719" s="218" t="n"/>
      <c r="L719" s="218" t="n"/>
      <c r="M719" s="218" t="n"/>
      <c r="N719" s="218" t="n"/>
      <c r="O719" s="222">
        <f>IF($A719="","",IF(IF($B719="343",NETWORKDAYS($A719,$A719,FERIADOS_343),IF($B719="281",NETWORKDAYS($A719,$A719,FERIADOS_281),NETWORKDAYS($A719,$A719,FERIADOS_342)))=1,"SIM","NÃO"))</f>
      </c>
      <c r="P719" s="232">
        <f>IF($A719="","",$A719-WEEKDAY($A719,2)+5)</f>
      </c>
    </row>
    <row r="720">
      <c r="A720" s="220" t="n"/>
      <c r="B720" s="218" t="n"/>
      <c r="C720" s="218" t="n"/>
      <c r="D720" s="218" t="n"/>
      <c r="E720" s="218" t="n"/>
      <c r="F720" s="328" t="n"/>
      <c r="G720" s="218" t="n"/>
      <c r="H720" s="218" t="n"/>
      <c r="I720" s="218" t="n"/>
      <c r="J720" s="218" t="n"/>
      <c r="K720" s="218" t="n"/>
      <c r="L720" s="218" t="n"/>
      <c r="M720" s="218" t="n"/>
      <c r="N720" s="218" t="n"/>
      <c r="O720" s="222">
        <f>IF($A720="","",IF(IF($B720="343",NETWORKDAYS($A720,$A720,FERIADOS_343),IF($B720="281",NETWORKDAYS($A720,$A720,FERIADOS_281),NETWORKDAYS($A720,$A720,FERIADOS_342)))=1,"SIM","NÃO"))</f>
      </c>
      <c r="P720" s="232">
        <f>IF($A720="","",$A720-WEEKDAY($A720,2)+5)</f>
      </c>
    </row>
    <row r="721">
      <c r="A721" s="220" t="n"/>
      <c r="B721" s="218" t="n"/>
      <c r="C721" s="218" t="n"/>
      <c r="D721" s="218" t="n"/>
      <c r="E721" s="218" t="n"/>
      <c r="F721" s="328" t="n"/>
      <c r="G721" s="218" t="n"/>
      <c r="H721" s="218" t="n"/>
      <c r="I721" s="218" t="n"/>
      <c r="J721" s="218" t="n"/>
      <c r="K721" s="218" t="n"/>
      <c r="L721" s="218" t="n"/>
      <c r="M721" s="218" t="n"/>
      <c r="N721" s="218" t="n"/>
      <c r="O721" s="222">
        <f>IF($A721="","",IF(IF($B721="343",NETWORKDAYS($A721,$A721,FERIADOS_343),IF($B721="281",NETWORKDAYS($A721,$A721,FERIADOS_281),NETWORKDAYS($A721,$A721,FERIADOS_342)))=1,"SIM","NÃO"))</f>
      </c>
      <c r="P721" s="232">
        <f>IF($A721="","",$A721-WEEKDAY($A721,2)+5)</f>
      </c>
    </row>
    <row r="722">
      <c r="A722" s="220" t="n"/>
      <c r="B722" s="218" t="n"/>
      <c r="C722" s="218" t="n"/>
      <c r="D722" s="218" t="n"/>
      <c r="E722" s="218" t="n"/>
      <c r="F722" s="328" t="n"/>
      <c r="G722" s="218" t="n"/>
      <c r="H722" s="218" t="n"/>
      <c r="I722" s="218" t="n"/>
      <c r="J722" s="218" t="n"/>
      <c r="K722" s="218" t="n"/>
      <c r="L722" s="218" t="n"/>
      <c r="M722" s="218" t="n"/>
      <c r="N722" s="218" t="n"/>
      <c r="O722" s="222">
        <f>IF($A722="","",IF(IF($B722="343",NETWORKDAYS($A722,$A722,FERIADOS_343),IF($B722="281",NETWORKDAYS($A722,$A722,FERIADOS_281),NETWORKDAYS($A722,$A722,FERIADOS_342)))=1,"SIM","NÃO"))</f>
      </c>
      <c r="P722" s="232">
        <f>IF($A722="","",$A722-WEEKDAY($A722,2)+5)</f>
      </c>
    </row>
    <row r="723">
      <c r="A723" s="220" t="n"/>
      <c r="B723" s="218" t="n"/>
      <c r="C723" s="218" t="n"/>
      <c r="D723" s="218" t="n"/>
      <c r="E723" s="218" t="n"/>
      <c r="F723" s="328" t="n"/>
      <c r="G723" s="218" t="n"/>
      <c r="H723" s="218" t="n"/>
      <c r="I723" s="218" t="n"/>
      <c r="J723" s="218" t="n"/>
      <c r="K723" s="218" t="n"/>
      <c r="L723" s="218" t="n"/>
      <c r="M723" s="218" t="n"/>
      <c r="N723" s="218" t="n"/>
      <c r="O723" s="222">
        <f>IF($A723="","",IF(IF($B723="343",NETWORKDAYS($A723,$A723,FERIADOS_343),IF($B723="281",NETWORKDAYS($A723,$A723,FERIADOS_281),NETWORKDAYS($A723,$A723,FERIADOS_342)))=1,"SIM","NÃO"))</f>
      </c>
      <c r="P723" s="232">
        <f>IF($A723="","",$A723-WEEKDAY($A723,2)+5)</f>
      </c>
    </row>
    <row r="724">
      <c r="A724" s="220" t="n"/>
      <c r="B724" s="218" t="n"/>
      <c r="C724" s="218" t="n"/>
      <c r="D724" s="218" t="n"/>
      <c r="E724" s="218" t="n"/>
      <c r="F724" s="328" t="n"/>
      <c r="G724" s="218" t="n"/>
      <c r="H724" s="218" t="n"/>
      <c r="I724" s="218" t="n"/>
      <c r="J724" s="218" t="n"/>
      <c r="K724" s="218" t="n"/>
      <c r="L724" s="218" t="n"/>
      <c r="M724" s="218" t="n"/>
      <c r="N724" s="218" t="n"/>
      <c r="O724" s="222">
        <f>IF($A724="","",IF(IF($B724="343",NETWORKDAYS($A724,$A724,FERIADOS_343),IF($B724="281",NETWORKDAYS($A724,$A724,FERIADOS_281),NETWORKDAYS($A724,$A724,FERIADOS_342)))=1,"SIM","NÃO"))</f>
      </c>
      <c r="P724" s="232">
        <f>IF($A724="","",$A724-WEEKDAY($A724,2)+5)</f>
      </c>
    </row>
    <row r="725">
      <c r="A725" s="220" t="n"/>
      <c r="B725" s="218" t="n"/>
      <c r="C725" s="218" t="n"/>
      <c r="D725" s="218" t="n"/>
      <c r="E725" s="218" t="n"/>
      <c r="F725" s="328" t="n"/>
      <c r="G725" s="218" t="n"/>
      <c r="H725" s="218" t="n"/>
      <c r="I725" s="218" t="n"/>
      <c r="J725" s="218" t="n"/>
      <c r="K725" s="218" t="n"/>
      <c r="L725" s="218" t="n"/>
      <c r="M725" s="218" t="n"/>
      <c r="N725" s="218" t="n"/>
      <c r="O725" s="222">
        <f>IF($A725="","",IF(IF($B725="343",NETWORKDAYS($A725,$A725,FERIADOS_343),IF($B725="281",NETWORKDAYS($A725,$A725,FERIADOS_281),NETWORKDAYS($A725,$A725,FERIADOS_342)))=1,"SIM","NÃO"))</f>
      </c>
      <c r="P725" s="232">
        <f>IF($A725="","",$A725-WEEKDAY($A725,2)+5)</f>
      </c>
    </row>
    <row r="726">
      <c r="A726" s="220" t="n"/>
      <c r="B726" s="218" t="n"/>
      <c r="C726" s="218" t="n"/>
      <c r="D726" s="218" t="n"/>
      <c r="E726" s="218" t="n"/>
      <c r="F726" s="328" t="n"/>
      <c r="G726" s="218" t="n"/>
      <c r="H726" s="218" t="n"/>
      <c r="I726" s="218" t="n"/>
      <c r="J726" s="218" t="n"/>
      <c r="K726" s="218" t="n"/>
      <c r="L726" s="218" t="n"/>
      <c r="M726" s="218" t="n"/>
      <c r="N726" s="218" t="n"/>
      <c r="O726" s="222">
        <f>IF($A726="","",IF(IF($B726="343",NETWORKDAYS($A726,$A726,FERIADOS_343),IF($B726="281",NETWORKDAYS($A726,$A726,FERIADOS_281),NETWORKDAYS($A726,$A726,FERIADOS_342)))=1,"SIM","NÃO"))</f>
      </c>
      <c r="P726" s="232">
        <f>IF($A726="","",$A726-WEEKDAY($A726,2)+5)</f>
      </c>
    </row>
    <row r="727">
      <c r="A727" s="220" t="n"/>
      <c r="B727" s="218" t="n"/>
      <c r="C727" s="218" t="n"/>
      <c r="D727" s="218" t="n"/>
      <c r="E727" s="218" t="n"/>
      <c r="F727" s="328" t="n"/>
      <c r="G727" s="218" t="n"/>
      <c r="H727" s="218" t="n"/>
      <c r="I727" s="218" t="n"/>
      <c r="J727" s="218" t="n"/>
      <c r="K727" s="218" t="n"/>
      <c r="L727" s="218" t="n"/>
      <c r="M727" s="218" t="n"/>
      <c r="N727" s="218" t="n"/>
      <c r="O727" s="222">
        <f>IF($A727="","",IF(IF($B727="343",NETWORKDAYS($A727,$A727,FERIADOS_343),IF($B727="281",NETWORKDAYS($A727,$A727,FERIADOS_281),NETWORKDAYS($A727,$A727,FERIADOS_342)))=1,"SIM","NÃO"))</f>
      </c>
      <c r="P727" s="232">
        <f>IF($A727="","",$A727-WEEKDAY($A727,2)+5)</f>
      </c>
    </row>
    <row r="728">
      <c r="A728" s="220" t="n"/>
      <c r="B728" s="218" t="n"/>
      <c r="C728" s="218" t="n"/>
      <c r="D728" s="218" t="n"/>
      <c r="E728" s="218" t="n"/>
      <c r="F728" s="328" t="n"/>
      <c r="G728" s="218" t="n"/>
      <c r="H728" s="218" t="n"/>
      <c r="I728" s="218" t="n"/>
      <c r="J728" s="218" t="n"/>
      <c r="K728" s="218" t="n"/>
      <c r="L728" s="218" t="n"/>
      <c r="M728" s="218" t="n"/>
      <c r="N728" s="218" t="n"/>
      <c r="O728" s="222">
        <f>IF($A728="","",IF(IF($B728="343",NETWORKDAYS($A728,$A728,FERIADOS_343),IF($B728="281",NETWORKDAYS($A728,$A728,FERIADOS_281),NETWORKDAYS($A728,$A728,FERIADOS_342)))=1,"SIM","NÃO"))</f>
      </c>
      <c r="P728" s="232">
        <f>IF($A728="","",$A728-WEEKDAY($A728,2)+5)</f>
      </c>
    </row>
    <row r="729">
      <c r="A729" s="220" t="n"/>
      <c r="B729" s="218" t="n"/>
      <c r="C729" s="218" t="n"/>
      <c r="D729" s="218" t="n"/>
      <c r="E729" s="218" t="n"/>
      <c r="F729" s="328" t="n"/>
      <c r="G729" s="218" t="n"/>
      <c r="H729" s="218" t="n"/>
      <c r="I729" s="218" t="n"/>
      <c r="J729" s="218" t="n"/>
      <c r="K729" s="218" t="n"/>
      <c r="L729" s="218" t="n"/>
      <c r="M729" s="218" t="n"/>
      <c r="N729" s="218" t="n"/>
      <c r="O729" s="222">
        <f>IF($A729="","",IF(IF($B729="343",NETWORKDAYS($A729,$A729,FERIADOS_343),IF($B729="281",NETWORKDAYS($A729,$A729,FERIADOS_281),NETWORKDAYS($A729,$A729,FERIADOS_342)))=1,"SIM","NÃO"))</f>
      </c>
      <c r="P729" s="232">
        <f>IF($A729="","",$A729-WEEKDAY($A729,2)+5)</f>
      </c>
    </row>
    <row r="730">
      <c r="A730" s="220" t="n"/>
      <c r="B730" s="218" t="n"/>
      <c r="C730" s="218" t="n"/>
      <c r="D730" s="218" t="n"/>
      <c r="E730" s="218" t="n"/>
      <c r="F730" s="328" t="n"/>
      <c r="G730" s="218" t="n"/>
      <c r="H730" s="218" t="n"/>
      <c r="I730" s="218" t="n"/>
      <c r="J730" s="218" t="n"/>
      <c r="K730" s="218" t="n"/>
      <c r="L730" s="218" t="n"/>
      <c r="M730" s="218" t="n"/>
      <c r="N730" s="218" t="n"/>
      <c r="O730" s="222">
        <f>IF($A730="","",IF(IF($B730="343",NETWORKDAYS($A730,$A730,FERIADOS_343),IF($B730="281",NETWORKDAYS($A730,$A730,FERIADOS_281),NETWORKDAYS($A730,$A730,FERIADOS_342)))=1,"SIM","NÃO"))</f>
      </c>
      <c r="P730" s="232">
        <f>IF($A730="","",$A730-WEEKDAY($A730,2)+5)</f>
      </c>
    </row>
    <row r="731">
      <c r="A731" s="220" t="n"/>
      <c r="B731" s="218" t="n"/>
      <c r="C731" s="218" t="n"/>
      <c r="D731" s="218" t="n"/>
      <c r="E731" s="218" t="n"/>
      <c r="F731" s="328" t="n"/>
      <c r="G731" s="218" t="n"/>
      <c r="H731" s="218" t="n"/>
      <c r="I731" s="218" t="n"/>
      <c r="J731" s="218" t="n"/>
      <c r="K731" s="218" t="n"/>
      <c r="L731" s="218" t="n"/>
      <c r="M731" s="218" t="n"/>
      <c r="N731" s="218" t="n"/>
      <c r="O731" s="222">
        <f>IF($A731="","",IF(IF($B731="343",NETWORKDAYS($A731,$A731,FERIADOS_343),IF($B731="281",NETWORKDAYS($A731,$A731,FERIADOS_281),NETWORKDAYS($A731,$A731,FERIADOS_342)))=1,"SIM","NÃO"))</f>
      </c>
      <c r="P731" s="232">
        <f>IF($A731="","",$A731-WEEKDAY($A731,2)+5)</f>
      </c>
    </row>
    <row r="732">
      <c r="A732" s="220" t="n"/>
      <c r="B732" s="218" t="n"/>
      <c r="C732" s="218" t="n"/>
      <c r="D732" s="218" t="n"/>
      <c r="E732" s="218" t="n"/>
      <c r="F732" s="328" t="n"/>
      <c r="G732" s="218" t="n"/>
      <c r="H732" s="218" t="n"/>
      <c r="I732" s="218" t="n"/>
      <c r="J732" s="218" t="n"/>
      <c r="K732" s="218" t="n"/>
      <c r="L732" s="218" t="n"/>
      <c r="M732" s="218" t="n"/>
      <c r="N732" s="218" t="n"/>
      <c r="O732" s="222">
        <f>IF($A732="","",IF(IF($B732="343",NETWORKDAYS($A732,$A732,FERIADOS_343),IF($B732="281",NETWORKDAYS($A732,$A732,FERIADOS_281),NETWORKDAYS($A732,$A732,FERIADOS_342)))=1,"SIM","NÃO"))</f>
      </c>
      <c r="P732" s="232">
        <f>IF($A732="","",$A732-WEEKDAY($A732,2)+5)</f>
      </c>
    </row>
    <row r="733">
      <c r="A733" s="220" t="n"/>
      <c r="B733" s="218" t="n"/>
      <c r="C733" s="218" t="n"/>
      <c r="D733" s="218" t="n"/>
      <c r="E733" s="218" t="n"/>
      <c r="F733" s="328" t="n"/>
      <c r="G733" s="218" t="n"/>
      <c r="H733" s="218" t="n"/>
      <c r="I733" s="218" t="n"/>
      <c r="J733" s="218" t="n"/>
      <c r="K733" s="218" t="n"/>
      <c r="L733" s="218" t="n"/>
      <c r="M733" s="218" t="n"/>
      <c r="N733" s="218" t="n"/>
      <c r="O733" s="222">
        <f>IF($A733="","",IF(IF($B733="343",NETWORKDAYS($A733,$A733,FERIADOS_343),IF($B733="281",NETWORKDAYS($A733,$A733,FERIADOS_281),NETWORKDAYS($A733,$A733,FERIADOS_342)))=1,"SIM","NÃO"))</f>
      </c>
      <c r="P733" s="232">
        <f>IF($A733="","",$A733-WEEKDAY($A733,2)+5)</f>
      </c>
    </row>
    <row r="734">
      <c r="A734" s="220" t="n"/>
      <c r="B734" s="218" t="n"/>
      <c r="C734" s="218" t="n"/>
      <c r="D734" s="218" t="n"/>
      <c r="E734" s="218" t="n"/>
      <c r="F734" s="328" t="n"/>
      <c r="G734" s="218" t="n"/>
      <c r="H734" s="218" t="n"/>
      <c r="I734" s="218" t="n"/>
      <c r="J734" s="218" t="n"/>
      <c r="K734" s="218" t="n"/>
      <c r="L734" s="218" t="n"/>
      <c r="M734" s="218" t="n"/>
      <c r="N734" s="218" t="n"/>
      <c r="O734" s="222">
        <f>IF($A734="","",IF(IF($B734="343",NETWORKDAYS($A734,$A734,FERIADOS_343),IF($B734="281",NETWORKDAYS($A734,$A734,FERIADOS_281),NETWORKDAYS($A734,$A734,FERIADOS_342)))=1,"SIM","NÃO"))</f>
      </c>
      <c r="P734" s="232">
        <f>IF($A734="","",$A734-WEEKDAY($A734,2)+5)</f>
      </c>
    </row>
    <row r="735">
      <c r="A735" s="220" t="n"/>
      <c r="B735" s="218" t="n"/>
      <c r="C735" s="218" t="n"/>
      <c r="D735" s="218" t="n"/>
      <c r="E735" s="218" t="n"/>
      <c r="F735" s="328" t="n"/>
      <c r="G735" s="218" t="n"/>
      <c r="H735" s="218" t="n"/>
      <c r="I735" s="218" t="n"/>
      <c r="J735" s="218" t="n"/>
      <c r="K735" s="218" t="n"/>
      <c r="L735" s="218" t="n"/>
      <c r="M735" s="218" t="n"/>
      <c r="N735" s="218" t="n"/>
      <c r="O735" s="222">
        <f>IF($A735="","",IF(IF($B735="343",NETWORKDAYS($A735,$A735,FERIADOS_343),IF($B735="281",NETWORKDAYS($A735,$A735,FERIADOS_281),NETWORKDAYS($A735,$A735,FERIADOS_342)))=1,"SIM","NÃO"))</f>
      </c>
      <c r="P735" s="232">
        <f>IF($A735="","",$A735-WEEKDAY($A735,2)+5)</f>
      </c>
    </row>
    <row r="736">
      <c r="A736" s="220" t="n"/>
      <c r="B736" s="218" t="n"/>
      <c r="C736" s="218" t="n"/>
      <c r="D736" s="218" t="n"/>
      <c r="E736" s="218" t="n"/>
      <c r="F736" s="328" t="n"/>
      <c r="G736" s="218" t="n"/>
      <c r="H736" s="218" t="n"/>
      <c r="I736" s="218" t="n"/>
      <c r="J736" s="218" t="n"/>
      <c r="K736" s="218" t="n"/>
      <c r="L736" s="218" t="n"/>
      <c r="M736" s="218" t="n"/>
      <c r="N736" s="218" t="n"/>
      <c r="O736" s="222">
        <f>IF($A736="","",IF(IF($B736="343",NETWORKDAYS($A736,$A736,FERIADOS_343),IF($B736="281",NETWORKDAYS($A736,$A736,FERIADOS_281),NETWORKDAYS($A736,$A736,FERIADOS_342)))=1,"SIM","NÃO"))</f>
      </c>
      <c r="P736" s="232">
        <f>IF($A736="","",$A736-WEEKDAY($A736,2)+5)</f>
      </c>
    </row>
    <row r="737">
      <c r="A737" s="220" t="n"/>
      <c r="B737" s="218" t="n"/>
      <c r="C737" s="218" t="n"/>
      <c r="D737" s="218" t="n"/>
      <c r="E737" s="218" t="n"/>
      <c r="F737" s="328" t="n"/>
      <c r="G737" s="218" t="n"/>
      <c r="H737" s="218" t="n"/>
      <c r="I737" s="218" t="n"/>
      <c r="J737" s="218" t="n"/>
      <c r="K737" s="218" t="n"/>
      <c r="L737" s="218" t="n"/>
      <c r="M737" s="218" t="n"/>
      <c r="N737" s="218" t="n"/>
      <c r="O737" s="222">
        <f>IF($A737="","",IF(IF($B737="343",NETWORKDAYS($A737,$A737,FERIADOS_343),IF($B737="281",NETWORKDAYS($A737,$A737,FERIADOS_281),NETWORKDAYS($A737,$A737,FERIADOS_342)))=1,"SIM","NÃO"))</f>
      </c>
      <c r="P737" s="232">
        <f>IF($A737="","",$A737-WEEKDAY($A737,2)+5)</f>
      </c>
    </row>
    <row r="738">
      <c r="A738" s="220" t="n"/>
      <c r="B738" s="218" t="n"/>
      <c r="C738" s="218" t="n"/>
      <c r="D738" s="218" t="n"/>
      <c r="E738" s="218" t="n"/>
      <c r="F738" s="328" t="n"/>
      <c r="G738" s="218" t="n"/>
      <c r="H738" s="218" t="n"/>
      <c r="I738" s="218" t="n"/>
      <c r="J738" s="218" t="n"/>
      <c r="K738" s="218" t="n"/>
      <c r="L738" s="218" t="n"/>
      <c r="M738" s="218" t="n"/>
      <c r="N738" s="218" t="n"/>
      <c r="O738" s="222">
        <f>IF($A738="","",IF(IF($B738="343",NETWORKDAYS($A738,$A738,FERIADOS_343),IF($B738="281",NETWORKDAYS($A738,$A738,FERIADOS_281),NETWORKDAYS($A738,$A738,FERIADOS_342)))=1,"SIM","NÃO"))</f>
      </c>
      <c r="P738" s="232">
        <f>IF($A738="","",$A738-WEEKDAY($A738,2)+5)</f>
      </c>
    </row>
    <row r="739">
      <c r="A739" s="220" t="n"/>
      <c r="B739" s="218" t="n"/>
      <c r="C739" s="218" t="n"/>
      <c r="D739" s="218" t="n"/>
      <c r="E739" s="218" t="n"/>
      <c r="F739" s="328" t="n"/>
      <c r="G739" s="218" t="n"/>
      <c r="H739" s="218" t="n"/>
      <c r="I739" s="218" t="n"/>
      <c r="J739" s="218" t="n"/>
      <c r="K739" s="218" t="n"/>
      <c r="L739" s="218" t="n"/>
      <c r="M739" s="218" t="n"/>
      <c r="N739" s="218" t="n"/>
      <c r="O739" s="222">
        <f>IF($A739="","",IF(IF($B739="343",NETWORKDAYS($A739,$A739,FERIADOS_343),IF($B739="281",NETWORKDAYS($A739,$A739,FERIADOS_281),NETWORKDAYS($A739,$A739,FERIADOS_342)))=1,"SIM","NÃO"))</f>
      </c>
      <c r="P739" s="232">
        <f>IF($A739="","",$A739-WEEKDAY($A739,2)+5)</f>
      </c>
    </row>
    <row r="740">
      <c r="A740" s="220" t="n"/>
      <c r="B740" s="218" t="n"/>
      <c r="C740" s="218" t="n"/>
      <c r="D740" s="218" t="n"/>
      <c r="E740" s="218" t="n"/>
      <c r="F740" s="328" t="n"/>
      <c r="G740" s="218" t="n"/>
      <c r="H740" s="218" t="n"/>
      <c r="I740" s="218" t="n"/>
      <c r="J740" s="218" t="n"/>
      <c r="K740" s="218" t="n"/>
      <c r="L740" s="218" t="n"/>
      <c r="M740" s="218" t="n"/>
      <c r="N740" s="218" t="n"/>
      <c r="O740" s="222">
        <f>IF($A740="","",IF(IF($B740="343",NETWORKDAYS($A740,$A740,FERIADOS_343),IF($B740="281",NETWORKDAYS($A740,$A740,FERIADOS_281),NETWORKDAYS($A740,$A740,FERIADOS_342)))=1,"SIM","NÃO"))</f>
      </c>
      <c r="P740" s="232">
        <f>IF($A740="","",$A740-WEEKDAY($A740,2)+5)</f>
      </c>
    </row>
    <row r="741">
      <c r="A741" s="220" t="n"/>
      <c r="B741" s="218" t="n"/>
      <c r="C741" s="218" t="n"/>
      <c r="D741" s="218" t="n"/>
      <c r="E741" s="218" t="n"/>
      <c r="F741" s="328" t="n"/>
      <c r="G741" s="218" t="n"/>
      <c r="H741" s="218" t="n"/>
      <c r="I741" s="218" t="n"/>
      <c r="J741" s="218" t="n"/>
      <c r="K741" s="218" t="n"/>
      <c r="L741" s="218" t="n"/>
      <c r="M741" s="218" t="n"/>
      <c r="N741" s="218" t="n"/>
      <c r="O741" s="222">
        <f>IF($A741="","",IF(IF($B741="343",NETWORKDAYS($A741,$A741,FERIADOS_343),IF($B741="281",NETWORKDAYS($A741,$A741,FERIADOS_281),NETWORKDAYS($A741,$A741,FERIADOS_342)))=1,"SIM","NÃO"))</f>
      </c>
      <c r="P741" s="232">
        <f>IF($A741="","",$A741-WEEKDAY($A741,2)+5)</f>
      </c>
    </row>
    <row r="742">
      <c r="A742" s="220" t="n"/>
      <c r="B742" s="218" t="n"/>
      <c r="C742" s="218" t="n"/>
      <c r="D742" s="218" t="n"/>
      <c r="E742" s="218" t="n"/>
      <c r="F742" s="328" t="n"/>
      <c r="G742" s="218" t="n"/>
      <c r="H742" s="218" t="n"/>
      <c r="I742" s="218" t="n"/>
      <c r="J742" s="218" t="n"/>
      <c r="K742" s="218" t="n"/>
      <c r="L742" s="218" t="n"/>
      <c r="M742" s="218" t="n"/>
      <c r="N742" s="218" t="n"/>
      <c r="O742" s="222">
        <f>IF($A742="","",IF(IF($B742="343",NETWORKDAYS($A742,$A742,FERIADOS_343),IF($B742="281",NETWORKDAYS($A742,$A742,FERIADOS_281),NETWORKDAYS($A742,$A742,FERIADOS_342)))=1,"SIM","NÃO"))</f>
      </c>
      <c r="P742" s="232">
        <f>IF($A742="","",$A742-WEEKDAY($A742,2)+5)</f>
      </c>
    </row>
    <row r="743">
      <c r="A743" s="220" t="n"/>
      <c r="B743" s="218" t="n"/>
      <c r="C743" s="218" t="n"/>
      <c r="D743" s="218" t="n"/>
      <c r="E743" s="218" t="n"/>
      <c r="F743" s="328" t="n"/>
      <c r="G743" s="218" t="n"/>
      <c r="H743" s="218" t="n"/>
      <c r="I743" s="218" t="n"/>
      <c r="J743" s="218" t="n"/>
      <c r="K743" s="218" t="n"/>
      <c r="L743" s="218" t="n"/>
      <c r="M743" s="218" t="n"/>
      <c r="N743" s="218" t="n"/>
      <c r="O743" s="222">
        <f>IF($A743="","",IF(IF($B743="343",NETWORKDAYS($A743,$A743,FERIADOS_343),IF($B743="281",NETWORKDAYS($A743,$A743,FERIADOS_281),NETWORKDAYS($A743,$A743,FERIADOS_342)))=1,"SIM","NÃO"))</f>
      </c>
      <c r="P743" s="232">
        <f>IF($A743="","",$A743-WEEKDAY($A743,2)+5)</f>
      </c>
    </row>
    <row r="744">
      <c r="A744" s="220" t="n"/>
      <c r="B744" s="218" t="n"/>
      <c r="C744" s="218" t="n"/>
      <c r="D744" s="218" t="n"/>
      <c r="E744" s="218" t="n"/>
      <c r="F744" s="328" t="n"/>
      <c r="G744" s="218" t="n"/>
      <c r="H744" s="218" t="n"/>
      <c r="I744" s="218" t="n"/>
      <c r="J744" s="218" t="n"/>
      <c r="K744" s="218" t="n"/>
      <c r="L744" s="218" t="n"/>
      <c r="M744" s="218" t="n"/>
      <c r="N744" s="218" t="n"/>
      <c r="O744" s="222">
        <f>IF($A744="","",IF(IF($B744="343",NETWORKDAYS($A744,$A744,FERIADOS_343),IF($B744="281",NETWORKDAYS($A744,$A744,FERIADOS_281),NETWORKDAYS($A744,$A744,FERIADOS_342)))=1,"SIM","NÃO"))</f>
      </c>
      <c r="P744" s="232">
        <f>IF($A744="","",$A744-WEEKDAY($A744,2)+5)</f>
      </c>
    </row>
    <row r="745">
      <c r="A745" s="220" t="n"/>
      <c r="B745" s="218" t="n"/>
      <c r="C745" s="218" t="n"/>
      <c r="D745" s="218" t="n"/>
      <c r="E745" s="218" t="n"/>
      <c r="F745" s="328" t="n"/>
      <c r="G745" s="218" t="n"/>
      <c r="H745" s="218" t="n"/>
      <c r="I745" s="218" t="n"/>
      <c r="J745" s="218" t="n"/>
      <c r="K745" s="218" t="n"/>
      <c r="L745" s="218" t="n"/>
      <c r="M745" s="218" t="n"/>
      <c r="N745" s="218" t="n"/>
      <c r="O745" s="222">
        <f>IF($A745="","",IF(IF($B745="343",NETWORKDAYS($A745,$A745,FERIADOS_343),IF($B745="281",NETWORKDAYS($A745,$A745,FERIADOS_281),NETWORKDAYS($A745,$A745,FERIADOS_342)))=1,"SIM","NÃO"))</f>
      </c>
      <c r="P745" s="232">
        <f>IF($A745="","",$A745-WEEKDAY($A745,2)+5)</f>
      </c>
    </row>
    <row r="746">
      <c r="A746" s="220" t="n"/>
      <c r="B746" s="218" t="n"/>
      <c r="C746" s="218" t="n"/>
      <c r="D746" s="218" t="n"/>
      <c r="E746" s="218" t="n"/>
      <c r="F746" s="328" t="n"/>
      <c r="G746" s="218" t="n"/>
      <c r="H746" s="218" t="n"/>
      <c r="I746" s="218" t="n"/>
      <c r="J746" s="218" t="n"/>
      <c r="K746" s="218" t="n"/>
      <c r="L746" s="218" t="n"/>
      <c r="M746" s="218" t="n"/>
      <c r="N746" s="218" t="n"/>
      <c r="O746" s="222">
        <f>IF($A746="","",IF(IF($B746="343",NETWORKDAYS($A746,$A746,FERIADOS_343),IF($B746="281",NETWORKDAYS($A746,$A746,FERIADOS_281),NETWORKDAYS($A746,$A746,FERIADOS_342)))=1,"SIM","NÃO"))</f>
      </c>
      <c r="P746" s="232">
        <f>IF($A746="","",$A746-WEEKDAY($A746,2)+5)</f>
      </c>
    </row>
    <row r="747">
      <c r="A747" s="220" t="n"/>
      <c r="B747" s="218" t="n"/>
      <c r="C747" s="218" t="n"/>
      <c r="D747" s="218" t="n"/>
      <c r="E747" s="218" t="n"/>
      <c r="F747" s="328" t="n"/>
      <c r="G747" s="218" t="n"/>
      <c r="H747" s="218" t="n"/>
      <c r="I747" s="218" t="n"/>
      <c r="J747" s="218" t="n"/>
      <c r="K747" s="218" t="n"/>
      <c r="L747" s="218" t="n"/>
      <c r="M747" s="218" t="n"/>
      <c r="N747" s="218" t="n"/>
      <c r="O747" s="222">
        <f>IF($A747="","",IF(IF($B747="343",NETWORKDAYS($A747,$A747,FERIADOS_343),IF($B747="281",NETWORKDAYS($A747,$A747,FERIADOS_281),NETWORKDAYS($A747,$A747,FERIADOS_342)))=1,"SIM","NÃO"))</f>
      </c>
      <c r="P747" s="232">
        <f>IF($A747="","",$A747-WEEKDAY($A747,2)+5)</f>
      </c>
    </row>
    <row r="748">
      <c r="A748" s="220" t="n"/>
      <c r="B748" s="218" t="n"/>
      <c r="C748" s="218" t="n"/>
      <c r="D748" s="218" t="n"/>
      <c r="E748" s="218" t="n"/>
      <c r="F748" s="328" t="n"/>
      <c r="G748" s="218" t="n"/>
      <c r="H748" s="218" t="n"/>
      <c r="I748" s="218" t="n"/>
      <c r="J748" s="218" t="n"/>
      <c r="K748" s="218" t="n"/>
      <c r="L748" s="218" t="n"/>
      <c r="M748" s="218" t="n"/>
      <c r="N748" s="218" t="n"/>
      <c r="O748" s="222">
        <f>IF($A748="","",IF(IF($B748="343",NETWORKDAYS($A748,$A748,FERIADOS_343),IF($B748="281",NETWORKDAYS($A748,$A748,FERIADOS_281),NETWORKDAYS($A748,$A748,FERIADOS_342)))=1,"SIM","NÃO"))</f>
      </c>
      <c r="P748" s="232">
        <f>IF($A748="","",$A748-WEEKDAY($A748,2)+5)</f>
      </c>
    </row>
    <row r="749">
      <c r="A749" s="220" t="n"/>
      <c r="B749" s="218" t="n"/>
      <c r="C749" s="218" t="n"/>
      <c r="D749" s="218" t="n"/>
      <c r="E749" s="218" t="n"/>
      <c r="F749" s="328" t="n"/>
      <c r="G749" s="218" t="n"/>
      <c r="H749" s="218" t="n"/>
      <c r="I749" s="218" t="n"/>
      <c r="J749" s="218" t="n"/>
      <c r="K749" s="218" t="n"/>
      <c r="L749" s="218" t="n"/>
      <c r="M749" s="218" t="n"/>
      <c r="N749" s="218" t="n"/>
      <c r="O749" s="222">
        <f>IF($A749="","",IF(IF($B749="343",NETWORKDAYS($A749,$A749,FERIADOS_343),IF($B749="281",NETWORKDAYS($A749,$A749,FERIADOS_281),NETWORKDAYS($A749,$A749,FERIADOS_342)))=1,"SIM","NÃO"))</f>
      </c>
      <c r="P749" s="232">
        <f>IF($A749="","",$A749-WEEKDAY($A749,2)+5)</f>
      </c>
    </row>
    <row r="750">
      <c r="A750" s="220" t="n"/>
      <c r="B750" s="218" t="n"/>
      <c r="C750" s="218" t="n"/>
      <c r="D750" s="218" t="n"/>
      <c r="E750" s="218" t="n"/>
      <c r="F750" s="328" t="n"/>
      <c r="G750" s="218" t="n"/>
      <c r="H750" s="218" t="n"/>
      <c r="I750" s="218" t="n"/>
      <c r="J750" s="218" t="n"/>
      <c r="K750" s="218" t="n"/>
      <c r="L750" s="218" t="n"/>
      <c r="M750" s="218" t="n"/>
      <c r="N750" s="218" t="n"/>
      <c r="O750" s="222">
        <f>IF($A750="","",IF(IF($B750="343",NETWORKDAYS($A750,$A750,FERIADOS_343),IF($B750="281",NETWORKDAYS($A750,$A750,FERIADOS_281),NETWORKDAYS($A750,$A750,FERIADOS_342)))=1,"SIM","NÃO"))</f>
      </c>
      <c r="P750" s="232">
        <f>IF($A750="","",$A750-WEEKDAY($A750,2)+5)</f>
      </c>
    </row>
    <row r="751">
      <c r="A751" s="220" t="n"/>
      <c r="B751" s="218" t="n"/>
      <c r="C751" s="218" t="n"/>
      <c r="D751" s="218" t="n"/>
      <c r="E751" s="218" t="n"/>
      <c r="F751" s="328" t="n"/>
      <c r="G751" s="218" t="n"/>
      <c r="H751" s="218" t="n"/>
      <c r="I751" s="218" t="n"/>
      <c r="J751" s="218" t="n"/>
      <c r="K751" s="218" t="n"/>
      <c r="L751" s="218" t="n"/>
      <c r="M751" s="218" t="n"/>
      <c r="N751" s="218" t="n"/>
      <c r="O751" s="222">
        <f>IF($A751="","",IF(IF($B751="343",NETWORKDAYS($A751,$A751,FERIADOS_343),IF($B751="281",NETWORKDAYS($A751,$A751,FERIADOS_281),NETWORKDAYS($A751,$A751,FERIADOS_342)))=1,"SIM","NÃO"))</f>
      </c>
      <c r="P751" s="232">
        <f>IF($A751="","",$A751-WEEKDAY($A751,2)+5)</f>
      </c>
    </row>
    <row r="752">
      <c r="A752" s="220" t="n"/>
      <c r="B752" s="218" t="n"/>
      <c r="C752" s="218" t="n"/>
      <c r="D752" s="218" t="n"/>
      <c r="E752" s="218" t="n"/>
      <c r="F752" s="328" t="n"/>
      <c r="G752" s="218" t="n"/>
      <c r="H752" s="218" t="n"/>
      <c r="I752" s="218" t="n"/>
      <c r="J752" s="218" t="n"/>
      <c r="K752" s="218" t="n"/>
      <c r="L752" s="218" t="n"/>
      <c r="M752" s="218" t="n"/>
      <c r="N752" s="218" t="n"/>
      <c r="O752" s="222">
        <f>IF($A752="","",IF(IF($B752="343",NETWORKDAYS($A752,$A752,FERIADOS_343),IF($B752="281",NETWORKDAYS($A752,$A752,FERIADOS_281),NETWORKDAYS($A752,$A752,FERIADOS_342)))=1,"SIM","NÃO"))</f>
      </c>
      <c r="P752" s="232">
        <f>IF($A752="","",$A752-WEEKDAY($A752,2)+5)</f>
      </c>
    </row>
    <row r="753">
      <c r="A753" s="220" t="n"/>
      <c r="B753" s="218" t="n"/>
      <c r="C753" s="218" t="n"/>
      <c r="D753" s="218" t="n"/>
      <c r="E753" s="218" t="n"/>
      <c r="F753" s="328" t="n"/>
      <c r="G753" s="218" t="n"/>
      <c r="H753" s="218" t="n"/>
      <c r="I753" s="218" t="n"/>
      <c r="J753" s="218" t="n"/>
      <c r="K753" s="218" t="n"/>
      <c r="L753" s="218" t="n"/>
      <c r="M753" s="218" t="n"/>
      <c r="N753" s="218" t="n"/>
      <c r="O753" s="222">
        <f>IF($A753="","",IF(IF($B753="343",NETWORKDAYS($A753,$A753,FERIADOS_343),IF($B753="281",NETWORKDAYS($A753,$A753,FERIADOS_281),NETWORKDAYS($A753,$A753,FERIADOS_342)))=1,"SIM","NÃO"))</f>
      </c>
      <c r="P753" s="232">
        <f>IF($A753="","",$A753-WEEKDAY($A753,2)+5)</f>
      </c>
    </row>
    <row r="754">
      <c r="A754" s="220" t="n"/>
      <c r="B754" s="218" t="n"/>
      <c r="C754" s="218" t="n"/>
      <c r="D754" s="218" t="n"/>
      <c r="E754" s="218" t="n"/>
      <c r="F754" s="328" t="n"/>
      <c r="G754" s="218" t="n"/>
      <c r="H754" s="218" t="n"/>
      <c r="I754" s="218" t="n"/>
      <c r="J754" s="218" t="n"/>
      <c r="K754" s="218" t="n"/>
      <c r="L754" s="218" t="n"/>
      <c r="M754" s="218" t="n"/>
      <c r="N754" s="218" t="n"/>
      <c r="O754" s="222">
        <f>IF($A754="","",IF(IF($B754="343",NETWORKDAYS($A754,$A754,FERIADOS_343),IF($B754="281",NETWORKDAYS($A754,$A754,FERIADOS_281),NETWORKDAYS($A754,$A754,FERIADOS_342)))=1,"SIM","NÃO"))</f>
      </c>
      <c r="P754" s="232">
        <f>IF($A754="","",$A754-WEEKDAY($A754,2)+5)</f>
      </c>
    </row>
    <row r="755">
      <c r="A755" s="220" t="n"/>
      <c r="B755" s="218" t="n"/>
      <c r="C755" s="218" t="n"/>
      <c r="D755" s="218" t="n"/>
      <c r="E755" s="218" t="n"/>
      <c r="F755" s="328" t="n"/>
      <c r="G755" s="218" t="n"/>
      <c r="H755" s="218" t="n"/>
      <c r="I755" s="218" t="n"/>
      <c r="J755" s="218" t="n"/>
      <c r="K755" s="218" t="n"/>
      <c r="L755" s="218" t="n"/>
      <c r="M755" s="218" t="n"/>
      <c r="N755" s="218" t="n"/>
      <c r="O755" s="222">
        <f>IF($A755="","",IF(IF($B755="343",NETWORKDAYS($A755,$A755,FERIADOS_343),IF($B755="281",NETWORKDAYS($A755,$A755,FERIADOS_281),NETWORKDAYS($A755,$A755,FERIADOS_342)))=1,"SIM","NÃO"))</f>
      </c>
      <c r="P755" s="232">
        <f>IF($A755="","",$A755-WEEKDAY($A755,2)+5)</f>
      </c>
    </row>
    <row r="756">
      <c r="A756" s="220" t="n"/>
      <c r="B756" s="218" t="n"/>
      <c r="C756" s="218" t="n"/>
      <c r="D756" s="218" t="n"/>
      <c r="E756" s="218" t="n"/>
      <c r="F756" s="328" t="n"/>
      <c r="G756" s="218" t="n"/>
      <c r="H756" s="218" t="n"/>
      <c r="I756" s="218" t="n"/>
      <c r="J756" s="218" t="n"/>
      <c r="K756" s="218" t="n"/>
      <c r="L756" s="218" t="n"/>
      <c r="M756" s="218" t="n"/>
      <c r="N756" s="218" t="n"/>
      <c r="O756" s="222">
        <f>IF($A756="","",IF(IF($B756="343",NETWORKDAYS($A756,$A756,FERIADOS_343),IF($B756="281",NETWORKDAYS($A756,$A756,FERIADOS_281),NETWORKDAYS($A756,$A756,FERIADOS_342)))=1,"SIM","NÃO"))</f>
      </c>
      <c r="P756" s="232">
        <f>IF($A756="","",$A756-WEEKDAY($A756,2)+5)</f>
      </c>
    </row>
    <row r="757">
      <c r="A757" s="220" t="n"/>
      <c r="B757" s="218" t="n"/>
      <c r="C757" s="218" t="n"/>
      <c r="D757" s="218" t="n"/>
      <c r="E757" s="218" t="n"/>
      <c r="F757" s="328" t="n"/>
      <c r="G757" s="218" t="n"/>
      <c r="H757" s="218" t="n"/>
      <c r="I757" s="218" t="n"/>
      <c r="J757" s="218" t="n"/>
      <c r="K757" s="218" t="n"/>
      <c r="L757" s="218" t="n"/>
      <c r="M757" s="218" t="n"/>
      <c r="N757" s="218" t="n"/>
      <c r="O757" s="222">
        <f>IF($A757="","",IF(IF($B757="343",NETWORKDAYS($A757,$A757,FERIADOS_343),IF($B757="281",NETWORKDAYS($A757,$A757,FERIADOS_281),NETWORKDAYS($A757,$A757,FERIADOS_342)))=1,"SIM","NÃO"))</f>
      </c>
      <c r="P757" s="232">
        <f>IF($A757="","",$A757-WEEKDAY($A757,2)+5)</f>
      </c>
    </row>
    <row r="758">
      <c r="A758" s="220" t="n"/>
      <c r="B758" s="218" t="n"/>
      <c r="C758" s="218" t="n"/>
      <c r="D758" s="218" t="n"/>
      <c r="E758" s="218" t="n"/>
      <c r="F758" s="328" t="n"/>
      <c r="G758" s="218" t="n"/>
      <c r="H758" s="218" t="n"/>
      <c r="I758" s="218" t="n"/>
      <c r="J758" s="218" t="n"/>
      <c r="K758" s="218" t="n"/>
      <c r="L758" s="218" t="n"/>
      <c r="M758" s="218" t="n"/>
      <c r="N758" s="218" t="n"/>
      <c r="O758" s="222">
        <f>IF($A758="","",IF(IF($B758="343",NETWORKDAYS($A758,$A758,FERIADOS_343),IF($B758="281",NETWORKDAYS($A758,$A758,FERIADOS_281),NETWORKDAYS($A758,$A758,FERIADOS_342)))=1,"SIM","NÃO"))</f>
      </c>
      <c r="P758" s="232">
        <f>IF($A758="","",$A758-WEEKDAY($A758,2)+5)</f>
      </c>
    </row>
    <row r="759">
      <c r="A759" s="220" t="n"/>
      <c r="B759" s="218" t="n"/>
      <c r="C759" s="218" t="n"/>
      <c r="D759" s="218" t="n"/>
      <c r="E759" s="218" t="n"/>
      <c r="F759" s="328" t="n"/>
      <c r="G759" s="218" t="n"/>
      <c r="H759" s="218" t="n"/>
      <c r="I759" s="218" t="n"/>
      <c r="J759" s="218" t="n"/>
      <c r="K759" s="218" t="n"/>
      <c r="L759" s="218" t="n"/>
      <c r="M759" s="218" t="n"/>
      <c r="N759" s="218" t="n"/>
      <c r="O759" s="222">
        <f>IF($A759="","",IF(IF($B759="343",NETWORKDAYS($A759,$A759,FERIADOS_343),IF($B759="281",NETWORKDAYS($A759,$A759,FERIADOS_281),NETWORKDAYS($A759,$A759,FERIADOS_342)))=1,"SIM","NÃO"))</f>
      </c>
      <c r="P759" s="232">
        <f>IF($A759="","",$A759-WEEKDAY($A759,2)+5)</f>
      </c>
    </row>
    <row r="760">
      <c r="A760" s="220" t="n"/>
      <c r="B760" s="218" t="n"/>
      <c r="C760" s="218" t="n"/>
      <c r="D760" s="218" t="n"/>
      <c r="E760" s="218" t="n"/>
      <c r="F760" s="328" t="n"/>
      <c r="G760" s="218" t="n"/>
      <c r="H760" s="218" t="n"/>
      <c r="I760" s="218" t="n"/>
      <c r="J760" s="218" t="n"/>
      <c r="K760" s="218" t="n"/>
      <c r="L760" s="218" t="n"/>
      <c r="M760" s="218" t="n"/>
      <c r="N760" s="218" t="n"/>
      <c r="O760" s="222">
        <f>IF($A760="","",IF(IF($B760="343",NETWORKDAYS($A760,$A760,FERIADOS_343),IF($B760="281",NETWORKDAYS($A760,$A760,FERIADOS_281),NETWORKDAYS($A760,$A760,FERIADOS_342)))=1,"SIM","NÃO"))</f>
      </c>
      <c r="P760" s="232">
        <f>IF($A760="","",$A760-WEEKDAY($A760,2)+5)</f>
      </c>
    </row>
    <row r="761">
      <c r="A761" s="220" t="n"/>
      <c r="B761" s="218" t="n"/>
      <c r="C761" s="218" t="n"/>
      <c r="D761" s="218" t="n"/>
      <c r="E761" s="218" t="n"/>
      <c r="F761" s="328" t="n"/>
      <c r="G761" s="218" t="n"/>
      <c r="H761" s="218" t="n"/>
      <c r="I761" s="218" t="n"/>
      <c r="J761" s="218" t="n"/>
      <c r="K761" s="218" t="n"/>
      <c r="L761" s="218" t="n"/>
      <c r="M761" s="218" t="n"/>
      <c r="N761" s="218" t="n"/>
      <c r="O761" s="222">
        <f>IF($A761="","",IF(IF($B761="343",NETWORKDAYS($A761,$A761,FERIADOS_343),IF($B761="281",NETWORKDAYS($A761,$A761,FERIADOS_281),NETWORKDAYS($A761,$A761,FERIADOS_342)))=1,"SIM","NÃO"))</f>
      </c>
      <c r="P761" s="232">
        <f>IF($A761="","",$A761-WEEKDAY($A761,2)+5)</f>
      </c>
    </row>
    <row r="762">
      <c r="A762" s="220" t="n"/>
      <c r="B762" s="218" t="n"/>
      <c r="C762" s="218" t="n"/>
      <c r="D762" s="218" t="n"/>
      <c r="E762" s="218" t="n"/>
      <c r="F762" s="328" t="n"/>
      <c r="G762" s="218" t="n"/>
      <c r="H762" s="218" t="n"/>
      <c r="I762" s="218" t="n"/>
      <c r="J762" s="218" t="n"/>
      <c r="K762" s="218" t="n"/>
      <c r="L762" s="218" t="n"/>
      <c r="M762" s="218" t="n"/>
      <c r="N762" s="218" t="n"/>
      <c r="O762" s="222">
        <f>IF($A762="","",IF(IF($B762="343",NETWORKDAYS($A762,$A762,FERIADOS_343),IF($B762="281",NETWORKDAYS($A762,$A762,FERIADOS_281),NETWORKDAYS($A762,$A762,FERIADOS_342)))=1,"SIM","NÃO"))</f>
      </c>
      <c r="P762" s="232">
        <f>IF($A762="","",$A762-WEEKDAY($A762,2)+5)</f>
      </c>
    </row>
    <row r="763">
      <c r="A763" s="220" t="n"/>
      <c r="B763" s="218" t="n"/>
      <c r="C763" s="218" t="n"/>
      <c r="D763" s="218" t="n"/>
      <c r="E763" s="218" t="n"/>
      <c r="F763" s="328" t="n"/>
      <c r="G763" s="218" t="n"/>
      <c r="H763" s="218" t="n"/>
      <c r="I763" s="218" t="n"/>
      <c r="J763" s="218" t="n"/>
      <c r="K763" s="218" t="n"/>
      <c r="L763" s="218" t="n"/>
      <c r="M763" s="218" t="n"/>
      <c r="N763" s="218" t="n"/>
      <c r="O763" s="222">
        <f>IF($A763="","",IF(IF($B763="343",NETWORKDAYS($A763,$A763,FERIADOS_343),IF($B763="281",NETWORKDAYS($A763,$A763,FERIADOS_281),NETWORKDAYS($A763,$A763,FERIADOS_342)))=1,"SIM","NÃO"))</f>
      </c>
      <c r="P763" s="232">
        <f>IF($A763="","",$A763-WEEKDAY($A763,2)+5)</f>
      </c>
    </row>
    <row r="764">
      <c r="A764" s="220" t="n"/>
      <c r="B764" s="218" t="n"/>
      <c r="C764" s="218" t="n"/>
      <c r="D764" s="218" t="n"/>
      <c r="E764" s="218" t="n"/>
      <c r="F764" s="328" t="n"/>
      <c r="G764" s="218" t="n"/>
      <c r="H764" s="218" t="n"/>
      <c r="I764" s="218" t="n"/>
      <c r="J764" s="218" t="n"/>
      <c r="K764" s="218" t="n"/>
      <c r="L764" s="218" t="n"/>
      <c r="M764" s="218" t="n"/>
      <c r="N764" s="218" t="n"/>
      <c r="O764" s="222">
        <f>IF($A764="","",IF(IF($B764="343",NETWORKDAYS($A764,$A764,FERIADOS_343),IF($B764="281",NETWORKDAYS($A764,$A764,FERIADOS_281),NETWORKDAYS($A764,$A764,FERIADOS_342)))=1,"SIM","NÃO"))</f>
      </c>
      <c r="P764" s="232">
        <f>IF($A764="","",$A764-WEEKDAY($A764,2)+5)</f>
      </c>
    </row>
    <row r="765">
      <c r="A765" s="220" t="n"/>
      <c r="B765" s="218" t="n"/>
      <c r="C765" s="218" t="n"/>
      <c r="D765" s="218" t="n"/>
      <c r="E765" s="218" t="n"/>
      <c r="F765" s="328" t="n"/>
      <c r="G765" s="218" t="n"/>
      <c r="H765" s="218" t="n"/>
      <c r="I765" s="218" t="n"/>
      <c r="J765" s="218" t="n"/>
      <c r="K765" s="218" t="n"/>
      <c r="L765" s="218" t="n"/>
      <c r="M765" s="218" t="n"/>
      <c r="N765" s="218" t="n"/>
      <c r="O765" s="222">
        <f>IF($A765="","",IF(IF($B765="343",NETWORKDAYS($A765,$A765,FERIADOS_343),IF($B765="281",NETWORKDAYS($A765,$A765,FERIADOS_281),NETWORKDAYS($A765,$A765,FERIADOS_342)))=1,"SIM","NÃO"))</f>
      </c>
      <c r="P765" s="232">
        <f>IF($A765="","",$A765-WEEKDAY($A765,2)+5)</f>
      </c>
    </row>
    <row r="766">
      <c r="A766" s="220" t="n"/>
      <c r="B766" s="218" t="n"/>
      <c r="C766" s="218" t="n"/>
      <c r="D766" s="218" t="n"/>
      <c r="E766" s="218" t="n"/>
      <c r="F766" s="328" t="n"/>
      <c r="G766" s="218" t="n"/>
      <c r="H766" s="218" t="n"/>
      <c r="I766" s="218" t="n"/>
      <c r="J766" s="218" t="n"/>
      <c r="K766" s="218" t="n"/>
      <c r="L766" s="218" t="n"/>
      <c r="M766" s="218" t="n"/>
      <c r="N766" s="218" t="n"/>
      <c r="O766" s="222">
        <f>IF($A766="","",IF(IF($B766="343",NETWORKDAYS($A766,$A766,FERIADOS_343),IF($B766="281",NETWORKDAYS($A766,$A766,FERIADOS_281),NETWORKDAYS($A766,$A766,FERIADOS_342)))=1,"SIM","NÃO"))</f>
      </c>
      <c r="P766" s="232">
        <f>IF($A766="","",$A766-WEEKDAY($A766,2)+5)</f>
      </c>
    </row>
    <row r="767">
      <c r="A767" s="220" t="n"/>
      <c r="B767" s="218" t="n"/>
      <c r="C767" s="218" t="n"/>
      <c r="D767" s="218" t="n"/>
      <c r="E767" s="218" t="n"/>
      <c r="F767" s="328" t="n"/>
      <c r="G767" s="218" t="n"/>
      <c r="H767" s="218" t="n"/>
      <c r="I767" s="218" t="n"/>
      <c r="J767" s="218" t="n"/>
      <c r="K767" s="218" t="n"/>
      <c r="L767" s="218" t="n"/>
      <c r="M767" s="218" t="n"/>
      <c r="N767" s="218" t="n"/>
      <c r="O767" s="222">
        <f>IF($A767="","",IF(IF($B767="343",NETWORKDAYS($A767,$A767,FERIADOS_343),IF($B767="281",NETWORKDAYS($A767,$A767,FERIADOS_281),NETWORKDAYS($A767,$A767,FERIADOS_342)))=1,"SIM","NÃO"))</f>
      </c>
      <c r="P767" s="232">
        <f>IF($A767="","",$A767-WEEKDAY($A767,2)+5)</f>
      </c>
    </row>
    <row r="768">
      <c r="A768" s="220" t="n"/>
      <c r="B768" s="218" t="n"/>
      <c r="C768" s="218" t="n"/>
      <c r="D768" s="218" t="n"/>
      <c r="E768" s="218" t="n"/>
      <c r="F768" s="328" t="n"/>
      <c r="G768" s="218" t="n"/>
      <c r="H768" s="218" t="n"/>
      <c r="I768" s="218" t="n"/>
      <c r="J768" s="218" t="n"/>
      <c r="K768" s="218" t="n"/>
      <c r="L768" s="218" t="n"/>
      <c r="M768" s="218" t="n"/>
      <c r="N768" s="218" t="n"/>
      <c r="O768" s="222">
        <f>IF($A768="","",IF(IF($B768="343",NETWORKDAYS($A768,$A768,FERIADOS_343),IF($B768="281",NETWORKDAYS($A768,$A768,FERIADOS_281),NETWORKDAYS($A768,$A768,FERIADOS_342)))=1,"SIM","NÃO"))</f>
      </c>
      <c r="P768" s="232">
        <f>IF($A768="","",$A768-WEEKDAY($A768,2)+5)</f>
      </c>
    </row>
    <row r="769">
      <c r="A769" s="220" t="n"/>
      <c r="B769" s="218" t="n"/>
      <c r="C769" s="218" t="n"/>
      <c r="D769" s="218" t="n"/>
      <c r="E769" s="218" t="n"/>
      <c r="F769" s="328" t="n"/>
      <c r="G769" s="218" t="n"/>
      <c r="H769" s="218" t="n"/>
      <c r="I769" s="218" t="n"/>
      <c r="J769" s="218" t="n"/>
      <c r="K769" s="218" t="n"/>
      <c r="L769" s="218" t="n"/>
      <c r="M769" s="218" t="n"/>
      <c r="N769" s="218" t="n"/>
      <c r="O769" s="222">
        <f>IF($A769="","",IF(IF($B769="343",NETWORKDAYS($A769,$A769,FERIADOS_343),IF($B769="281",NETWORKDAYS($A769,$A769,FERIADOS_281),NETWORKDAYS($A769,$A769,FERIADOS_342)))=1,"SIM","NÃO"))</f>
      </c>
      <c r="P769" s="232">
        <f>IF($A769="","",$A769-WEEKDAY($A769,2)+5)</f>
      </c>
    </row>
    <row r="770">
      <c r="A770" s="220" t="n"/>
      <c r="B770" s="218" t="n"/>
      <c r="C770" s="218" t="n"/>
      <c r="D770" s="218" t="n"/>
      <c r="E770" s="218" t="n"/>
      <c r="F770" s="328" t="n"/>
      <c r="G770" s="218" t="n"/>
      <c r="H770" s="218" t="n"/>
      <c r="I770" s="218" t="n"/>
      <c r="J770" s="218" t="n"/>
      <c r="K770" s="218" t="n"/>
      <c r="L770" s="218" t="n"/>
      <c r="M770" s="218" t="n"/>
      <c r="N770" s="218" t="n"/>
      <c r="O770" s="222">
        <f>IF($A770="","",IF(IF($B770="343",NETWORKDAYS($A770,$A770,FERIADOS_343),IF($B770="281",NETWORKDAYS($A770,$A770,FERIADOS_281),NETWORKDAYS($A770,$A770,FERIADOS_342)))=1,"SIM","NÃO"))</f>
      </c>
      <c r="P770" s="232">
        <f>IF($A770="","",$A770-WEEKDAY($A770,2)+5)</f>
      </c>
    </row>
    <row r="771">
      <c r="A771" s="220" t="n"/>
      <c r="B771" s="218" t="n"/>
      <c r="C771" s="218" t="n"/>
      <c r="D771" s="218" t="n"/>
      <c r="E771" s="218" t="n"/>
      <c r="F771" s="328" t="n"/>
      <c r="G771" s="218" t="n"/>
      <c r="H771" s="218" t="n"/>
      <c r="I771" s="218" t="n"/>
      <c r="J771" s="218" t="n"/>
      <c r="K771" s="218" t="n"/>
      <c r="L771" s="218" t="n"/>
      <c r="M771" s="218" t="n"/>
      <c r="N771" s="218" t="n"/>
      <c r="O771" s="222">
        <f>IF($A771="","",IF(IF($B771="343",NETWORKDAYS($A771,$A771,FERIADOS_343),IF($B771="281",NETWORKDAYS($A771,$A771,FERIADOS_281),NETWORKDAYS($A771,$A771,FERIADOS_342)))=1,"SIM","NÃO"))</f>
      </c>
      <c r="P771" s="232">
        <f>IF($A771="","",$A771-WEEKDAY($A771,2)+5)</f>
      </c>
    </row>
    <row r="772">
      <c r="A772" s="220" t="n"/>
      <c r="B772" s="218" t="n"/>
      <c r="C772" s="218" t="n"/>
      <c r="D772" s="218" t="n"/>
      <c r="E772" s="218" t="n"/>
      <c r="F772" s="328" t="n"/>
      <c r="G772" s="218" t="n"/>
      <c r="H772" s="218" t="n"/>
      <c r="I772" s="218" t="n"/>
      <c r="J772" s="218" t="n"/>
      <c r="K772" s="218" t="n"/>
      <c r="L772" s="218" t="n"/>
      <c r="M772" s="218" t="n"/>
      <c r="N772" s="218" t="n"/>
      <c r="O772" s="222">
        <f>IF($A772="","",IF(IF($B772="343",NETWORKDAYS($A772,$A772,FERIADOS_343),IF($B772="281",NETWORKDAYS($A772,$A772,FERIADOS_281),NETWORKDAYS($A772,$A772,FERIADOS_342)))=1,"SIM","NÃO"))</f>
      </c>
      <c r="P772" s="232">
        <f>IF($A772="","",$A772-WEEKDAY($A772,2)+5)</f>
      </c>
    </row>
    <row r="773">
      <c r="A773" s="220" t="n"/>
      <c r="B773" s="218" t="n"/>
      <c r="C773" s="218" t="n"/>
      <c r="D773" s="218" t="n"/>
      <c r="E773" s="218" t="n"/>
      <c r="F773" s="328" t="n"/>
      <c r="G773" s="218" t="n"/>
      <c r="H773" s="218" t="n"/>
      <c r="I773" s="218" t="n"/>
      <c r="J773" s="218" t="n"/>
      <c r="K773" s="218" t="n"/>
      <c r="L773" s="218" t="n"/>
      <c r="M773" s="218" t="n"/>
      <c r="N773" s="218" t="n"/>
      <c r="O773" s="222">
        <f>IF($A773="","",IF(IF($B773="343",NETWORKDAYS($A773,$A773,FERIADOS_343),IF($B773="281",NETWORKDAYS($A773,$A773,FERIADOS_281),NETWORKDAYS($A773,$A773,FERIADOS_342)))=1,"SIM","NÃO"))</f>
      </c>
      <c r="P773" s="232">
        <f>IF($A773="","",$A773-WEEKDAY($A773,2)+5)</f>
      </c>
    </row>
    <row r="774">
      <c r="A774" s="220" t="n"/>
      <c r="B774" s="218" t="n"/>
      <c r="C774" s="218" t="n"/>
      <c r="D774" s="218" t="n"/>
      <c r="E774" s="218" t="n"/>
      <c r="F774" s="328" t="n"/>
      <c r="G774" s="218" t="n"/>
      <c r="H774" s="218" t="n"/>
      <c r="I774" s="218" t="n"/>
      <c r="J774" s="218" t="n"/>
      <c r="K774" s="218" t="n"/>
      <c r="L774" s="218" t="n"/>
      <c r="M774" s="218" t="n"/>
      <c r="N774" s="218" t="n"/>
      <c r="O774" s="222">
        <f>IF($A774="","",IF(IF($B774="343",NETWORKDAYS($A774,$A774,FERIADOS_343),IF($B774="281",NETWORKDAYS($A774,$A774,FERIADOS_281),NETWORKDAYS($A774,$A774,FERIADOS_342)))=1,"SIM","NÃO"))</f>
      </c>
      <c r="P774" s="232">
        <f>IF($A774="","",$A774-WEEKDAY($A774,2)+5)</f>
      </c>
    </row>
    <row r="775">
      <c r="A775" s="220" t="n"/>
      <c r="B775" s="218" t="n"/>
      <c r="C775" s="218" t="n"/>
      <c r="D775" s="218" t="n"/>
      <c r="E775" s="218" t="n"/>
      <c r="F775" s="328" t="n"/>
      <c r="G775" s="218" t="n"/>
      <c r="H775" s="218" t="n"/>
      <c r="I775" s="218" t="n"/>
      <c r="J775" s="218" t="n"/>
      <c r="K775" s="218" t="n"/>
      <c r="L775" s="218" t="n"/>
      <c r="M775" s="218" t="n"/>
      <c r="N775" s="218" t="n"/>
      <c r="O775" s="222">
        <f>IF($A775="","",IF(IF($B775="343",NETWORKDAYS($A775,$A775,FERIADOS_343),IF($B775="281",NETWORKDAYS($A775,$A775,FERIADOS_281),NETWORKDAYS($A775,$A775,FERIADOS_342)))=1,"SIM","NÃO"))</f>
      </c>
      <c r="P775" s="232">
        <f>IF($A775="","",$A775-WEEKDAY($A775,2)+5)</f>
      </c>
    </row>
    <row r="776">
      <c r="A776" s="220" t="n"/>
      <c r="B776" s="218" t="n"/>
      <c r="C776" s="218" t="n"/>
      <c r="D776" s="218" t="n"/>
      <c r="E776" s="218" t="n"/>
      <c r="F776" s="328" t="n"/>
      <c r="G776" s="218" t="n"/>
      <c r="H776" s="218" t="n"/>
      <c r="I776" s="218" t="n"/>
      <c r="J776" s="218" t="n"/>
      <c r="K776" s="218" t="n"/>
      <c r="L776" s="218" t="n"/>
      <c r="M776" s="218" t="n"/>
      <c r="N776" s="218" t="n"/>
      <c r="O776" s="222">
        <f>IF($A776="","",IF(IF($B776="343",NETWORKDAYS($A776,$A776,FERIADOS_343),IF($B776="281",NETWORKDAYS($A776,$A776,FERIADOS_281),NETWORKDAYS($A776,$A776,FERIADOS_342)))=1,"SIM","NÃO"))</f>
      </c>
      <c r="P776" s="232">
        <f>IF($A776="","",$A776-WEEKDAY($A776,2)+5)</f>
      </c>
    </row>
    <row r="777">
      <c r="A777" s="220" t="n"/>
      <c r="B777" s="218" t="n"/>
      <c r="C777" s="218" t="n"/>
      <c r="D777" s="218" t="n"/>
      <c r="E777" s="218" t="n"/>
      <c r="F777" s="328" t="n"/>
      <c r="G777" s="218" t="n"/>
      <c r="H777" s="218" t="n"/>
      <c r="I777" s="218" t="n"/>
      <c r="J777" s="218" t="n"/>
      <c r="K777" s="218" t="n"/>
      <c r="L777" s="218" t="n"/>
      <c r="M777" s="218" t="n"/>
      <c r="N777" s="218" t="n"/>
      <c r="O777" s="222">
        <f>IF($A777="","",IF(IF($B777="343",NETWORKDAYS($A777,$A777,FERIADOS_343),IF($B777="281",NETWORKDAYS($A777,$A777,FERIADOS_281),NETWORKDAYS($A777,$A777,FERIADOS_342)))=1,"SIM","NÃO"))</f>
      </c>
      <c r="P777" s="232">
        <f>IF($A777="","",$A777-WEEKDAY($A777,2)+5)</f>
      </c>
    </row>
    <row r="778">
      <c r="A778" s="220" t="n"/>
      <c r="B778" s="218" t="n"/>
      <c r="C778" s="218" t="n"/>
      <c r="D778" s="218" t="n"/>
      <c r="E778" s="218" t="n"/>
      <c r="F778" s="328" t="n"/>
      <c r="G778" s="218" t="n"/>
      <c r="H778" s="218" t="n"/>
      <c r="I778" s="218" t="n"/>
      <c r="J778" s="218" t="n"/>
      <c r="K778" s="218" t="n"/>
      <c r="L778" s="218" t="n"/>
      <c r="M778" s="218" t="n"/>
      <c r="N778" s="218" t="n"/>
      <c r="O778" s="222">
        <f>IF($A778="","",IF(IF($B778="343",NETWORKDAYS($A778,$A778,FERIADOS_343),IF($B778="281",NETWORKDAYS($A778,$A778,FERIADOS_281),NETWORKDAYS($A778,$A778,FERIADOS_342)))=1,"SIM","NÃO"))</f>
      </c>
      <c r="P778" s="232">
        <f>IF($A778="","",$A778-WEEKDAY($A778,2)+5)</f>
      </c>
    </row>
    <row r="779">
      <c r="A779" s="220" t="n"/>
      <c r="B779" s="218" t="n"/>
      <c r="C779" s="218" t="n"/>
      <c r="D779" s="218" t="n"/>
      <c r="E779" s="218" t="n"/>
      <c r="F779" s="328" t="n"/>
      <c r="G779" s="218" t="n"/>
      <c r="H779" s="218" t="n"/>
      <c r="I779" s="218" t="n"/>
      <c r="J779" s="218" t="n"/>
      <c r="K779" s="218" t="n"/>
      <c r="L779" s="218" t="n"/>
      <c r="M779" s="218" t="n"/>
      <c r="N779" s="218" t="n"/>
      <c r="O779" s="222">
        <f>IF($A779="","",IF(IF($B779="343",NETWORKDAYS($A779,$A779,FERIADOS_343),IF($B779="281",NETWORKDAYS($A779,$A779,FERIADOS_281),NETWORKDAYS($A779,$A779,FERIADOS_342)))=1,"SIM","NÃO"))</f>
      </c>
      <c r="P779" s="232">
        <f>IF($A779="","",$A779-WEEKDAY($A779,2)+5)</f>
      </c>
    </row>
    <row r="780">
      <c r="A780" s="220" t="n"/>
      <c r="B780" s="218" t="n"/>
      <c r="C780" s="218" t="n"/>
      <c r="D780" s="218" t="n"/>
      <c r="E780" s="218" t="n"/>
      <c r="F780" s="328" t="n"/>
      <c r="G780" s="218" t="n"/>
      <c r="H780" s="218" t="n"/>
      <c r="I780" s="218" t="n"/>
      <c r="J780" s="218" t="n"/>
      <c r="K780" s="218" t="n"/>
      <c r="L780" s="218" t="n"/>
      <c r="M780" s="218" t="n"/>
      <c r="N780" s="218" t="n"/>
      <c r="O780" s="222">
        <f>IF($A780="","",IF(IF($B780="343",NETWORKDAYS($A780,$A780,FERIADOS_343),IF($B780="281",NETWORKDAYS($A780,$A780,FERIADOS_281),NETWORKDAYS($A780,$A780,FERIADOS_342)))=1,"SIM","NÃO"))</f>
      </c>
      <c r="P780" s="232">
        <f>IF($A780="","",$A780-WEEKDAY($A780,2)+5)</f>
      </c>
    </row>
    <row r="781">
      <c r="A781" s="220" t="n"/>
      <c r="B781" s="218" t="n"/>
      <c r="C781" s="218" t="n"/>
      <c r="D781" s="218" t="n"/>
      <c r="E781" s="218" t="n"/>
      <c r="F781" s="328" t="n"/>
      <c r="G781" s="218" t="n"/>
      <c r="H781" s="218" t="n"/>
      <c r="I781" s="218" t="n"/>
      <c r="J781" s="218" t="n"/>
      <c r="K781" s="218" t="n"/>
      <c r="L781" s="218" t="n"/>
      <c r="M781" s="218" t="n"/>
      <c r="N781" s="218" t="n"/>
      <c r="O781" s="222">
        <f>IF($A781="","",IF(IF($B781="343",NETWORKDAYS($A781,$A781,FERIADOS_343),IF($B781="281",NETWORKDAYS($A781,$A781,FERIADOS_281),NETWORKDAYS($A781,$A781,FERIADOS_342)))=1,"SIM","NÃO"))</f>
      </c>
      <c r="P781" s="232">
        <f>IF($A781="","",$A781-WEEKDAY($A781,2)+5)</f>
      </c>
    </row>
    <row r="782">
      <c r="A782" s="220" t="n"/>
      <c r="B782" s="218" t="n"/>
      <c r="C782" s="218" t="n"/>
      <c r="D782" s="218" t="n"/>
      <c r="E782" s="218" t="n"/>
      <c r="F782" s="328" t="n"/>
      <c r="G782" s="218" t="n"/>
      <c r="H782" s="218" t="n"/>
      <c r="I782" s="218" t="n"/>
      <c r="J782" s="218" t="n"/>
      <c r="K782" s="218" t="n"/>
      <c r="L782" s="218" t="n"/>
      <c r="M782" s="218" t="n"/>
      <c r="N782" s="218" t="n"/>
      <c r="O782" s="222">
        <f>IF($A782="","",IF(IF($B782="343",NETWORKDAYS($A782,$A782,FERIADOS_343),IF($B782="281",NETWORKDAYS($A782,$A782,FERIADOS_281),NETWORKDAYS($A782,$A782,FERIADOS_342)))=1,"SIM","NÃO"))</f>
      </c>
      <c r="P782" s="232">
        <f>IF($A782="","",$A782-WEEKDAY($A782,2)+5)</f>
      </c>
    </row>
    <row r="783">
      <c r="A783" s="220" t="n"/>
      <c r="B783" s="218" t="n"/>
      <c r="C783" s="218" t="n"/>
      <c r="D783" s="218" t="n"/>
      <c r="E783" s="218" t="n"/>
      <c r="F783" s="328" t="n"/>
      <c r="G783" s="218" t="n"/>
      <c r="H783" s="218" t="n"/>
      <c r="I783" s="218" t="n"/>
      <c r="J783" s="218" t="n"/>
      <c r="K783" s="218" t="n"/>
      <c r="L783" s="218" t="n"/>
      <c r="M783" s="218" t="n"/>
      <c r="N783" s="218" t="n"/>
      <c r="O783" s="222">
        <f>IF($A783="","",IF(IF($B783="343",NETWORKDAYS($A783,$A783,FERIADOS_343),IF($B783="281",NETWORKDAYS($A783,$A783,FERIADOS_281),NETWORKDAYS($A783,$A783,FERIADOS_342)))=1,"SIM","NÃO"))</f>
      </c>
      <c r="P783" s="232">
        <f>IF($A783="","",$A783-WEEKDAY($A783,2)+5)</f>
      </c>
    </row>
    <row r="784">
      <c r="A784" s="220" t="n"/>
      <c r="B784" s="218" t="n"/>
      <c r="C784" s="218" t="n"/>
      <c r="D784" s="218" t="n"/>
      <c r="E784" s="218" t="n"/>
      <c r="F784" s="328" t="n"/>
      <c r="G784" s="218" t="n"/>
      <c r="H784" s="218" t="n"/>
      <c r="I784" s="218" t="n"/>
      <c r="J784" s="218" t="n"/>
      <c r="K784" s="218" t="n"/>
      <c r="L784" s="218" t="n"/>
      <c r="M784" s="218" t="n"/>
      <c r="N784" s="218" t="n"/>
      <c r="O784" s="222">
        <f>IF($A784="","",IF(IF($B784="343",NETWORKDAYS($A784,$A784,FERIADOS_343),IF($B784="281",NETWORKDAYS($A784,$A784,FERIADOS_281),NETWORKDAYS($A784,$A784,FERIADOS_342)))=1,"SIM","NÃO"))</f>
      </c>
      <c r="P784" s="232">
        <f>IF($A784="","",$A784-WEEKDAY($A784,2)+5)</f>
      </c>
    </row>
    <row r="785">
      <c r="A785" s="220" t="n"/>
      <c r="B785" s="218" t="n"/>
      <c r="C785" s="218" t="n"/>
      <c r="D785" s="218" t="n"/>
      <c r="E785" s="218" t="n"/>
      <c r="F785" s="328" t="n"/>
      <c r="G785" s="218" t="n"/>
      <c r="H785" s="218" t="n"/>
      <c r="I785" s="218" t="n"/>
      <c r="J785" s="218" t="n"/>
      <c r="K785" s="218" t="n"/>
      <c r="L785" s="218" t="n"/>
      <c r="M785" s="218" t="n"/>
      <c r="N785" s="218" t="n"/>
      <c r="O785" s="222">
        <f>IF($A785="","",IF(IF($B785="343",NETWORKDAYS($A785,$A785,FERIADOS_343),IF($B785="281",NETWORKDAYS($A785,$A785,FERIADOS_281),NETWORKDAYS($A785,$A785,FERIADOS_342)))=1,"SIM","NÃO"))</f>
      </c>
      <c r="P785" s="232">
        <f>IF($A785="","",$A785-WEEKDAY($A785,2)+5)</f>
      </c>
    </row>
    <row r="786">
      <c r="A786" s="220" t="n"/>
      <c r="B786" s="218" t="n"/>
      <c r="C786" s="218" t="n"/>
      <c r="D786" s="218" t="n"/>
      <c r="E786" s="218" t="n"/>
      <c r="F786" s="328" t="n"/>
      <c r="G786" s="218" t="n"/>
      <c r="H786" s="218" t="n"/>
      <c r="I786" s="218" t="n"/>
      <c r="J786" s="218" t="n"/>
      <c r="K786" s="218" t="n"/>
      <c r="L786" s="218" t="n"/>
      <c r="M786" s="218" t="n"/>
      <c r="N786" s="218" t="n"/>
      <c r="O786" s="222">
        <f>IF($A786="","",IF(IF($B786="343",NETWORKDAYS($A786,$A786,FERIADOS_343),IF($B786="281",NETWORKDAYS($A786,$A786,FERIADOS_281),NETWORKDAYS($A786,$A786,FERIADOS_342)))=1,"SIM","NÃO"))</f>
      </c>
      <c r="P786" s="232">
        <f>IF($A786="","",$A786-WEEKDAY($A786,2)+5)</f>
      </c>
    </row>
    <row r="787">
      <c r="A787" s="220" t="n"/>
      <c r="B787" s="218" t="n"/>
      <c r="C787" s="218" t="n"/>
      <c r="D787" s="218" t="n"/>
      <c r="E787" s="218" t="n"/>
      <c r="F787" s="328" t="n"/>
      <c r="G787" s="218" t="n"/>
      <c r="H787" s="218" t="n"/>
      <c r="I787" s="218" t="n"/>
      <c r="J787" s="218" t="n"/>
      <c r="K787" s="218" t="n"/>
      <c r="L787" s="218" t="n"/>
      <c r="M787" s="218" t="n"/>
      <c r="N787" s="218" t="n"/>
      <c r="O787" s="222">
        <f>IF($A787="","",IF(IF($B787="343",NETWORKDAYS($A787,$A787,FERIADOS_343),IF($B787="281",NETWORKDAYS($A787,$A787,FERIADOS_281),NETWORKDAYS($A787,$A787,FERIADOS_342)))=1,"SIM","NÃO"))</f>
      </c>
      <c r="P787" s="232">
        <f>IF($A787="","",$A787-WEEKDAY($A787,2)+5)</f>
      </c>
    </row>
    <row r="788">
      <c r="A788" s="220" t="n"/>
      <c r="B788" s="218" t="n"/>
      <c r="C788" s="218" t="n"/>
      <c r="D788" s="218" t="n"/>
      <c r="E788" s="218" t="n"/>
      <c r="F788" s="328" t="n"/>
      <c r="G788" s="218" t="n"/>
      <c r="H788" s="218" t="n"/>
      <c r="I788" s="218" t="n"/>
      <c r="J788" s="218" t="n"/>
      <c r="K788" s="218" t="n"/>
      <c r="L788" s="218" t="n"/>
      <c r="M788" s="218" t="n"/>
      <c r="N788" s="218" t="n"/>
      <c r="O788" s="222">
        <f>IF($A788="","",IF(IF($B788="343",NETWORKDAYS($A788,$A788,FERIADOS_343),IF($B788="281",NETWORKDAYS($A788,$A788,FERIADOS_281),NETWORKDAYS($A788,$A788,FERIADOS_342)))=1,"SIM","NÃO"))</f>
      </c>
      <c r="P788" s="232">
        <f>IF($A788="","",$A788-WEEKDAY($A788,2)+5)</f>
      </c>
    </row>
    <row r="789">
      <c r="A789" s="220" t="n"/>
      <c r="B789" s="218" t="n"/>
      <c r="C789" s="218" t="n"/>
      <c r="D789" s="218" t="n"/>
      <c r="E789" s="218" t="n"/>
      <c r="F789" s="328" t="n"/>
      <c r="G789" s="218" t="n"/>
      <c r="H789" s="218" t="n"/>
      <c r="I789" s="218" t="n"/>
      <c r="J789" s="218" t="n"/>
      <c r="K789" s="218" t="n"/>
      <c r="L789" s="218" t="n"/>
      <c r="M789" s="218" t="n"/>
      <c r="N789" s="218" t="n"/>
      <c r="O789" s="222">
        <f>IF($A789="","",IF(IF($B789="343",NETWORKDAYS($A789,$A789,FERIADOS_343),IF($B789="281",NETWORKDAYS($A789,$A789,FERIADOS_281),NETWORKDAYS($A789,$A789,FERIADOS_342)))=1,"SIM","NÃO"))</f>
      </c>
      <c r="P789" s="232">
        <f>IF($A789="","",$A789-WEEKDAY($A789,2)+5)</f>
      </c>
    </row>
    <row r="790">
      <c r="A790" s="220" t="n"/>
      <c r="B790" s="218" t="n"/>
      <c r="C790" s="218" t="n"/>
      <c r="D790" s="218" t="n"/>
      <c r="E790" s="218" t="n"/>
      <c r="F790" s="328" t="n"/>
      <c r="G790" s="218" t="n"/>
      <c r="H790" s="218" t="n"/>
      <c r="I790" s="218" t="n"/>
      <c r="J790" s="218" t="n"/>
      <c r="K790" s="218" t="n"/>
      <c r="L790" s="218" t="n"/>
      <c r="M790" s="218" t="n"/>
      <c r="N790" s="218" t="n"/>
      <c r="O790" s="222">
        <f>IF($A790="","",IF(IF($B790="343",NETWORKDAYS($A790,$A790,FERIADOS_343),IF($B790="281",NETWORKDAYS($A790,$A790,FERIADOS_281),NETWORKDAYS($A790,$A790,FERIADOS_342)))=1,"SIM","NÃO"))</f>
      </c>
      <c r="P790" s="232">
        <f>IF($A790="","",$A790-WEEKDAY($A790,2)+5)</f>
      </c>
    </row>
    <row r="791">
      <c r="A791" s="220" t="n"/>
      <c r="B791" s="218" t="n"/>
      <c r="C791" s="218" t="n"/>
      <c r="D791" s="218" t="n"/>
      <c r="E791" s="218" t="n"/>
      <c r="F791" s="328" t="n"/>
      <c r="G791" s="218" t="n"/>
      <c r="H791" s="218" t="n"/>
      <c r="I791" s="218" t="n"/>
      <c r="J791" s="218" t="n"/>
      <c r="K791" s="218" t="n"/>
      <c r="L791" s="218" t="n"/>
      <c r="M791" s="218" t="n"/>
      <c r="N791" s="218" t="n"/>
      <c r="O791" s="222">
        <f>IF($A791="","",IF(IF($B791="343",NETWORKDAYS($A791,$A791,FERIADOS_343),IF($B791="281",NETWORKDAYS($A791,$A791,FERIADOS_281),NETWORKDAYS($A791,$A791,FERIADOS_342)))=1,"SIM","NÃO"))</f>
      </c>
      <c r="P791" s="232">
        <f>IF($A791="","",$A791-WEEKDAY($A791,2)+5)</f>
      </c>
    </row>
    <row r="792">
      <c r="A792" s="220" t="n"/>
      <c r="B792" s="218" t="n"/>
      <c r="C792" s="218" t="n"/>
      <c r="D792" s="218" t="n"/>
      <c r="E792" s="218" t="n"/>
      <c r="F792" s="328" t="n"/>
      <c r="G792" s="218" t="n"/>
      <c r="H792" s="218" t="n"/>
      <c r="I792" s="218" t="n"/>
      <c r="J792" s="218" t="n"/>
      <c r="K792" s="218" t="n"/>
      <c r="L792" s="218" t="n"/>
      <c r="M792" s="218" t="n"/>
      <c r="N792" s="218" t="n"/>
      <c r="O792" s="222">
        <f>IF($A792="","",IF(IF($B792="343",NETWORKDAYS($A792,$A792,FERIADOS_343),IF($B792="281",NETWORKDAYS($A792,$A792,FERIADOS_281),NETWORKDAYS($A792,$A792,FERIADOS_342)))=1,"SIM","NÃO"))</f>
      </c>
      <c r="P792" s="232">
        <f>IF($A792="","",$A792-WEEKDAY($A792,2)+5)</f>
      </c>
    </row>
    <row r="793">
      <c r="A793" s="220" t="n"/>
      <c r="B793" s="218" t="n"/>
      <c r="C793" s="218" t="n"/>
      <c r="D793" s="218" t="n"/>
      <c r="E793" s="218" t="n"/>
      <c r="F793" s="328" t="n"/>
      <c r="G793" s="218" t="n"/>
      <c r="H793" s="218" t="n"/>
      <c r="I793" s="218" t="n"/>
      <c r="J793" s="218" t="n"/>
      <c r="K793" s="218" t="n"/>
      <c r="L793" s="218" t="n"/>
      <c r="M793" s="218" t="n"/>
      <c r="N793" s="218" t="n"/>
      <c r="O793" s="222">
        <f>IF($A793="","",IF(IF($B793="343",NETWORKDAYS($A793,$A793,FERIADOS_343),IF($B793="281",NETWORKDAYS($A793,$A793,FERIADOS_281),NETWORKDAYS($A793,$A793,FERIADOS_342)))=1,"SIM","NÃO"))</f>
      </c>
      <c r="P793" s="232">
        <f>IF($A793="","",$A793-WEEKDAY($A793,2)+5)</f>
      </c>
    </row>
    <row r="794">
      <c r="A794" s="220" t="n"/>
      <c r="B794" s="218" t="n"/>
      <c r="C794" s="218" t="n"/>
      <c r="D794" s="218" t="n"/>
      <c r="E794" s="218" t="n"/>
      <c r="F794" s="328" t="n"/>
      <c r="G794" s="218" t="n"/>
      <c r="H794" s="218" t="n"/>
      <c r="I794" s="218" t="n"/>
      <c r="J794" s="218" t="n"/>
      <c r="K794" s="218" t="n"/>
      <c r="L794" s="218" t="n"/>
      <c r="M794" s="218" t="n"/>
      <c r="N794" s="218" t="n"/>
      <c r="O794" s="222">
        <f>IF($A794="","",IF(IF($B794="343",NETWORKDAYS($A794,$A794,FERIADOS_343),IF($B794="281",NETWORKDAYS($A794,$A794,FERIADOS_281),NETWORKDAYS($A794,$A794,FERIADOS_342)))=1,"SIM","NÃO"))</f>
      </c>
      <c r="P794" s="232">
        <f>IF($A794="","",$A794-WEEKDAY($A794,2)+5)</f>
      </c>
    </row>
    <row r="795">
      <c r="A795" s="220" t="n"/>
      <c r="B795" s="218" t="n"/>
      <c r="C795" s="218" t="n"/>
      <c r="D795" s="218" t="n"/>
      <c r="E795" s="218" t="n"/>
      <c r="F795" s="328" t="n"/>
      <c r="G795" s="218" t="n"/>
      <c r="H795" s="218" t="n"/>
      <c r="I795" s="218" t="n"/>
      <c r="J795" s="218" t="n"/>
      <c r="K795" s="218" t="n"/>
      <c r="L795" s="218" t="n"/>
      <c r="M795" s="218" t="n"/>
      <c r="N795" s="218" t="n"/>
      <c r="O795" s="222">
        <f>IF($A795="","",IF(IF($B795="343",NETWORKDAYS($A795,$A795,FERIADOS_343),IF($B795="281",NETWORKDAYS($A795,$A795,FERIADOS_281),NETWORKDAYS($A795,$A795,FERIADOS_342)))=1,"SIM","NÃO"))</f>
      </c>
      <c r="P795" s="232">
        <f>IF($A795="","",$A795-WEEKDAY($A795,2)+5)</f>
      </c>
    </row>
    <row r="796">
      <c r="A796" s="220" t="n"/>
      <c r="B796" s="218" t="n"/>
      <c r="C796" s="218" t="n"/>
      <c r="D796" s="218" t="n"/>
      <c r="E796" s="218" t="n"/>
      <c r="F796" s="328" t="n"/>
      <c r="G796" s="218" t="n"/>
      <c r="H796" s="218" t="n"/>
      <c r="I796" s="218" t="n"/>
      <c r="J796" s="218" t="n"/>
      <c r="K796" s="218" t="n"/>
      <c r="L796" s="218" t="n"/>
      <c r="M796" s="218" t="n"/>
      <c r="N796" s="218" t="n"/>
      <c r="O796" s="222">
        <f>IF($A796="","",IF(IF($B796="343",NETWORKDAYS($A796,$A796,FERIADOS_343),IF($B796="281",NETWORKDAYS($A796,$A796,FERIADOS_281),NETWORKDAYS($A796,$A796,FERIADOS_342)))=1,"SIM","NÃO"))</f>
      </c>
      <c r="P796" s="232">
        <f>IF($A796="","",$A796-WEEKDAY($A796,2)+5)</f>
      </c>
    </row>
    <row r="797">
      <c r="A797" s="220" t="n"/>
      <c r="B797" s="218" t="n"/>
      <c r="C797" s="218" t="n"/>
      <c r="D797" s="218" t="n"/>
      <c r="E797" s="218" t="n"/>
      <c r="F797" s="328" t="n"/>
      <c r="G797" s="218" t="n"/>
      <c r="H797" s="218" t="n"/>
      <c r="I797" s="218" t="n"/>
      <c r="J797" s="218" t="n"/>
      <c r="K797" s="218" t="n"/>
      <c r="L797" s="218" t="n"/>
      <c r="M797" s="218" t="n"/>
      <c r="N797" s="218" t="n"/>
      <c r="O797" s="222">
        <f>IF($A797="","",IF(IF($B797="343",NETWORKDAYS($A797,$A797,FERIADOS_343),IF($B797="281",NETWORKDAYS($A797,$A797,FERIADOS_281),NETWORKDAYS($A797,$A797,FERIADOS_342)))=1,"SIM","NÃO"))</f>
      </c>
      <c r="P797" s="232">
        <f>IF($A797="","",$A797-WEEKDAY($A797,2)+5)</f>
      </c>
    </row>
    <row r="798">
      <c r="A798" s="220" t="n"/>
      <c r="B798" s="218" t="n"/>
      <c r="C798" s="218" t="n"/>
      <c r="D798" s="218" t="n"/>
      <c r="E798" s="218" t="n"/>
      <c r="F798" s="328" t="n"/>
      <c r="G798" s="218" t="n"/>
      <c r="H798" s="218" t="n"/>
      <c r="I798" s="218" t="n"/>
      <c r="J798" s="218" t="n"/>
      <c r="K798" s="218" t="n"/>
      <c r="L798" s="218" t="n"/>
      <c r="M798" s="218" t="n"/>
      <c r="N798" s="218" t="n"/>
      <c r="O798" s="222">
        <f>IF($A798="","",IF(IF($B798="343",NETWORKDAYS($A798,$A798,FERIADOS_343),IF($B798="281",NETWORKDAYS($A798,$A798,FERIADOS_281),NETWORKDAYS($A798,$A798,FERIADOS_342)))=1,"SIM","NÃO"))</f>
      </c>
      <c r="P798" s="232">
        <f>IF($A798="","",$A798-WEEKDAY($A798,2)+5)</f>
      </c>
    </row>
    <row r="799">
      <c r="A799" s="220" t="n"/>
      <c r="B799" s="218" t="n"/>
      <c r="C799" s="218" t="n"/>
      <c r="D799" s="218" t="n"/>
      <c r="E799" s="218" t="n"/>
      <c r="F799" s="328" t="n"/>
      <c r="G799" s="218" t="n"/>
      <c r="H799" s="218" t="n"/>
      <c r="I799" s="218" t="n"/>
      <c r="J799" s="218" t="n"/>
      <c r="K799" s="218" t="n"/>
      <c r="L799" s="218" t="n"/>
      <c r="M799" s="218" t="n"/>
      <c r="N799" s="218" t="n"/>
      <c r="O799" s="222">
        <f>IF($A799="","",IF(IF($B799="343",NETWORKDAYS($A799,$A799,FERIADOS_343),IF($B799="281",NETWORKDAYS($A799,$A799,FERIADOS_281),NETWORKDAYS($A799,$A799,FERIADOS_342)))=1,"SIM","NÃO"))</f>
      </c>
      <c r="P799" s="232">
        <f>IF($A799="","",$A799-WEEKDAY($A799,2)+5)</f>
      </c>
    </row>
    <row r="800">
      <c r="A800" s="220" t="n"/>
      <c r="B800" s="218" t="n"/>
      <c r="C800" s="218" t="n"/>
      <c r="D800" s="218" t="n"/>
      <c r="E800" s="218" t="n"/>
      <c r="F800" s="328" t="n"/>
      <c r="G800" s="218" t="n"/>
      <c r="H800" s="218" t="n"/>
      <c r="I800" s="218" t="n"/>
      <c r="J800" s="218" t="n"/>
      <c r="K800" s="218" t="n"/>
      <c r="L800" s="218" t="n"/>
      <c r="M800" s="218" t="n"/>
      <c r="N800" s="218" t="n"/>
      <c r="O800" s="222">
        <f>IF($A800="","",IF(IF($B800="343",NETWORKDAYS($A800,$A800,FERIADOS_343),IF($B800="281",NETWORKDAYS($A800,$A800,FERIADOS_281),NETWORKDAYS($A800,$A800,FERIADOS_342)))=1,"SIM","NÃO"))</f>
      </c>
      <c r="P800" s="232">
        <f>IF($A800="","",$A800-WEEKDAY($A800,2)+5)</f>
      </c>
    </row>
    <row r="801">
      <c r="A801" s="220" t="n"/>
      <c r="B801" s="218" t="n"/>
      <c r="C801" s="218" t="n"/>
      <c r="D801" s="218" t="n"/>
      <c r="E801" s="218" t="n"/>
      <c r="F801" s="328" t="n"/>
      <c r="G801" s="218" t="n"/>
      <c r="H801" s="218" t="n"/>
      <c r="I801" s="218" t="n"/>
      <c r="J801" s="218" t="n"/>
      <c r="K801" s="218" t="n"/>
      <c r="L801" s="218" t="n"/>
      <c r="M801" s="218" t="n"/>
      <c r="N801" s="218" t="n"/>
      <c r="O801" s="222">
        <f>IF($A801="","",IF(IF($B801="343",NETWORKDAYS($A801,$A801,FERIADOS_343),IF($B801="281",NETWORKDAYS($A801,$A801,FERIADOS_281),NETWORKDAYS($A801,$A801,FERIADOS_342)))=1,"SIM","NÃO"))</f>
      </c>
      <c r="P801" s="232">
        <f>IF($A801="","",$A801-WEEKDAY($A801,2)+5)</f>
      </c>
    </row>
    <row r="802">
      <c r="A802" s="220" t="n"/>
      <c r="B802" s="218" t="n"/>
      <c r="C802" s="218" t="n"/>
      <c r="D802" s="218" t="n"/>
      <c r="E802" s="218" t="n"/>
      <c r="F802" s="328" t="n"/>
      <c r="G802" s="218" t="n"/>
      <c r="H802" s="218" t="n"/>
      <c r="I802" s="218" t="n"/>
      <c r="J802" s="218" t="n"/>
      <c r="K802" s="218" t="n"/>
      <c r="L802" s="218" t="n"/>
      <c r="M802" s="218" t="n"/>
      <c r="N802" s="218" t="n"/>
      <c r="O802" s="222">
        <f>IF($A802="","",IF(IF($B802="343",NETWORKDAYS($A802,$A802,FERIADOS_343),IF($B802="281",NETWORKDAYS($A802,$A802,FERIADOS_281),NETWORKDAYS($A802,$A802,FERIADOS_342)))=1,"SIM","NÃO"))</f>
      </c>
      <c r="P802" s="232">
        <f>IF($A802="","",$A802-WEEKDAY($A802,2)+5)</f>
      </c>
    </row>
    <row r="803">
      <c r="A803" s="220" t="n"/>
      <c r="B803" s="218" t="n"/>
      <c r="C803" s="218" t="n"/>
      <c r="D803" s="218" t="n"/>
      <c r="E803" s="218" t="n"/>
      <c r="F803" s="328" t="n"/>
      <c r="G803" s="218" t="n"/>
      <c r="H803" s="218" t="n"/>
      <c r="I803" s="218" t="n"/>
      <c r="J803" s="218" t="n"/>
      <c r="K803" s="218" t="n"/>
      <c r="L803" s="218" t="n"/>
      <c r="M803" s="218" t="n"/>
      <c r="N803" s="218" t="n"/>
      <c r="O803" s="222">
        <f>IF($A803="","",IF(IF($B803="343",NETWORKDAYS($A803,$A803,FERIADOS_343),IF($B803="281",NETWORKDAYS($A803,$A803,FERIADOS_281),NETWORKDAYS($A803,$A803,FERIADOS_342)))=1,"SIM","NÃO"))</f>
      </c>
      <c r="P803" s="232">
        <f>IF($A803="","",$A803-WEEKDAY($A803,2)+5)</f>
      </c>
    </row>
    <row r="804">
      <c r="A804" s="220" t="n"/>
      <c r="B804" s="218" t="n"/>
      <c r="C804" s="218" t="n"/>
      <c r="D804" s="218" t="n"/>
      <c r="E804" s="218" t="n"/>
      <c r="F804" s="328" t="n"/>
      <c r="G804" s="218" t="n"/>
      <c r="H804" s="218" t="n"/>
      <c r="I804" s="218" t="n"/>
      <c r="J804" s="218" t="n"/>
      <c r="K804" s="218" t="n"/>
      <c r="L804" s="218" t="n"/>
      <c r="M804" s="218" t="n"/>
      <c r="N804" s="218" t="n"/>
      <c r="O804" s="222">
        <f>IF($A804="","",IF(IF($B804="343",NETWORKDAYS($A804,$A804,FERIADOS_343),IF($B804="281",NETWORKDAYS($A804,$A804,FERIADOS_281),NETWORKDAYS($A804,$A804,FERIADOS_342)))=1,"SIM","NÃO"))</f>
      </c>
      <c r="P804" s="232">
        <f>IF($A804="","",$A804-WEEKDAY($A804,2)+5)</f>
      </c>
    </row>
    <row r="805">
      <c r="A805" s="220" t="n"/>
      <c r="B805" s="218" t="n"/>
      <c r="C805" s="218" t="n"/>
      <c r="D805" s="218" t="n"/>
      <c r="E805" s="218" t="n"/>
      <c r="F805" s="328" t="n"/>
      <c r="G805" s="218" t="n"/>
      <c r="H805" s="218" t="n"/>
      <c r="I805" s="218" t="n"/>
      <c r="J805" s="218" t="n"/>
      <c r="K805" s="218" t="n"/>
      <c r="L805" s="218" t="n"/>
      <c r="M805" s="218" t="n"/>
      <c r="N805" s="218" t="n"/>
      <c r="O805" s="222">
        <f>IF($A805="","",IF(IF($B805="343",NETWORKDAYS($A805,$A805,FERIADOS_343),IF($B805="281",NETWORKDAYS($A805,$A805,FERIADOS_281),NETWORKDAYS($A805,$A805,FERIADOS_342)))=1,"SIM","NÃO"))</f>
      </c>
      <c r="P805" s="232">
        <f>IF($A805="","",$A805-WEEKDAY($A805,2)+5)</f>
      </c>
    </row>
    <row r="806">
      <c r="A806" s="220" t="n"/>
      <c r="B806" s="218" t="n"/>
      <c r="C806" s="218" t="n"/>
      <c r="D806" s="218" t="n"/>
      <c r="E806" s="218" t="n"/>
      <c r="F806" s="328" t="n"/>
      <c r="G806" s="218" t="n"/>
      <c r="H806" s="218" t="n"/>
      <c r="I806" s="218" t="n"/>
      <c r="J806" s="218" t="n"/>
      <c r="K806" s="218" t="n"/>
      <c r="L806" s="218" t="n"/>
      <c r="M806" s="218" t="n"/>
      <c r="N806" s="218" t="n"/>
      <c r="O806" s="222">
        <f>IF($A806="","",IF(IF($B806="343",NETWORKDAYS($A806,$A806,FERIADOS_343),IF($B806="281",NETWORKDAYS($A806,$A806,FERIADOS_281),NETWORKDAYS($A806,$A806,FERIADOS_342)))=1,"SIM","NÃO"))</f>
      </c>
      <c r="P806" s="232">
        <f>IF($A806="","",$A806-WEEKDAY($A806,2)+5)</f>
      </c>
    </row>
    <row r="807">
      <c r="A807" s="220" t="n"/>
      <c r="B807" s="218" t="n"/>
      <c r="C807" s="218" t="n"/>
      <c r="D807" s="218" t="n"/>
      <c r="E807" s="218" t="n"/>
      <c r="F807" s="328" t="n"/>
      <c r="G807" s="218" t="n"/>
      <c r="H807" s="218" t="n"/>
      <c r="I807" s="218" t="n"/>
      <c r="J807" s="218" t="n"/>
      <c r="K807" s="218" t="n"/>
      <c r="L807" s="218" t="n"/>
      <c r="M807" s="218" t="n"/>
      <c r="N807" s="218" t="n"/>
      <c r="O807" s="222">
        <f>IF($A807="","",IF(IF($B807="343",NETWORKDAYS($A807,$A807,FERIADOS_343),IF($B807="281",NETWORKDAYS($A807,$A807,FERIADOS_281),NETWORKDAYS($A807,$A807,FERIADOS_342)))=1,"SIM","NÃO"))</f>
      </c>
      <c r="P807" s="232">
        <f>IF($A807="","",$A807-WEEKDAY($A807,2)+5)</f>
      </c>
    </row>
    <row r="808">
      <c r="A808" s="220" t="n"/>
      <c r="B808" s="218" t="n"/>
      <c r="C808" s="218" t="n"/>
      <c r="D808" s="218" t="n"/>
      <c r="E808" s="218" t="n"/>
      <c r="F808" s="328" t="n"/>
      <c r="G808" s="218" t="n"/>
      <c r="H808" s="218" t="n"/>
      <c r="I808" s="218" t="n"/>
      <c r="J808" s="218" t="n"/>
      <c r="K808" s="218" t="n"/>
      <c r="L808" s="218" t="n"/>
      <c r="M808" s="218" t="n"/>
      <c r="N808" s="218" t="n"/>
      <c r="O808" s="222">
        <f>IF($A808="","",IF(IF($B808="343",NETWORKDAYS($A808,$A808,FERIADOS_343),IF($B808="281",NETWORKDAYS($A808,$A808,FERIADOS_281),NETWORKDAYS($A808,$A808,FERIADOS_342)))=1,"SIM","NÃO"))</f>
      </c>
      <c r="P808" s="232">
        <f>IF($A808="","",$A808-WEEKDAY($A808,2)+5)</f>
      </c>
    </row>
    <row r="809">
      <c r="A809" s="220" t="n"/>
      <c r="B809" s="218" t="n"/>
      <c r="C809" s="218" t="n"/>
      <c r="D809" s="218" t="n"/>
      <c r="E809" s="218" t="n"/>
      <c r="F809" s="328" t="n"/>
      <c r="G809" s="218" t="n"/>
      <c r="H809" s="218" t="n"/>
      <c r="I809" s="218" t="n"/>
      <c r="J809" s="218" t="n"/>
      <c r="K809" s="218" t="n"/>
      <c r="L809" s="218" t="n"/>
      <c r="M809" s="218" t="n"/>
      <c r="N809" s="218" t="n"/>
      <c r="O809" s="222">
        <f>IF($A809="","",IF(IF($B809="343",NETWORKDAYS($A809,$A809,FERIADOS_343),IF($B809="281",NETWORKDAYS($A809,$A809,FERIADOS_281),NETWORKDAYS($A809,$A809,FERIADOS_342)))=1,"SIM","NÃO"))</f>
      </c>
      <c r="P809" s="232">
        <f>IF($A809="","",$A809-WEEKDAY($A809,2)+5)</f>
      </c>
    </row>
    <row r="810">
      <c r="A810" s="220" t="n"/>
      <c r="B810" s="218" t="n"/>
      <c r="C810" s="218" t="n"/>
      <c r="D810" s="218" t="n"/>
      <c r="E810" s="218" t="n"/>
      <c r="F810" s="328" t="n"/>
      <c r="G810" s="218" t="n"/>
      <c r="H810" s="218" t="n"/>
      <c r="I810" s="218" t="n"/>
      <c r="J810" s="218" t="n"/>
      <c r="K810" s="218" t="n"/>
      <c r="L810" s="218" t="n"/>
      <c r="M810" s="218" t="n"/>
      <c r="N810" s="218" t="n"/>
      <c r="O810" s="222">
        <f>IF($A810="","",IF(IF($B810="343",NETWORKDAYS($A810,$A810,FERIADOS_343),IF($B810="281",NETWORKDAYS($A810,$A810,FERIADOS_281),NETWORKDAYS($A810,$A810,FERIADOS_342)))=1,"SIM","NÃO"))</f>
      </c>
      <c r="P810" s="232">
        <f>IF($A810="","",$A810-WEEKDAY($A810,2)+5)</f>
      </c>
    </row>
    <row r="811">
      <c r="A811" s="220" t="n"/>
      <c r="B811" s="218" t="n"/>
      <c r="C811" s="218" t="n"/>
      <c r="D811" s="218" t="n"/>
      <c r="E811" s="218" t="n"/>
      <c r="F811" s="328" t="n"/>
      <c r="G811" s="218" t="n"/>
      <c r="H811" s="218" t="n"/>
      <c r="I811" s="218" t="n"/>
      <c r="J811" s="218" t="n"/>
      <c r="K811" s="218" t="n"/>
      <c r="L811" s="218" t="n"/>
      <c r="M811" s="218" t="n"/>
      <c r="N811" s="218" t="n"/>
      <c r="O811" s="222">
        <f>IF($A811="","",IF(IF($B811="343",NETWORKDAYS($A811,$A811,FERIADOS_343),IF($B811="281",NETWORKDAYS($A811,$A811,FERIADOS_281),NETWORKDAYS($A811,$A811,FERIADOS_342)))=1,"SIM","NÃO"))</f>
      </c>
      <c r="P811" s="232">
        <f>IF($A811="","",$A811-WEEKDAY($A811,2)+5)</f>
      </c>
    </row>
    <row r="812">
      <c r="A812" s="220" t="n"/>
      <c r="B812" s="218" t="n"/>
      <c r="C812" s="218" t="n"/>
      <c r="D812" s="218" t="n"/>
      <c r="E812" s="218" t="n"/>
      <c r="F812" s="328" t="n"/>
      <c r="G812" s="218" t="n"/>
      <c r="H812" s="218" t="n"/>
      <c r="I812" s="218" t="n"/>
      <c r="J812" s="218" t="n"/>
      <c r="K812" s="218" t="n"/>
      <c r="L812" s="218" t="n"/>
      <c r="M812" s="218" t="n"/>
      <c r="N812" s="218" t="n"/>
      <c r="O812" s="222">
        <f>IF($A812="","",IF(IF($B812="343",NETWORKDAYS($A812,$A812,FERIADOS_343),IF($B812="281",NETWORKDAYS($A812,$A812,FERIADOS_281),NETWORKDAYS($A812,$A812,FERIADOS_342)))=1,"SIM","NÃO"))</f>
      </c>
      <c r="P812" s="232">
        <f>IF($A812="","",$A812-WEEKDAY($A812,2)+5)</f>
      </c>
    </row>
    <row r="813">
      <c r="A813" s="220" t="n"/>
      <c r="B813" s="218" t="n"/>
      <c r="C813" s="218" t="n"/>
      <c r="D813" s="218" t="n"/>
      <c r="E813" s="218" t="n"/>
      <c r="F813" s="328" t="n"/>
      <c r="G813" s="218" t="n"/>
      <c r="H813" s="218" t="n"/>
      <c r="I813" s="218" t="n"/>
      <c r="J813" s="218" t="n"/>
      <c r="K813" s="218" t="n"/>
      <c r="L813" s="218" t="n"/>
      <c r="M813" s="218" t="n"/>
      <c r="N813" s="218" t="n"/>
      <c r="O813" s="222">
        <f>IF($A813="","",IF(IF($B813="343",NETWORKDAYS($A813,$A813,FERIADOS_343),IF($B813="281",NETWORKDAYS($A813,$A813,FERIADOS_281),NETWORKDAYS($A813,$A813,FERIADOS_342)))=1,"SIM","NÃO"))</f>
      </c>
      <c r="P813" s="232">
        <f>IF($A813="","",$A813-WEEKDAY($A813,2)+5)</f>
      </c>
    </row>
    <row r="814">
      <c r="A814" s="220" t="n"/>
      <c r="B814" s="218" t="n"/>
      <c r="C814" s="218" t="n"/>
      <c r="D814" s="218" t="n"/>
      <c r="E814" s="218" t="n"/>
      <c r="F814" s="328" t="n"/>
      <c r="G814" s="218" t="n"/>
      <c r="H814" s="218" t="n"/>
      <c r="I814" s="218" t="n"/>
      <c r="J814" s="218" t="n"/>
      <c r="K814" s="218" t="n"/>
      <c r="L814" s="218" t="n"/>
      <c r="M814" s="218" t="n"/>
      <c r="N814" s="218" t="n"/>
      <c r="O814" s="222">
        <f>IF($A814="","",IF(IF($B814="343",NETWORKDAYS($A814,$A814,FERIADOS_343),IF($B814="281",NETWORKDAYS($A814,$A814,FERIADOS_281),NETWORKDAYS($A814,$A814,FERIADOS_342)))=1,"SIM","NÃO"))</f>
      </c>
      <c r="P814" s="232">
        <f>IF($A814="","",$A814-WEEKDAY($A814,2)+5)</f>
      </c>
    </row>
    <row r="815">
      <c r="A815" s="220" t="n"/>
      <c r="B815" s="218" t="n"/>
      <c r="C815" s="218" t="n"/>
      <c r="D815" s="218" t="n"/>
      <c r="E815" s="218" t="n"/>
      <c r="F815" s="328" t="n"/>
      <c r="G815" s="218" t="n"/>
      <c r="H815" s="218" t="n"/>
      <c r="I815" s="218" t="n"/>
      <c r="J815" s="218" t="n"/>
      <c r="K815" s="218" t="n"/>
      <c r="L815" s="218" t="n"/>
      <c r="M815" s="218" t="n"/>
      <c r="N815" s="218" t="n"/>
      <c r="O815" s="222">
        <f>IF($A815="","",IF(IF($B815="343",NETWORKDAYS($A815,$A815,FERIADOS_343),IF($B815="281",NETWORKDAYS($A815,$A815,FERIADOS_281),NETWORKDAYS($A815,$A815,FERIADOS_342)))=1,"SIM","NÃO"))</f>
      </c>
      <c r="P815" s="232">
        <f>IF($A815="","",$A815-WEEKDAY($A815,2)+5)</f>
      </c>
    </row>
    <row r="816">
      <c r="A816" s="220" t="n"/>
      <c r="B816" s="218" t="n"/>
      <c r="C816" s="218" t="n"/>
      <c r="D816" s="218" t="n"/>
      <c r="E816" s="218" t="n"/>
      <c r="F816" s="328" t="n"/>
      <c r="G816" s="218" t="n"/>
      <c r="H816" s="218" t="n"/>
      <c r="I816" s="218" t="n"/>
      <c r="J816" s="218" t="n"/>
      <c r="K816" s="218" t="n"/>
      <c r="L816" s="218" t="n"/>
      <c r="M816" s="218" t="n"/>
      <c r="N816" s="218" t="n"/>
      <c r="O816" s="222">
        <f>IF($A816="","",IF(IF($B816="343",NETWORKDAYS($A816,$A816,FERIADOS_343),IF($B816="281",NETWORKDAYS($A816,$A816,FERIADOS_281),NETWORKDAYS($A816,$A816,FERIADOS_342)))=1,"SIM","NÃO"))</f>
      </c>
      <c r="P816" s="232">
        <f>IF($A816="","",$A816-WEEKDAY($A816,2)+5)</f>
      </c>
    </row>
    <row r="817">
      <c r="A817" s="220" t="n"/>
      <c r="B817" s="218" t="n"/>
      <c r="C817" s="218" t="n"/>
      <c r="D817" s="218" t="n"/>
      <c r="E817" s="218" t="n"/>
      <c r="F817" s="328" t="n"/>
      <c r="G817" s="218" t="n"/>
      <c r="H817" s="218" t="n"/>
      <c r="I817" s="218" t="n"/>
      <c r="J817" s="218" t="n"/>
      <c r="K817" s="218" t="n"/>
      <c r="L817" s="218" t="n"/>
      <c r="M817" s="218" t="n"/>
      <c r="N817" s="218" t="n"/>
      <c r="O817" s="222">
        <f>IF($A817="","",IF(IF($B817="343",NETWORKDAYS($A817,$A817,FERIADOS_343),IF($B817="281",NETWORKDAYS($A817,$A817,FERIADOS_281),NETWORKDAYS($A817,$A817,FERIADOS_342)))=1,"SIM","NÃO"))</f>
      </c>
      <c r="P817" s="232">
        <f>IF($A817="","",$A817-WEEKDAY($A817,2)+5)</f>
      </c>
    </row>
    <row r="818">
      <c r="A818" s="220" t="n"/>
      <c r="B818" s="218" t="n"/>
      <c r="C818" s="218" t="n"/>
      <c r="D818" s="218" t="n"/>
      <c r="E818" s="218" t="n"/>
      <c r="F818" s="328" t="n"/>
      <c r="G818" s="218" t="n"/>
      <c r="H818" s="218" t="n"/>
      <c r="I818" s="218" t="n"/>
      <c r="J818" s="218" t="n"/>
      <c r="K818" s="218" t="n"/>
      <c r="L818" s="218" t="n"/>
      <c r="M818" s="218" t="n"/>
      <c r="N818" s="218" t="n"/>
      <c r="O818" s="222">
        <f>IF($A818="","",IF(IF($B818="343",NETWORKDAYS($A818,$A818,FERIADOS_343),IF($B818="281",NETWORKDAYS($A818,$A818,FERIADOS_281),NETWORKDAYS($A818,$A818,FERIADOS_342)))=1,"SIM","NÃO"))</f>
      </c>
      <c r="P818" s="232">
        <f>IF($A818="","",$A818-WEEKDAY($A818,2)+5)</f>
      </c>
    </row>
    <row r="819">
      <c r="A819" s="220" t="n"/>
      <c r="B819" s="218" t="n"/>
      <c r="C819" s="218" t="n"/>
      <c r="D819" s="218" t="n"/>
      <c r="E819" s="218" t="n"/>
      <c r="F819" s="328" t="n"/>
      <c r="G819" s="218" t="n"/>
      <c r="H819" s="218" t="n"/>
      <c r="I819" s="218" t="n"/>
      <c r="J819" s="218" t="n"/>
      <c r="K819" s="218" t="n"/>
      <c r="L819" s="218" t="n"/>
      <c r="M819" s="218" t="n"/>
      <c r="N819" s="218" t="n"/>
      <c r="O819" s="222">
        <f>IF($A819="","",IF(IF($B819="343",NETWORKDAYS($A819,$A819,FERIADOS_343),IF($B819="281",NETWORKDAYS($A819,$A819,FERIADOS_281),NETWORKDAYS($A819,$A819,FERIADOS_342)))=1,"SIM","NÃO"))</f>
      </c>
      <c r="P819" s="232">
        <f>IF($A819="","",$A819-WEEKDAY($A819,2)+5)</f>
      </c>
    </row>
    <row r="820">
      <c r="A820" s="220" t="n"/>
      <c r="B820" s="218" t="n"/>
      <c r="C820" s="218" t="n"/>
      <c r="D820" s="218" t="n"/>
      <c r="E820" s="218" t="n"/>
      <c r="F820" s="328" t="n"/>
      <c r="G820" s="218" t="n"/>
      <c r="H820" s="218" t="n"/>
      <c r="I820" s="218" t="n"/>
      <c r="J820" s="218" t="n"/>
      <c r="K820" s="218" t="n"/>
      <c r="L820" s="218" t="n"/>
      <c r="M820" s="218" t="n"/>
      <c r="N820" s="218" t="n"/>
      <c r="O820" s="222">
        <f>IF($A820="","",IF(IF($B820="343",NETWORKDAYS($A820,$A820,FERIADOS_343),IF($B820="281",NETWORKDAYS($A820,$A820,FERIADOS_281),NETWORKDAYS($A820,$A820,FERIADOS_342)))=1,"SIM","NÃO"))</f>
      </c>
      <c r="P820" s="232">
        <f>IF($A820="","",$A820-WEEKDAY($A820,2)+5)</f>
      </c>
    </row>
    <row r="821">
      <c r="A821" s="220" t="n"/>
      <c r="B821" s="218" t="n"/>
      <c r="C821" s="218" t="n"/>
      <c r="D821" s="218" t="n"/>
      <c r="E821" s="218" t="n"/>
      <c r="F821" s="328" t="n"/>
      <c r="G821" s="218" t="n"/>
      <c r="H821" s="218" t="n"/>
      <c r="I821" s="218" t="n"/>
      <c r="J821" s="218" t="n"/>
      <c r="K821" s="218" t="n"/>
      <c r="L821" s="218" t="n"/>
      <c r="M821" s="218" t="n"/>
      <c r="N821" s="218" t="n"/>
      <c r="O821" s="222">
        <f>IF($A821="","",IF(IF($B821="343",NETWORKDAYS($A821,$A821,FERIADOS_343),IF($B821="281",NETWORKDAYS($A821,$A821,FERIADOS_281),NETWORKDAYS($A821,$A821,FERIADOS_342)))=1,"SIM","NÃO"))</f>
      </c>
      <c r="P821" s="232">
        <f>IF($A821="","",$A821-WEEKDAY($A821,2)+5)</f>
      </c>
    </row>
    <row r="822">
      <c r="A822" s="220" t="n"/>
      <c r="B822" s="218" t="n"/>
      <c r="C822" s="218" t="n"/>
      <c r="D822" s="218" t="n"/>
      <c r="E822" s="218" t="n"/>
      <c r="F822" s="328" t="n"/>
      <c r="G822" s="218" t="n"/>
      <c r="H822" s="218" t="n"/>
      <c r="I822" s="218" t="n"/>
      <c r="J822" s="218" t="n"/>
      <c r="K822" s="218" t="n"/>
      <c r="L822" s="218" t="n"/>
      <c r="M822" s="218" t="n"/>
      <c r="N822" s="218" t="n"/>
      <c r="O822" s="222">
        <f>IF($A822="","",IF(IF($B822="343",NETWORKDAYS($A822,$A822,FERIADOS_343),IF($B822="281",NETWORKDAYS($A822,$A822,FERIADOS_281),NETWORKDAYS($A822,$A822,FERIADOS_342)))=1,"SIM","NÃO"))</f>
      </c>
      <c r="P822" s="232">
        <f>IF($A822="","",$A822-WEEKDAY($A822,2)+5)</f>
      </c>
    </row>
    <row r="823">
      <c r="A823" s="220" t="n"/>
      <c r="B823" s="218" t="n"/>
      <c r="C823" s="218" t="n"/>
      <c r="D823" s="218" t="n"/>
      <c r="E823" s="218" t="n"/>
      <c r="F823" s="328" t="n"/>
      <c r="G823" s="218" t="n"/>
      <c r="H823" s="218" t="n"/>
      <c r="I823" s="218" t="n"/>
      <c r="J823" s="218" t="n"/>
      <c r="K823" s="218" t="n"/>
      <c r="L823" s="218" t="n"/>
      <c r="M823" s="218" t="n"/>
      <c r="N823" s="218" t="n"/>
      <c r="O823" s="222">
        <f>IF($A823="","",IF(IF($B823="343",NETWORKDAYS($A823,$A823,FERIADOS_343),IF($B823="281",NETWORKDAYS($A823,$A823,FERIADOS_281),NETWORKDAYS($A823,$A823,FERIADOS_342)))=1,"SIM","NÃO"))</f>
      </c>
      <c r="P823" s="232">
        <f>IF($A823="","",$A823-WEEKDAY($A823,2)+5)</f>
      </c>
    </row>
    <row r="824">
      <c r="A824" s="220" t="n"/>
      <c r="B824" s="218" t="n"/>
      <c r="C824" s="218" t="n"/>
      <c r="D824" s="218" t="n"/>
      <c r="E824" s="218" t="n"/>
      <c r="F824" s="328" t="n"/>
      <c r="G824" s="218" t="n"/>
      <c r="H824" s="218" t="n"/>
      <c r="I824" s="218" t="n"/>
      <c r="J824" s="218" t="n"/>
      <c r="K824" s="218" t="n"/>
      <c r="L824" s="218" t="n"/>
      <c r="M824" s="218" t="n"/>
      <c r="N824" s="218" t="n"/>
      <c r="O824" s="222">
        <f>IF($A824="","",IF(IF($B824="343",NETWORKDAYS($A824,$A824,FERIADOS_343),IF($B824="281",NETWORKDAYS($A824,$A824,FERIADOS_281),NETWORKDAYS($A824,$A824,FERIADOS_342)))=1,"SIM","NÃO"))</f>
      </c>
      <c r="P824" s="232">
        <f>IF($A824="","",$A824-WEEKDAY($A824,2)+5)</f>
      </c>
    </row>
    <row r="825">
      <c r="A825" s="220" t="n"/>
      <c r="B825" s="218" t="n"/>
      <c r="C825" s="218" t="n"/>
      <c r="D825" s="218" t="n"/>
      <c r="E825" s="218" t="n"/>
      <c r="F825" s="328" t="n"/>
      <c r="G825" s="218" t="n"/>
      <c r="H825" s="218" t="n"/>
      <c r="I825" s="218" t="n"/>
      <c r="J825" s="218" t="n"/>
      <c r="K825" s="218" t="n"/>
      <c r="L825" s="218" t="n"/>
      <c r="M825" s="218" t="n"/>
      <c r="N825" s="218" t="n"/>
      <c r="O825" s="222">
        <f>IF($A825="","",IF(IF($B825="343",NETWORKDAYS($A825,$A825,FERIADOS_343),IF($B825="281",NETWORKDAYS($A825,$A825,FERIADOS_281),NETWORKDAYS($A825,$A825,FERIADOS_342)))=1,"SIM","NÃO"))</f>
      </c>
      <c r="P825" s="232">
        <f>IF($A825="","",$A825-WEEKDAY($A825,2)+5)</f>
      </c>
    </row>
    <row r="826">
      <c r="A826" s="220" t="n"/>
      <c r="B826" s="218" t="n"/>
      <c r="C826" s="218" t="n"/>
      <c r="D826" s="218" t="n"/>
      <c r="E826" s="218" t="n"/>
      <c r="F826" s="328" t="n"/>
      <c r="G826" s="218" t="n"/>
      <c r="H826" s="218" t="n"/>
      <c r="I826" s="218" t="n"/>
      <c r="J826" s="218" t="n"/>
      <c r="K826" s="218" t="n"/>
      <c r="L826" s="218" t="n"/>
      <c r="M826" s="218" t="n"/>
      <c r="N826" s="218" t="n"/>
      <c r="O826" s="222">
        <f>IF($A826="","",IF(IF($B826="343",NETWORKDAYS($A826,$A826,FERIADOS_343),IF($B826="281",NETWORKDAYS($A826,$A826,FERIADOS_281),NETWORKDAYS($A826,$A826,FERIADOS_342)))=1,"SIM","NÃO"))</f>
      </c>
      <c r="P826" s="232">
        <f>IF($A826="","",$A826-WEEKDAY($A826,2)+5)</f>
      </c>
    </row>
    <row r="827">
      <c r="A827" s="220" t="n"/>
      <c r="B827" s="218" t="n"/>
      <c r="C827" s="218" t="n"/>
      <c r="D827" s="218" t="n"/>
      <c r="E827" s="218" t="n"/>
      <c r="F827" s="328" t="n"/>
      <c r="G827" s="218" t="n"/>
      <c r="H827" s="218" t="n"/>
      <c r="I827" s="218" t="n"/>
      <c r="J827" s="218" t="n"/>
      <c r="K827" s="218" t="n"/>
      <c r="L827" s="218" t="n"/>
      <c r="M827" s="218" t="n"/>
      <c r="N827" s="218" t="n"/>
      <c r="O827" s="222">
        <f>IF($A827="","",IF(IF($B827="343",NETWORKDAYS($A827,$A827,FERIADOS_343),IF($B827="281",NETWORKDAYS($A827,$A827,FERIADOS_281),NETWORKDAYS($A827,$A827,FERIADOS_342)))=1,"SIM","NÃO"))</f>
      </c>
      <c r="P827" s="232">
        <f>IF($A827="","",$A827-WEEKDAY($A827,2)+5)</f>
      </c>
    </row>
    <row r="828">
      <c r="A828" s="220" t="n"/>
      <c r="B828" s="218" t="n"/>
      <c r="C828" s="218" t="n"/>
      <c r="D828" s="218" t="n"/>
      <c r="E828" s="218" t="n"/>
      <c r="F828" s="328" t="n"/>
      <c r="G828" s="218" t="n"/>
      <c r="H828" s="218" t="n"/>
      <c r="I828" s="218" t="n"/>
      <c r="J828" s="218" t="n"/>
      <c r="K828" s="218" t="n"/>
      <c r="L828" s="218" t="n"/>
      <c r="M828" s="218" t="n"/>
      <c r="N828" s="218" t="n"/>
      <c r="O828" s="222">
        <f>IF($A828="","",IF(IF($B828="343",NETWORKDAYS($A828,$A828,FERIADOS_343),IF($B828="281",NETWORKDAYS($A828,$A828,FERIADOS_281),NETWORKDAYS($A828,$A828,FERIADOS_342)))=1,"SIM","NÃO"))</f>
      </c>
      <c r="P828" s="232">
        <f>IF($A828="","",$A828-WEEKDAY($A828,2)+5)</f>
      </c>
    </row>
    <row r="829">
      <c r="A829" s="220" t="n"/>
      <c r="B829" s="218" t="n"/>
      <c r="C829" s="218" t="n"/>
      <c r="D829" s="218" t="n"/>
      <c r="E829" s="218" t="n"/>
      <c r="F829" s="328" t="n"/>
      <c r="G829" s="218" t="n"/>
      <c r="H829" s="218" t="n"/>
      <c r="I829" s="218" t="n"/>
      <c r="J829" s="218" t="n"/>
      <c r="K829" s="218" t="n"/>
      <c r="L829" s="218" t="n"/>
      <c r="M829" s="218" t="n"/>
      <c r="N829" s="218" t="n"/>
      <c r="O829" s="222">
        <f>IF($A829="","",IF(IF($B829="343",NETWORKDAYS($A829,$A829,FERIADOS_343),IF($B829="281",NETWORKDAYS($A829,$A829,FERIADOS_281),NETWORKDAYS($A829,$A829,FERIADOS_342)))=1,"SIM","NÃO"))</f>
      </c>
      <c r="P829" s="232">
        <f>IF($A829="","",$A829-WEEKDAY($A829,2)+5)</f>
      </c>
    </row>
    <row r="830">
      <c r="A830" s="220" t="n"/>
      <c r="B830" s="218" t="n"/>
      <c r="C830" s="218" t="n"/>
      <c r="D830" s="218" t="n"/>
      <c r="E830" s="218" t="n"/>
      <c r="F830" s="328" t="n"/>
      <c r="G830" s="218" t="n"/>
      <c r="H830" s="218" t="n"/>
      <c r="I830" s="218" t="n"/>
      <c r="J830" s="218" t="n"/>
      <c r="K830" s="218" t="n"/>
      <c r="L830" s="218" t="n"/>
      <c r="M830" s="218" t="n"/>
      <c r="N830" s="218" t="n"/>
      <c r="O830" s="222">
        <f>IF($A830="","",IF(IF($B830="343",NETWORKDAYS($A830,$A830,FERIADOS_343),IF($B830="281",NETWORKDAYS($A830,$A830,FERIADOS_281),NETWORKDAYS($A830,$A830,FERIADOS_342)))=1,"SIM","NÃO"))</f>
      </c>
      <c r="P830" s="232">
        <f>IF($A830="","",$A830-WEEKDAY($A830,2)+5)</f>
      </c>
    </row>
    <row r="831">
      <c r="A831" s="220" t="n"/>
      <c r="B831" s="218" t="n"/>
      <c r="C831" s="218" t="n"/>
      <c r="D831" s="218" t="n"/>
      <c r="E831" s="218" t="n"/>
      <c r="F831" s="328" t="n"/>
      <c r="G831" s="218" t="n"/>
      <c r="H831" s="218" t="n"/>
      <c r="I831" s="218" t="n"/>
      <c r="J831" s="218" t="n"/>
      <c r="K831" s="218" t="n"/>
      <c r="L831" s="218" t="n"/>
      <c r="M831" s="218" t="n"/>
      <c r="N831" s="218" t="n"/>
      <c r="O831" s="222">
        <f>IF($A831="","",IF(IF($B831="343",NETWORKDAYS($A831,$A831,FERIADOS_343),IF($B831="281",NETWORKDAYS($A831,$A831,FERIADOS_281),NETWORKDAYS($A831,$A831,FERIADOS_342)))=1,"SIM","NÃO"))</f>
      </c>
      <c r="P831" s="232">
        <f>IF($A831="","",$A831-WEEKDAY($A831,2)+5)</f>
      </c>
    </row>
    <row r="832">
      <c r="A832" s="220" t="n"/>
      <c r="B832" s="218" t="n"/>
      <c r="C832" s="218" t="n"/>
      <c r="D832" s="218" t="n"/>
      <c r="E832" s="218" t="n"/>
      <c r="F832" s="328" t="n"/>
      <c r="G832" s="218" t="n"/>
      <c r="H832" s="218" t="n"/>
      <c r="I832" s="218" t="n"/>
      <c r="J832" s="218" t="n"/>
      <c r="K832" s="218" t="n"/>
      <c r="L832" s="218" t="n"/>
      <c r="M832" s="218" t="n"/>
      <c r="N832" s="218" t="n"/>
      <c r="O832" s="222">
        <f>IF($A832="","",IF(IF($B832="343",NETWORKDAYS($A832,$A832,FERIADOS_343),IF($B832="281",NETWORKDAYS($A832,$A832,FERIADOS_281),NETWORKDAYS($A832,$A832,FERIADOS_342)))=1,"SIM","NÃO"))</f>
      </c>
      <c r="P832" s="232">
        <f>IF($A832="","",$A832-WEEKDAY($A832,2)+5)</f>
      </c>
    </row>
    <row r="833">
      <c r="A833" s="220" t="n"/>
      <c r="B833" s="218" t="n"/>
      <c r="C833" s="218" t="n"/>
      <c r="D833" s="218" t="n"/>
      <c r="E833" s="218" t="n"/>
      <c r="F833" s="328" t="n"/>
      <c r="G833" s="218" t="n"/>
      <c r="H833" s="218" t="n"/>
      <c r="I833" s="218" t="n"/>
      <c r="J833" s="218" t="n"/>
      <c r="K833" s="218" t="n"/>
      <c r="L833" s="218" t="n"/>
      <c r="M833" s="218" t="n"/>
      <c r="N833" s="218" t="n"/>
      <c r="O833" s="222">
        <f>IF($A833="","",IF(IF($B833="343",NETWORKDAYS($A833,$A833,FERIADOS_343),IF($B833="281",NETWORKDAYS($A833,$A833,FERIADOS_281),NETWORKDAYS($A833,$A833,FERIADOS_342)))=1,"SIM","NÃO"))</f>
      </c>
      <c r="P833" s="232">
        <f>IF($A833="","",$A833-WEEKDAY($A833,2)+5)</f>
      </c>
    </row>
    <row r="834">
      <c r="A834" s="220" t="n"/>
      <c r="B834" s="218" t="n"/>
      <c r="C834" s="218" t="n"/>
      <c r="D834" s="218" t="n"/>
      <c r="E834" s="218" t="n"/>
      <c r="F834" s="328" t="n"/>
      <c r="G834" s="218" t="n"/>
      <c r="H834" s="218" t="n"/>
      <c r="I834" s="218" t="n"/>
      <c r="J834" s="218" t="n"/>
      <c r="K834" s="218" t="n"/>
      <c r="L834" s="218" t="n"/>
      <c r="M834" s="218" t="n"/>
      <c r="N834" s="218" t="n"/>
      <c r="O834" s="222">
        <f>IF($A834="","",IF(IF($B834="343",NETWORKDAYS($A834,$A834,FERIADOS_343),IF($B834="281",NETWORKDAYS($A834,$A834,FERIADOS_281),NETWORKDAYS($A834,$A834,FERIADOS_342)))=1,"SIM","NÃO"))</f>
      </c>
      <c r="P834" s="232">
        <f>IF($A834="","",$A834-WEEKDAY($A834,2)+5)</f>
      </c>
    </row>
    <row r="835">
      <c r="A835" s="220" t="n"/>
      <c r="B835" s="218" t="n"/>
      <c r="C835" s="218" t="n"/>
      <c r="D835" s="218" t="n"/>
      <c r="E835" s="218" t="n"/>
      <c r="F835" s="328" t="n"/>
      <c r="G835" s="218" t="n"/>
      <c r="H835" s="218" t="n"/>
      <c r="I835" s="218" t="n"/>
      <c r="J835" s="218" t="n"/>
      <c r="K835" s="218" t="n"/>
      <c r="L835" s="218" t="n"/>
      <c r="M835" s="218" t="n"/>
      <c r="N835" s="218" t="n"/>
      <c r="O835" s="222">
        <f>IF($A835="","",IF(IF($B835="343",NETWORKDAYS($A835,$A835,FERIADOS_343),IF($B835="281",NETWORKDAYS($A835,$A835,FERIADOS_281),NETWORKDAYS($A835,$A835,FERIADOS_342)))=1,"SIM","NÃO"))</f>
      </c>
      <c r="P835" s="232">
        <f>IF($A835="","",$A835-WEEKDAY($A835,2)+5)</f>
      </c>
    </row>
    <row r="836">
      <c r="A836" s="220" t="n"/>
      <c r="B836" s="218" t="n"/>
      <c r="C836" s="218" t="n"/>
      <c r="D836" s="218" t="n"/>
      <c r="E836" s="218" t="n"/>
      <c r="F836" s="328" t="n"/>
      <c r="G836" s="218" t="n"/>
      <c r="H836" s="218" t="n"/>
      <c r="I836" s="218" t="n"/>
      <c r="J836" s="218" t="n"/>
      <c r="K836" s="218" t="n"/>
      <c r="L836" s="218" t="n"/>
      <c r="M836" s="218" t="n"/>
      <c r="N836" s="218" t="n"/>
      <c r="O836" s="222">
        <f>IF($A836="","",IF(IF($B836="343",NETWORKDAYS($A836,$A836,FERIADOS_343),IF($B836="281",NETWORKDAYS($A836,$A836,FERIADOS_281),NETWORKDAYS($A836,$A836,FERIADOS_342)))=1,"SIM","NÃO"))</f>
      </c>
      <c r="P836" s="232">
        <f>IF($A836="","",$A836-WEEKDAY($A836,2)+5)</f>
      </c>
    </row>
    <row r="837">
      <c r="A837" s="220" t="n"/>
      <c r="B837" s="218" t="n"/>
      <c r="C837" s="218" t="n"/>
      <c r="D837" s="218" t="n"/>
      <c r="E837" s="218" t="n"/>
      <c r="F837" s="328" t="n"/>
      <c r="G837" s="218" t="n"/>
      <c r="H837" s="218" t="n"/>
      <c r="I837" s="218" t="n"/>
      <c r="J837" s="218" t="n"/>
      <c r="K837" s="218" t="n"/>
      <c r="L837" s="218" t="n"/>
      <c r="M837" s="218" t="n"/>
      <c r="N837" s="218" t="n"/>
      <c r="O837" s="222">
        <f>IF($A837="","",IF(IF($B837="343",NETWORKDAYS($A837,$A837,FERIADOS_343),IF($B837="281",NETWORKDAYS($A837,$A837,FERIADOS_281),NETWORKDAYS($A837,$A837,FERIADOS_342)))=1,"SIM","NÃO"))</f>
      </c>
      <c r="P837" s="232">
        <f>IF($A837="","",$A837-WEEKDAY($A837,2)+5)</f>
      </c>
    </row>
    <row r="838">
      <c r="A838" s="220" t="n"/>
      <c r="B838" s="218" t="n"/>
      <c r="C838" s="218" t="n"/>
      <c r="D838" s="218" t="n"/>
      <c r="E838" s="218" t="n"/>
      <c r="F838" s="328" t="n"/>
      <c r="G838" s="218" t="n"/>
      <c r="H838" s="218" t="n"/>
      <c r="I838" s="218" t="n"/>
      <c r="J838" s="218" t="n"/>
      <c r="K838" s="218" t="n"/>
      <c r="L838" s="218" t="n"/>
      <c r="M838" s="218" t="n"/>
      <c r="N838" s="218" t="n"/>
      <c r="O838" s="222">
        <f>IF($A838="","",IF(IF($B838="343",NETWORKDAYS($A838,$A838,FERIADOS_343),IF($B838="281",NETWORKDAYS($A838,$A838,FERIADOS_281),NETWORKDAYS($A838,$A838,FERIADOS_342)))=1,"SIM","NÃO"))</f>
      </c>
      <c r="P838" s="232">
        <f>IF($A838="","",$A838-WEEKDAY($A838,2)+5)</f>
      </c>
    </row>
    <row r="839">
      <c r="A839" s="220" t="n"/>
      <c r="B839" s="218" t="n"/>
      <c r="C839" s="218" t="n"/>
      <c r="D839" s="218" t="n"/>
      <c r="E839" s="218" t="n"/>
      <c r="F839" s="328" t="n"/>
      <c r="G839" s="218" t="n"/>
      <c r="H839" s="218" t="n"/>
      <c r="I839" s="218" t="n"/>
      <c r="J839" s="218" t="n"/>
      <c r="K839" s="218" t="n"/>
      <c r="L839" s="218" t="n"/>
      <c r="M839" s="218" t="n"/>
      <c r="N839" s="218" t="n"/>
      <c r="O839" s="222">
        <f>IF($A839="","",IF(IF($B839="343",NETWORKDAYS($A839,$A839,FERIADOS_343),IF($B839="281",NETWORKDAYS($A839,$A839,FERIADOS_281),NETWORKDAYS($A839,$A839,FERIADOS_342)))=1,"SIM","NÃO"))</f>
      </c>
      <c r="P839" s="232">
        <f>IF($A839="","",$A839-WEEKDAY($A839,2)+5)</f>
      </c>
    </row>
    <row r="840">
      <c r="A840" s="220" t="n"/>
      <c r="B840" s="218" t="n"/>
      <c r="C840" s="218" t="n"/>
      <c r="D840" s="218" t="n"/>
      <c r="E840" s="218" t="n"/>
      <c r="F840" s="328" t="n"/>
      <c r="G840" s="218" t="n"/>
      <c r="H840" s="218" t="n"/>
      <c r="I840" s="218" t="n"/>
      <c r="J840" s="218" t="n"/>
      <c r="K840" s="218" t="n"/>
      <c r="L840" s="218" t="n"/>
      <c r="M840" s="218" t="n"/>
      <c r="N840" s="218" t="n"/>
      <c r="O840" s="222">
        <f>IF($A840="","",IF(IF($B840="343",NETWORKDAYS($A840,$A840,FERIADOS_343),IF($B840="281",NETWORKDAYS($A840,$A840,FERIADOS_281),NETWORKDAYS($A840,$A840,FERIADOS_342)))=1,"SIM","NÃO"))</f>
      </c>
      <c r="P840" s="232">
        <f>IF($A840="","",$A840-WEEKDAY($A840,2)+5)</f>
      </c>
    </row>
    <row r="841">
      <c r="A841" s="220" t="n"/>
      <c r="B841" s="218" t="n"/>
      <c r="C841" s="218" t="n"/>
      <c r="D841" s="218" t="n"/>
      <c r="E841" s="218" t="n"/>
      <c r="F841" s="328" t="n"/>
      <c r="G841" s="218" t="n"/>
      <c r="H841" s="218" t="n"/>
      <c r="I841" s="218" t="n"/>
      <c r="J841" s="218" t="n"/>
      <c r="K841" s="218" t="n"/>
      <c r="L841" s="218" t="n"/>
      <c r="M841" s="218" t="n"/>
      <c r="N841" s="218" t="n"/>
      <c r="O841" s="222">
        <f>IF($A841="","",IF(IF($B841="343",NETWORKDAYS($A841,$A841,FERIADOS_343),IF($B841="281",NETWORKDAYS($A841,$A841,FERIADOS_281),NETWORKDAYS($A841,$A841,FERIADOS_342)))=1,"SIM","NÃO"))</f>
      </c>
      <c r="P841" s="232">
        <f>IF($A841="","",$A841-WEEKDAY($A841,2)+5)</f>
      </c>
    </row>
    <row r="842">
      <c r="A842" s="220" t="n"/>
      <c r="B842" s="218" t="n"/>
      <c r="C842" s="218" t="n"/>
      <c r="D842" s="218" t="n"/>
      <c r="E842" s="218" t="n"/>
      <c r="F842" s="328" t="n"/>
      <c r="G842" s="218" t="n"/>
      <c r="H842" s="218" t="n"/>
      <c r="I842" s="218" t="n"/>
      <c r="J842" s="218" t="n"/>
      <c r="K842" s="218" t="n"/>
      <c r="L842" s="218" t="n"/>
      <c r="M842" s="218" t="n"/>
      <c r="N842" s="218" t="n"/>
      <c r="O842" s="222">
        <f>IF($A842="","",IF(IF($B842="343",NETWORKDAYS($A842,$A842,FERIADOS_343),IF($B842="281",NETWORKDAYS($A842,$A842,FERIADOS_281),NETWORKDAYS($A842,$A842,FERIADOS_342)))=1,"SIM","NÃO"))</f>
      </c>
      <c r="P842" s="232">
        <f>IF($A842="","",$A842-WEEKDAY($A842,2)+5)</f>
      </c>
    </row>
    <row r="843">
      <c r="A843" s="220" t="n"/>
      <c r="B843" s="218" t="n"/>
      <c r="C843" s="218" t="n"/>
      <c r="D843" s="218" t="n"/>
      <c r="E843" s="218" t="n"/>
      <c r="F843" s="328" t="n"/>
      <c r="G843" s="218" t="n"/>
      <c r="H843" s="218" t="n"/>
      <c r="I843" s="218" t="n"/>
      <c r="J843" s="218" t="n"/>
      <c r="K843" s="218" t="n"/>
      <c r="L843" s="218" t="n"/>
      <c r="M843" s="218" t="n"/>
      <c r="N843" s="218" t="n"/>
      <c r="O843" s="222">
        <f>IF($A843="","",IF(IF($B843="343",NETWORKDAYS($A843,$A843,FERIADOS_343),IF($B843="281",NETWORKDAYS($A843,$A843,FERIADOS_281),NETWORKDAYS($A843,$A843,FERIADOS_342)))=1,"SIM","NÃO"))</f>
      </c>
      <c r="P843" s="232">
        <f>IF($A843="","",$A843-WEEKDAY($A843,2)+5)</f>
      </c>
    </row>
    <row r="844">
      <c r="A844" s="220" t="n"/>
      <c r="B844" s="218" t="n"/>
      <c r="C844" s="218" t="n"/>
      <c r="D844" s="218" t="n"/>
      <c r="E844" s="218" t="n"/>
      <c r="F844" s="328" t="n"/>
      <c r="G844" s="218" t="n"/>
      <c r="H844" s="218" t="n"/>
      <c r="I844" s="218" t="n"/>
      <c r="J844" s="218" t="n"/>
      <c r="K844" s="218" t="n"/>
      <c r="L844" s="218" t="n"/>
      <c r="M844" s="218" t="n"/>
      <c r="N844" s="218" t="n"/>
      <c r="O844" s="222">
        <f>IF($A844="","",IF(IF($B844="343",NETWORKDAYS($A844,$A844,FERIADOS_343),IF($B844="281",NETWORKDAYS($A844,$A844,FERIADOS_281),NETWORKDAYS($A844,$A844,FERIADOS_342)))=1,"SIM","NÃO"))</f>
      </c>
      <c r="P844" s="232">
        <f>IF($A844="","",$A844-WEEKDAY($A844,2)+5)</f>
      </c>
    </row>
    <row r="845">
      <c r="A845" s="220" t="n"/>
      <c r="B845" s="218" t="n"/>
      <c r="C845" s="218" t="n"/>
      <c r="D845" s="218" t="n"/>
      <c r="E845" s="218" t="n"/>
      <c r="F845" s="328" t="n"/>
      <c r="G845" s="218" t="n"/>
      <c r="H845" s="218" t="n"/>
      <c r="I845" s="218" t="n"/>
      <c r="J845" s="218" t="n"/>
      <c r="K845" s="218" t="n"/>
      <c r="L845" s="218" t="n"/>
      <c r="M845" s="218" t="n"/>
      <c r="N845" s="218" t="n"/>
      <c r="O845" s="222">
        <f>IF($A845="","",IF(IF($B845="343",NETWORKDAYS($A845,$A845,FERIADOS_343),IF($B845="281",NETWORKDAYS($A845,$A845,FERIADOS_281),NETWORKDAYS($A845,$A845,FERIADOS_342)))=1,"SIM","NÃO"))</f>
      </c>
      <c r="P845" s="232">
        <f>IF($A845="","",$A845-WEEKDAY($A845,2)+5)</f>
      </c>
    </row>
    <row r="846">
      <c r="A846" s="220" t="n"/>
      <c r="B846" s="218" t="n"/>
      <c r="C846" s="218" t="n"/>
      <c r="D846" s="218" t="n"/>
      <c r="E846" s="218" t="n"/>
      <c r="F846" s="328" t="n"/>
      <c r="G846" s="218" t="n"/>
      <c r="H846" s="218" t="n"/>
      <c r="I846" s="218" t="n"/>
      <c r="J846" s="218" t="n"/>
      <c r="K846" s="218" t="n"/>
      <c r="L846" s="218" t="n"/>
      <c r="M846" s="218" t="n"/>
      <c r="N846" s="218" t="n"/>
      <c r="O846" s="222">
        <f>IF($A846="","",IF(IF($B846="343",NETWORKDAYS($A846,$A846,FERIADOS_343),IF($B846="281",NETWORKDAYS($A846,$A846,FERIADOS_281),NETWORKDAYS($A846,$A846,FERIADOS_342)))=1,"SIM","NÃO"))</f>
      </c>
      <c r="P846" s="232">
        <f>IF($A846="","",$A846-WEEKDAY($A846,2)+5)</f>
      </c>
    </row>
    <row r="847">
      <c r="A847" s="220" t="n"/>
      <c r="B847" s="218" t="n"/>
      <c r="C847" s="218" t="n"/>
      <c r="D847" s="218" t="n"/>
      <c r="E847" s="218" t="n"/>
      <c r="F847" s="328" t="n"/>
      <c r="G847" s="218" t="n"/>
      <c r="H847" s="218" t="n"/>
      <c r="I847" s="218" t="n"/>
      <c r="J847" s="218" t="n"/>
      <c r="K847" s="218" t="n"/>
      <c r="L847" s="218" t="n"/>
      <c r="M847" s="218" t="n"/>
      <c r="N847" s="218" t="n"/>
      <c r="O847" s="222">
        <f>IF($A847="","",IF(IF($B847="343",NETWORKDAYS($A847,$A847,FERIADOS_343),IF($B847="281",NETWORKDAYS($A847,$A847,FERIADOS_281),NETWORKDAYS($A847,$A847,FERIADOS_342)))=1,"SIM","NÃO"))</f>
      </c>
      <c r="P847" s="232">
        <f>IF($A847="","",$A847-WEEKDAY($A847,2)+5)</f>
      </c>
    </row>
    <row r="848">
      <c r="A848" s="220" t="n"/>
      <c r="B848" s="218" t="n"/>
      <c r="C848" s="218" t="n"/>
      <c r="D848" s="218" t="n"/>
      <c r="E848" s="218" t="n"/>
      <c r="F848" s="328" t="n"/>
      <c r="G848" s="218" t="n"/>
      <c r="H848" s="218" t="n"/>
      <c r="I848" s="218" t="n"/>
      <c r="J848" s="218" t="n"/>
      <c r="K848" s="218" t="n"/>
      <c r="L848" s="218" t="n"/>
      <c r="M848" s="218" t="n"/>
      <c r="N848" s="218" t="n"/>
      <c r="O848" s="222">
        <f>IF($A848="","",IF(IF($B848="343",NETWORKDAYS($A848,$A848,FERIADOS_343),IF($B848="281",NETWORKDAYS($A848,$A848,FERIADOS_281),NETWORKDAYS($A848,$A848,FERIADOS_342)))=1,"SIM","NÃO"))</f>
      </c>
      <c r="P848" s="232">
        <f>IF($A848="","",$A848-WEEKDAY($A848,2)+5)</f>
      </c>
    </row>
    <row r="849">
      <c r="A849" s="220" t="n"/>
      <c r="B849" s="218" t="n"/>
      <c r="C849" s="218" t="n"/>
      <c r="D849" s="218" t="n"/>
      <c r="E849" s="218" t="n"/>
      <c r="F849" s="328" t="n"/>
      <c r="G849" s="218" t="n"/>
      <c r="H849" s="218" t="n"/>
      <c r="I849" s="218" t="n"/>
      <c r="J849" s="218" t="n"/>
      <c r="K849" s="218" t="n"/>
      <c r="L849" s="218" t="n"/>
      <c r="M849" s="218" t="n"/>
      <c r="N849" s="218" t="n"/>
      <c r="O849" s="222">
        <f>IF($A849="","",IF(IF($B849="343",NETWORKDAYS($A849,$A849,FERIADOS_343),IF($B849="281",NETWORKDAYS($A849,$A849,FERIADOS_281),NETWORKDAYS($A849,$A849,FERIADOS_342)))=1,"SIM","NÃO"))</f>
      </c>
      <c r="P849" s="232">
        <f>IF($A849="","",$A849-WEEKDAY($A849,2)+5)</f>
      </c>
    </row>
    <row r="850">
      <c r="A850" s="220" t="n"/>
      <c r="B850" s="218" t="n"/>
      <c r="C850" s="218" t="n"/>
      <c r="D850" s="218" t="n"/>
      <c r="E850" s="218" t="n"/>
      <c r="F850" s="328" t="n"/>
      <c r="G850" s="218" t="n"/>
      <c r="H850" s="218" t="n"/>
      <c r="I850" s="218" t="n"/>
      <c r="J850" s="218" t="n"/>
      <c r="K850" s="218" t="n"/>
      <c r="L850" s="218" t="n"/>
      <c r="M850" s="218" t="n"/>
      <c r="N850" s="218" t="n"/>
      <c r="O850" s="222">
        <f>IF($A850="","",IF(IF($B850="343",NETWORKDAYS($A850,$A850,FERIADOS_343),IF($B850="281",NETWORKDAYS($A850,$A850,FERIADOS_281),NETWORKDAYS($A850,$A850,FERIADOS_342)))=1,"SIM","NÃO"))</f>
      </c>
      <c r="P850" s="232">
        <f>IF($A850="","",$A850-WEEKDAY($A850,2)+5)</f>
      </c>
    </row>
    <row r="851">
      <c r="A851" s="220" t="n"/>
      <c r="B851" s="218" t="n"/>
      <c r="C851" s="218" t="n"/>
      <c r="D851" s="218" t="n"/>
      <c r="E851" s="218" t="n"/>
      <c r="F851" s="328" t="n"/>
      <c r="G851" s="218" t="n"/>
      <c r="H851" s="218" t="n"/>
      <c r="I851" s="218" t="n"/>
      <c r="J851" s="218" t="n"/>
      <c r="K851" s="218" t="n"/>
      <c r="L851" s="218" t="n"/>
      <c r="M851" s="218" t="n"/>
      <c r="N851" s="218" t="n"/>
      <c r="O851" s="222">
        <f>IF($A851="","",IF(IF($B851="343",NETWORKDAYS($A851,$A851,FERIADOS_343),IF($B851="281",NETWORKDAYS($A851,$A851,FERIADOS_281),NETWORKDAYS($A851,$A851,FERIADOS_342)))=1,"SIM","NÃO"))</f>
      </c>
      <c r="P851" s="232">
        <f>IF($A851="","",$A851-WEEKDAY($A851,2)+5)</f>
      </c>
    </row>
    <row r="852">
      <c r="A852" s="220" t="n"/>
      <c r="B852" s="218" t="n"/>
      <c r="C852" s="218" t="n"/>
      <c r="D852" s="218" t="n"/>
      <c r="E852" s="218" t="n"/>
      <c r="F852" s="328" t="n"/>
      <c r="G852" s="218" t="n"/>
      <c r="H852" s="218" t="n"/>
      <c r="I852" s="218" t="n"/>
      <c r="J852" s="218" t="n"/>
      <c r="K852" s="218" t="n"/>
      <c r="L852" s="218" t="n"/>
      <c r="M852" s="218" t="n"/>
      <c r="N852" s="218" t="n"/>
      <c r="O852" s="222">
        <f>IF($A852="","",IF(IF($B852="343",NETWORKDAYS($A852,$A852,FERIADOS_343),IF($B852="281",NETWORKDAYS($A852,$A852,FERIADOS_281),NETWORKDAYS($A852,$A852,FERIADOS_342)))=1,"SIM","NÃO"))</f>
      </c>
      <c r="P852" s="232">
        <f>IF($A852="","",$A852-WEEKDAY($A852,2)+5)</f>
      </c>
    </row>
    <row r="853">
      <c r="A853" s="220" t="n"/>
      <c r="B853" s="218" t="n"/>
      <c r="C853" s="218" t="n"/>
      <c r="D853" s="218" t="n"/>
      <c r="E853" s="218" t="n"/>
      <c r="F853" s="328" t="n"/>
      <c r="G853" s="218" t="n"/>
      <c r="H853" s="218" t="n"/>
      <c r="I853" s="218" t="n"/>
      <c r="J853" s="218" t="n"/>
      <c r="K853" s="218" t="n"/>
      <c r="L853" s="218" t="n"/>
      <c r="M853" s="218" t="n"/>
      <c r="N853" s="218" t="n"/>
      <c r="O853" s="222">
        <f>IF($A853="","",IF(IF($B853="343",NETWORKDAYS($A853,$A853,FERIADOS_343),IF($B853="281",NETWORKDAYS($A853,$A853,FERIADOS_281),NETWORKDAYS($A853,$A853,FERIADOS_342)))=1,"SIM","NÃO"))</f>
      </c>
      <c r="P853" s="232">
        <f>IF($A853="","",$A853-WEEKDAY($A853,2)+5)</f>
      </c>
    </row>
    <row r="854">
      <c r="A854" s="220" t="n"/>
      <c r="B854" s="218" t="n"/>
      <c r="C854" s="218" t="n"/>
      <c r="D854" s="218" t="n"/>
      <c r="E854" s="218" t="n"/>
      <c r="F854" s="328" t="n"/>
      <c r="G854" s="218" t="n"/>
      <c r="H854" s="218" t="n"/>
      <c r="I854" s="218" t="n"/>
      <c r="J854" s="218" t="n"/>
      <c r="K854" s="218" t="n"/>
      <c r="L854" s="218" t="n"/>
      <c r="M854" s="218" t="n"/>
      <c r="N854" s="218" t="n"/>
      <c r="O854" s="222">
        <f>IF($A854="","",IF(IF($B854="343",NETWORKDAYS($A854,$A854,FERIADOS_343),IF($B854="281",NETWORKDAYS($A854,$A854,FERIADOS_281),NETWORKDAYS($A854,$A854,FERIADOS_342)))=1,"SIM","NÃO"))</f>
      </c>
      <c r="P854" s="232">
        <f>IF($A854="","",$A854-WEEKDAY($A854,2)+5)</f>
      </c>
    </row>
    <row r="855">
      <c r="A855" s="220" t="n"/>
      <c r="B855" s="218" t="n"/>
      <c r="C855" s="218" t="n"/>
      <c r="D855" s="218" t="n"/>
      <c r="E855" s="218" t="n"/>
      <c r="F855" s="328" t="n"/>
      <c r="G855" s="218" t="n"/>
      <c r="H855" s="218" t="n"/>
      <c r="I855" s="218" t="n"/>
      <c r="J855" s="218" t="n"/>
      <c r="K855" s="218" t="n"/>
      <c r="L855" s="218" t="n"/>
      <c r="M855" s="218" t="n"/>
      <c r="N855" s="218" t="n"/>
      <c r="O855" s="222">
        <f>IF($A855="","",IF(IF($B855="343",NETWORKDAYS($A855,$A855,FERIADOS_343),IF($B855="281",NETWORKDAYS($A855,$A855,FERIADOS_281),NETWORKDAYS($A855,$A855,FERIADOS_342)))=1,"SIM","NÃO"))</f>
      </c>
      <c r="P855" s="232">
        <f>IF($A855="","",$A855-WEEKDAY($A855,2)+5)</f>
      </c>
    </row>
    <row r="856">
      <c r="A856" s="220" t="n"/>
      <c r="B856" s="218" t="n"/>
      <c r="C856" s="218" t="n"/>
      <c r="D856" s="218" t="n"/>
      <c r="E856" s="218" t="n"/>
      <c r="F856" s="328" t="n"/>
      <c r="G856" s="218" t="n"/>
      <c r="H856" s="218" t="n"/>
      <c r="I856" s="218" t="n"/>
      <c r="J856" s="218" t="n"/>
      <c r="K856" s="218" t="n"/>
      <c r="L856" s="218" t="n"/>
      <c r="M856" s="218" t="n"/>
      <c r="N856" s="218" t="n"/>
      <c r="O856" s="222">
        <f>IF($A856="","",IF(IF($B856="343",NETWORKDAYS($A856,$A856,FERIADOS_343),IF($B856="281",NETWORKDAYS($A856,$A856,FERIADOS_281),NETWORKDAYS($A856,$A856,FERIADOS_342)))=1,"SIM","NÃO"))</f>
      </c>
      <c r="P856" s="232">
        <f>IF($A856="","",$A856-WEEKDAY($A856,2)+5)</f>
      </c>
    </row>
    <row r="857">
      <c r="A857" s="220" t="n"/>
      <c r="B857" s="218" t="n"/>
      <c r="C857" s="218" t="n"/>
      <c r="D857" s="218" t="n"/>
      <c r="E857" s="218" t="n"/>
      <c r="F857" s="328" t="n"/>
      <c r="G857" s="218" t="n"/>
      <c r="H857" s="218" t="n"/>
      <c r="I857" s="218" t="n"/>
      <c r="J857" s="218" t="n"/>
      <c r="K857" s="218" t="n"/>
      <c r="L857" s="218" t="n"/>
      <c r="M857" s="218" t="n"/>
      <c r="N857" s="218" t="n"/>
      <c r="O857" s="222">
        <f>IF($A857="","",IF(IF($B857="343",NETWORKDAYS($A857,$A857,FERIADOS_343),IF($B857="281",NETWORKDAYS($A857,$A857,FERIADOS_281),NETWORKDAYS($A857,$A857,FERIADOS_342)))=1,"SIM","NÃO"))</f>
      </c>
      <c r="P857" s="232">
        <f>IF($A857="","",$A857-WEEKDAY($A857,2)+5)</f>
      </c>
    </row>
    <row r="858">
      <c r="A858" s="220" t="n"/>
      <c r="B858" s="218" t="n"/>
      <c r="C858" s="218" t="n"/>
      <c r="D858" s="218" t="n"/>
      <c r="E858" s="218" t="n"/>
      <c r="F858" s="328" t="n"/>
      <c r="G858" s="218" t="n"/>
      <c r="H858" s="218" t="n"/>
      <c r="I858" s="218" t="n"/>
      <c r="J858" s="218" t="n"/>
      <c r="K858" s="218" t="n"/>
      <c r="L858" s="218" t="n"/>
      <c r="M858" s="218" t="n"/>
      <c r="N858" s="218" t="n"/>
      <c r="O858" s="222">
        <f>IF($A858="","",IF(IF($B858="343",NETWORKDAYS($A858,$A858,FERIADOS_343),IF($B858="281",NETWORKDAYS($A858,$A858,FERIADOS_281),NETWORKDAYS($A858,$A858,FERIADOS_342)))=1,"SIM","NÃO"))</f>
      </c>
      <c r="P858" s="232">
        <f>IF($A858="","",$A858-WEEKDAY($A858,2)+5)</f>
      </c>
    </row>
    <row r="859">
      <c r="A859" s="220" t="n"/>
      <c r="B859" s="218" t="n"/>
      <c r="C859" s="218" t="n"/>
      <c r="D859" s="218" t="n"/>
      <c r="E859" s="218" t="n"/>
      <c r="F859" s="328" t="n"/>
      <c r="G859" s="218" t="n"/>
      <c r="H859" s="218" t="n"/>
      <c r="I859" s="218" t="n"/>
      <c r="J859" s="218" t="n"/>
      <c r="K859" s="218" t="n"/>
      <c r="L859" s="218" t="n"/>
      <c r="M859" s="218" t="n"/>
      <c r="N859" s="218" t="n"/>
      <c r="O859" s="222">
        <f>IF($A859="","",IF(IF($B859="343",NETWORKDAYS($A859,$A859,FERIADOS_343),IF($B859="281",NETWORKDAYS($A859,$A859,FERIADOS_281),NETWORKDAYS($A859,$A859,FERIADOS_342)))=1,"SIM","NÃO"))</f>
      </c>
      <c r="P859" s="232">
        <f>IF($A859="","",$A859-WEEKDAY($A859,2)+5)</f>
      </c>
    </row>
    <row r="860">
      <c r="A860" s="220" t="n"/>
      <c r="B860" s="218" t="n"/>
      <c r="C860" s="218" t="n"/>
      <c r="D860" s="218" t="n"/>
      <c r="E860" s="218" t="n"/>
      <c r="F860" s="328" t="n"/>
      <c r="G860" s="218" t="n"/>
      <c r="H860" s="218" t="n"/>
      <c r="I860" s="218" t="n"/>
      <c r="J860" s="218" t="n"/>
      <c r="K860" s="218" t="n"/>
      <c r="L860" s="218" t="n"/>
      <c r="M860" s="218" t="n"/>
      <c r="N860" s="218" t="n"/>
      <c r="O860" s="222">
        <f>IF($A860="","",IF(IF($B860="343",NETWORKDAYS($A860,$A860,FERIADOS_343),IF($B860="281",NETWORKDAYS($A860,$A860,FERIADOS_281),NETWORKDAYS($A860,$A860,FERIADOS_342)))=1,"SIM","NÃO"))</f>
      </c>
      <c r="P860" s="232">
        <f>IF($A860="","",$A860-WEEKDAY($A860,2)+5)</f>
      </c>
    </row>
    <row r="861">
      <c r="A861" s="220" t="n"/>
      <c r="B861" s="218" t="n"/>
      <c r="C861" s="218" t="n"/>
      <c r="D861" s="218" t="n"/>
      <c r="E861" s="218" t="n"/>
      <c r="F861" s="328" t="n"/>
      <c r="G861" s="218" t="n"/>
      <c r="H861" s="218" t="n"/>
      <c r="I861" s="218" t="n"/>
      <c r="J861" s="218" t="n"/>
      <c r="K861" s="218" t="n"/>
      <c r="L861" s="218" t="n"/>
      <c r="M861" s="218" t="n"/>
      <c r="N861" s="218" t="n"/>
      <c r="O861" s="222">
        <f>IF($A861="","",IF(IF($B861="343",NETWORKDAYS($A861,$A861,FERIADOS_343),IF($B861="281",NETWORKDAYS($A861,$A861,FERIADOS_281),NETWORKDAYS($A861,$A861,FERIADOS_342)))=1,"SIM","NÃO"))</f>
      </c>
      <c r="P861" s="232">
        <f>IF($A861="","",$A861-WEEKDAY($A861,2)+5)</f>
      </c>
    </row>
    <row r="862">
      <c r="A862" s="220" t="n"/>
      <c r="B862" s="218" t="n"/>
      <c r="C862" s="218" t="n"/>
      <c r="D862" s="218" t="n"/>
      <c r="E862" s="218" t="n"/>
      <c r="F862" s="328" t="n"/>
      <c r="G862" s="218" t="n"/>
      <c r="H862" s="218" t="n"/>
      <c r="I862" s="218" t="n"/>
      <c r="J862" s="218" t="n"/>
      <c r="K862" s="218" t="n"/>
      <c r="L862" s="218" t="n"/>
      <c r="M862" s="218" t="n"/>
      <c r="N862" s="218" t="n"/>
      <c r="O862" s="222">
        <f>IF($A862="","",IF(IF($B862="343",NETWORKDAYS($A862,$A862,FERIADOS_343),IF($B862="281",NETWORKDAYS($A862,$A862,FERIADOS_281),NETWORKDAYS($A862,$A862,FERIADOS_342)))=1,"SIM","NÃO"))</f>
      </c>
      <c r="P862" s="232">
        <f>IF($A862="","",$A862-WEEKDAY($A862,2)+5)</f>
      </c>
    </row>
    <row r="863">
      <c r="A863" s="220" t="n"/>
      <c r="B863" s="218" t="n"/>
      <c r="C863" s="218" t="n"/>
      <c r="D863" s="218" t="n"/>
      <c r="E863" s="218" t="n"/>
      <c r="F863" s="328" t="n"/>
      <c r="G863" s="218" t="n"/>
      <c r="H863" s="218" t="n"/>
      <c r="I863" s="218" t="n"/>
      <c r="J863" s="218" t="n"/>
      <c r="K863" s="218" t="n"/>
      <c r="L863" s="218" t="n"/>
      <c r="M863" s="218" t="n"/>
      <c r="N863" s="218" t="n"/>
      <c r="O863" s="222">
        <f>IF($A863="","",IF(IF($B863="343",NETWORKDAYS($A863,$A863,FERIADOS_343),IF($B863="281",NETWORKDAYS($A863,$A863,FERIADOS_281),NETWORKDAYS($A863,$A863,FERIADOS_342)))=1,"SIM","NÃO"))</f>
      </c>
      <c r="P863" s="232">
        <f>IF($A863="","",$A863-WEEKDAY($A863,2)+5)</f>
      </c>
    </row>
    <row r="864">
      <c r="A864" s="220" t="n"/>
      <c r="B864" s="218" t="n"/>
      <c r="C864" s="218" t="n"/>
      <c r="D864" s="218" t="n"/>
      <c r="E864" s="218" t="n"/>
      <c r="F864" s="328" t="n"/>
      <c r="G864" s="218" t="n"/>
      <c r="H864" s="218" t="n"/>
      <c r="I864" s="218" t="n"/>
      <c r="J864" s="218" t="n"/>
      <c r="K864" s="218" t="n"/>
      <c r="L864" s="218" t="n"/>
      <c r="M864" s="218" t="n"/>
      <c r="N864" s="218" t="n"/>
      <c r="O864" s="222">
        <f>IF($A864="","",IF(IF($B864="343",NETWORKDAYS($A864,$A864,FERIADOS_343),IF($B864="281",NETWORKDAYS($A864,$A864,FERIADOS_281),NETWORKDAYS($A864,$A864,FERIADOS_342)))=1,"SIM","NÃO"))</f>
      </c>
      <c r="P864" s="232">
        <f>IF($A864="","",$A864-WEEKDAY($A864,2)+5)</f>
      </c>
    </row>
    <row r="865">
      <c r="A865" s="220" t="n"/>
      <c r="B865" s="218" t="n"/>
      <c r="C865" s="218" t="n"/>
      <c r="D865" s="218" t="n"/>
      <c r="E865" s="218" t="n"/>
      <c r="F865" s="328" t="n"/>
      <c r="G865" s="218" t="n"/>
      <c r="H865" s="218" t="n"/>
      <c r="I865" s="218" t="n"/>
      <c r="J865" s="218" t="n"/>
      <c r="K865" s="218" t="n"/>
      <c r="L865" s="218" t="n"/>
      <c r="M865" s="218" t="n"/>
      <c r="N865" s="218" t="n"/>
      <c r="O865" s="222">
        <f>IF($A865="","",IF(IF($B865="343",NETWORKDAYS($A865,$A865,FERIADOS_343),IF($B865="281",NETWORKDAYS($A865,$A865,FERIADOS_281),NETWORKDAYS($A865,$A865,FERIADOS_342)))=1,"SIM","NÃO"))</f>
      </c>
      <c r="P865" s="232">
        <f>IF($A865="","",$A865-WEEKDAY($A865,2)+5)</f>
      </c>
    </row>
    <row r="866">
      <c r="A866" s="220" t="n"/>
      <c r="B866" s="218" t="n"/>
      <c r="C866" s="218" t="n"/>
      <c r="D866" s="218" t="n"/>
      <c r="E866" s="218" t="n"/>
      <c r="F866" s="328" t="n"/>
      <c r="G866" s="218" t="n"/>
      <c r="H866" s="218" t="n"/>
      <c r="I866" s="218" t="n"/>
      <c r="J866" s="218" t="n"/>
      <c r="K866" s="218" t="n"/>
      <c r="L866" s="218" t="n"/>
      <c r="M866" s="218" t="n"/>
      <c r="N866" s="218" t="n"/>
      <c r="O866" s="222">
        <f>IF($A866="","",IF(IF($B866="343",NETWORKDAYS($A866,$A866,FERIADOS_343),IF($B866="281",NETWORKDAYS($A866,$A866,FERIADOS_281),NETWORKDAYS($A866,$A866,FERIADOS_342)))=1,"SIM","NÃO"))</f>
      </c>
      <c r="P866" s="232">
        <f>IF($A866="","",$A866-WEEKDAY($A866,2)+5)</f>
      </c>
    </row>
    <row r="867">
      <c r="A867" s="220" t="n"/>
      <c r="B867" s="218" t="n"/>
      <c r="C867" s="218" t="n"/>
      <c r="D867" s="218" t="n"/>
      <c r="E867" s="218" t="n"/>
      <c r="F867" s="328" t="n"/>
      <c r="G867" s="218" t="n"/>
      <c r="H867" s="218" t="n"/>
      <c r="I867" s="218" t="n"/>
      <c r="J867" s="218" t="n"/>
      <c r="K867" s="218" t="n"/>
      <c r="L867" s="218" t="n"/>
      <c r="M867" s="218" t="n"/>
      <c r="N867" s="218" t="n"/>
      <c r="O867" s="222">
        <f>IF($A867="","",IF(IF($B867="343",NETWORKDAYS($A867,$A867,FERIADOS_343),IF($B867="281",NETWORKDAYS($A867,$A867,FERIADOS_281),NETWORKDAYS($A867,$A867,FERIADOS_342)))=1,"SIM","NÃO"))</f>
      </c>
      <c r="P867" s="232">
        <f>IF($A867="","",$A867-WEEKDAY($A867,2)+5)</f>
      </c>
    </row>
    <row r="868">
      <c r="A868" s="220" t="n"/>
      <c r="B868" s="218" t="n"/>
      <c r="C868" s="218" t="n"/>
      <c r="D868" s="218" t="n"/>
      <c r="E868" s="218" t="n"/>
      <c r="F868" s="328" t="n"/>
      <c r="G868" s="218" t="n"/>
      <c r="H868" s="218" t="n"/>
      <c r="I868" s="218" t="n"/>
      <c r="J868" s="218" t="n"/>
      <c r="K868" s="218" t="n"/>
      <c r="L868" s="218" t="n"/>
      <c r="M868" s="218" t="n"/>
      <c r="N868" s="218" t="n"/>
      <c r="O868" s="222">
        <f>IF($A868="","",IF(IF($B868="343",NETWORKDAYS($A868,$A868,FERIADOS_343),IF($B868="281",NETWORKDAYS($A868,$A868,FERIADOS_281),NETWORKDAYS($A868,$A868,FERIADOS_342)))=1,"SIM","NÃO"))</f>
      </c>
      <c r="P868" s="232">
        <f>IF($A868="","",$A868-WEEKDAY($A868,2)+5)</f>
      </c>
    </row>
    <row r="869">
      <c r="A869" s="220" t="n"/>
      <c r="B869" s="218" t="n"/>
      <c r="C869" s="218" t="n"/>
      <c r="D869" s="218" t="n"/>
      <c r="E869" s="218" t="n"/>
      <c r="F869" s="328" t="n"/>
      <c r="G869" s="218" t="n"/>
      <c r="H869" s="218" t="n"/>
      <c r="I869" s="218" t="n"/>
      <c r="J869" s="218" t="n"/>
      <c r="K869" s="218" t="n"/>
      <c r="L869" s="218" t="n"/>
      <c r="M869" s="218" t="n"/>
      <c r="N869" s="218" t="n"/>
      <c r="O869" s="222">
        <f>IF($A869="","",IF(IF($B869="343",NETWORKDAYS($A869,$A869,FERIADOS_343),IF($B869="281",NETWORKDAYS($A869,$A869,FERIADOS_281),NETWORKDAYS($A869,$A869,FERIADOS_342)))=1,"SIM","NÃO"))</f>
      </c>
      <c r="P869" s="232">
        <f>IF($A869="","",$A869-WEEKDAY($A869,2)+5)</f>
      </c>
    </row>
    <row r="870">
      <c r="A870" s="220" t="n"/>
      <c r="B870" s="218" t="n"/>
      <c r="C870" s="218" t="n"/>
      <c r="D870" s="218" t="n"/>
      <c r="E870" s="218" t="n"/>
      <c r="F870" s="328" t="n"/>
      <c r="G870" s="218" t="n"/>
      <c r="H870" s="218" t="n"/>
      <c r="I870" s="218" t="n"/>
      <c r="J870" s="218" t="n"/>
      <c r="K870" s="218" t="n"/>
      <c r="L870" s="218" t="n"/>
      <c r="M870" s="218" t="n"/>
      <c r="N870" s="218" t="n"/>
      <c r="O870" s="222">
        <f>IF($A870="","",IF(IF($B870="343",NETWORKDAYS($A870,$A870,FERIADOS_343),IF($B870="281",NETWORKDAYS($A870,$A870,FERIADOS_281),NETWORKDAYS($A870,$A870,FERIADOS_342)))=1,"SIM","NÃO"))</f>
      </c>
      <c r="P870" s="232">
        <f>IF($A870="","",$A870-WEEKDAY($A870,2)+5)</f>
      </c>
    </row>
    <row r="871">
      <c r="A871" s="220" t="n"/>
      <c r="B871" s="218" t="n"/>
      <c r="C871" s="218" t="n"/>
      <c r="D871" s="218" t="n"/>
      <c r="E871" s="218" t="n"/>
      <c r="F871" s="328" t="n"/>
      <c r="G871" s="218" t="n"/>
      <c r="H871" s="218" t="n"/>
      <c r="I871" s="218" t="n"/>
      <c r="J871" s="218" t="n"/>
      <c r="K871" s="218" t="n"/>
      <c r="L871" s="218" t="n"/>
      <c r="M871" s="218" t="n"/>
      <c r="N871" s="218" t="n"/>
      <c r="O871" s="222">
        <f>IF($A871="","",IF(IF($B871="343",NETWORKDAYS($A871,$A871,FERIADOS_343),IF($B871="281",NETWORKDAYS($A871,$A871,FERIADOS_281),NETWORKDAYS($A871,$A871,FERIADOS_342)))=1,"SIM","NÃO"))</f>
      </c>
      <c r="P871" s="232">
        <f>IF($A871="","",$A871-WEEKDAY($A871,2)+5)</f>
      </c>
    </row>
    <row r="872">
      <c r="A872" s="220" t="n"/>
      <c r="B872" s="218" t="n"/>
      <c r="C872" s="218" t="n"/>
      <c r="D872" s="218" t="n"/>
      <c r="E872" s="218" t="n"/>
      <c r="F872" s="328" t="n"/>
      <c r="G872" s="218" t="n"/>
      <c r="H872" s="218" t="n"/>
      <c r="I872" s="218" t="n"/>
      <c r="J872" s="218" t="n"/>
      <c r="K872" s="218" t="n"/>
      <c r="L872" s="218" t="n"/>
      <c r="M872" s="218" t="n"/>
      <c r="N872" s="218" t="n"/>
      <c r="O872" s="222">
        <f>IF($A872="","",IF(IF($B872="343",NETWORKDAYS($A872,$A872,FERIADOS_343),IF($B872="281",NETWORKDAYS($A872,$A872,FERIADOS_281),NETWORKDAYS($A872,$A872,FERIADOS_342)))=1,"SIM","NÃO"))</f>
      </c>
      <c r="P872" s="232">
        <f>IF($A872="","",$A872-WEEKDAY($A872,2)+5)</f>
      </c>
    </row>
    <row r="873">
      <c r="A873" s="220" t="n"/>
      <c r="B873" s="218" t="n"/>
      <c r="C873" s="218" t="n"/>
      <c r="D873" s="218" t="n"/>
      <c r="E873" s="218" t="n"/>
      <c r="F873" s="328" t="n"/>
      <c r="G873" s="218" t="n"/>
      <c r="H873" s="218" t="n"/>
      <c r="I873" s="218" t="n"/>
      <c r="J873" s="218" t="n"/>
      <c r="K873" s="218" t="n"/>
      <c r="L873" s="218" t="n"/>
      <c r="M873" s="218" t="n"/>
      <c r="N873" s="218" t="n"/>
      <c r="O873" s="222">
        <f>IF($A873="","",IF(IF($B873="343",NETWORKDAYS($A873,$A873,FERIADOS_343),IF($B873="281",NETWORKDAYS($A873,$A873,FERIADOS_281),NETWORKDAYS($A873,$A873,FERIADOS_342)))=1,"SIM","NÃO"))</f>
      </c>
      <c r="P873" s="232">
        <f>IF($A873="","",$A873-WEEKDAY($A873,2)+5)</f>
      </c>
    </row>
    <row r="874">
      <c r="A874" s="220" t="n"/>
      <c r="B874" s="218" t="n"/>
      <c r="C874" s="218" t="n"/>
      <c r="D874" s="218" t="n"/>
      <c r="E874" s="218" t="n"/>
      <c r="F874" s="328" t="n"/>
      <c r="G874" s="218" t="n"/>
      <c r="H874" s="218" t="n"/>
      <c r="I874" s="218" t="n"/>
      <c r="J874" s="218" t="n"/>
      <c r="K874" s="218" t="n"/>
      <c r="L874" s="218" t="n"/>
      <c r="M874" s="218" t="n"/>
      <c r="N874" s="218" t="n"/>
      <c r="O874" s="222">
        <f>IF($A874="","",IF(IF($B874="343",NETWORKDAYS($A874,$A874,FERIADOS_343),IF($B874="281",NETWORKDAYS($A874,$A874,FERIADOS_281),NETWORKDAYS($A874,$A874,FERIADOS_342)))=1,"SIM","NÃO"))</f>
      </c>
      <c r="P874" s="232">
        <f>IF($A874="","",$A874-WEEKDAY($A874,2)+5)</f>
      </c>
    </row>
    <row r="875">
      <c r="A875" s="220" t="n"/>
      <c r="B875" s="218" t="n"/>
      <c r="C875" s="218" t="n"/>
      <c r="D875" s="218" t="n"/>
      <c r="E875" s="218" t="n"/>
      <c r="F875" s="328" t="n"/>
      <c r="G875" s="218" t="n"/>
      <c r="H875" s="218" t="n"/>
      <c r="I875" s="218" t="n"/>
      <c r="J875" s="218" t="n"/>
      <c r="K875" s="218" t="n"/>
      <c r="L875" s="218" t="n"/>
      <c r="M875" s="218" t="n"/>
      <c r="N875" s="218" t="n"/>
      <c r="O875" s="222">
        <f>IF($A875="","",IF(IF($B875="343",NETWORKDAYS($A875,$A875,FERIADOS_343),IF($B875="281",NETWORKDAYS($A875,$A875,FERIADOS_281),NETWORKDAYS($A875,$A875,FERIADOS_342)))=1,"SIM","NÃO"))</f>
      </c>
      <c r="P875" s="232">
        <f>IF($A875="","",$A875-WEEKDAY($A875,2)+5)</f>
      </c>
    </row>
    <row r="876">
      <c r="A876" s="220" t="n"/>
      <c r="B876" s="218" t="n"/>
      <c r="C876" s="218" t="n"/>
      <c r="D876" s="218" t="n"/>
      <c r="E876" s="218" t="n"/>
      <c r="F876" s="328" t="n"/>
      <c r="G876" s="218" t="n"/>
      <c r="H876" s="218" t="n"/>
      <c r="I876" s="218" t="n"/>
      <c r="J876" s="218" t="n"/>
      <c r="K876" s="218" t="n"/>
      <c r="L876" s="218" t="n"/>
      <c r="M876" s="218" t="n"/>
      <c r="N876" s="218" t="n"/>
      <c r="O876" s="222">
        <f>IF($A876="","",IF(IF($B876="343",NETWORKDAYS($A876,$A876,FERIADOS_343),IF($B876="281",NETWORKDAYS($A876,$A876,FERIADOS_281),NETWORKDAYS($A876,$A876,FERIADOS_342)))=1,"SIM","NÃO"))</f>
      </c>
      <c r="P876" s="232">
        <f>IF($A876="","",$A876-WEEKDAY($A876,2)+5)</f>
      </c>
    </row>
    <row r="877">
      <c r="A877" s="220" t="n"/>
      <c r="B877" s="218" t="n"/>
      <c r="C877" s="218" t="n"/>
      <c r="D877" s="218" t="n"/>
      <c r="E877" s="218" t="n"/>
      <c r="F877" s="328" t="n"/>
      <c r="G877" s="218" t="n"/>
      <c r="H877" s="218" t="n"/>
      <c r="I877" s="218" t="n"/>
      <c r="J877" s="218" t="n"/>
      <c r="K877" s="218" t="n"/>
      <c r="L877" s="218" t="n"/>
      <c r="M877" s="218" t="n"/>
      <c r="N877" s="218" t="n"/>
      <c r="O877" s="222">
        <f>IF($A877="","",IF(IF($B877="343",NETWORKDAYS($A877,$A877,FERIADOS_343),IF($B877="281",NETWORKDAYS($A877,$A877,FERIADOS_281),NETWORKDAYS($A877,$A877,FERIADOS_342)))=1,"SIM","NÃO"))</f>
      </c>
      <c r="P877" s="232">
        <f>IF($A877="","",$A877-WEEKDAY($A877,2)+5)</f>
      </c>
    </row>
    <row r="878">
      <c r="A878" s="220" t="n"/>
      <c r="B878" s="218" t="n"/>
      <c r="C878" s="218" t="n"/>
      <c r="D878" s="218" t="n"/>
      <c r="E878" s="218" t="n"/>
      <c r="F878" s="328" t="n"/>
      <c r="G878" s="218" t="n"/>
      <c r="H878" s="218" t="n"/>
      <c r="I878" s="218" t="n"/>
      <c r="J878" s="218" t="n"/>
      <c r="K878" s="218" t="n"/>
      <c r="L878" s="218" t="n"/>
      <c r="M878" s="218" t="n"/>
      <c r="N878" s="218" t="n"/>
      <c r="O878" s="222">
        <f>IF($A878="","",IF(IF($B878="343",NETWORKDAYS($A878,$A878,FERIADOS_343),IF($B878="281",NETWORKDAYS($A878,$A878,FERIADOS_281),NETWORKDAYS($A878,$A878,FERIADOS_342)))=1,"SIM","NÃO"))</f>
      </c>
      <c r="P878" s="232">
        <f>IF($A878="","",$A878-WEEKDAY($A878,2)+5)</f>
      </c>
    </row>
    <row r="879">
      <c r="A879" s="220" t="n"/>
      <c r="B879" s="218" t="n"/>
      <c r="C879" s="218" t="n"/>
      <c r="D879" s="218" t="n"/>
      <c r="E879" s="218" t="n"/>
      <c r="F879" s="328" t="n"/>
      <c r="G879" s="218" t="n"/>
      <c r="H879" s="218" t="n"/>
      <c r="I879" s="218" t="n"/>
      <c r="J879" s="218" t="n"/>
      <c r="K879" s="218" t="n"/>
      <c r="L879" s="218" t="n"/>
      <c r="M879" s="218" t="n"/>
      <c r="N879" s="218" t="n"/>
      <c r="O879" s="222">
        <f>IF($A879="","",IF(IF($B879="343",NETWORKDAYS($A879,$A879,FERIADOS_343),IF($B879="281",NETWORKDAYS($A879,$A879,FERIADOS_281),NETWORKDAYS($A879,$A879,FERIADOS_342)))=1,"SIM","NÃO"))</f>
      </c>
      <c r="P879" s="232">
        <f>IF($A879="","",$A879-WEEKDAY($A879,2)+5)</f>
      </c>
    </row>
    <row r="880">
      <c r="A880" s="220" t="n"/>
      <c r="B880" s="218" t="n"/>
      <c r="C880" s="218" t="n"/>
      <c r="D880" s="218" t="n"/>
      <c r="E880" s="218" t="n"/>
      <c r="F880" s="328" t="n"/>
      <c r="G880" s="218" t="n"/>
      <c r="H880" s="218" t="n"/>
      <c r="I880" s="218" t="n"/>
      <c r="J880" s="218" t="n"/>
      <c r="K880" s="218" t="n"/>
      <c r="L880" s="218" t="n"/>
      <c r="M880" s="218" t="n"/>
      <c r="N880" s="218" t="n"/>
      <c r="O880" s="222">
        <f>IF($A880="","",IF(IF($B880="343",NETWORKDAYS($A880,$A880,FERIADOS_343),IF($B880="281",NETWORKDAYS($A880,$A880,FERIADOS_281),NETWORKDAYS($A880,$A880,FERIADOS_342)))=1,"SIM","NÃO"))</f>
      </c>
      <c r="P880" s="232">
        <f>IF($A880="","",$A880-WEEKDAY($A880,2)+5)</f>
      </c>
    </row>
    <row r="881">
      <c r="A881" s="220" t="n"/>
      <c r="B881" s="218" t="n"/>
      <c r="C881" s="218" t="n"/>
      <c r="D881" s="218" t="n"/>
      <c r="E881" s="218" t="n"/>
      <c r="F881" s="328" t="n"/>
      <c r="G881" s="218" t="n"/>
      <c r="H881" s="218" t="n"/>
      <c r="I881" s="218" t="n"/>
      <c r="J881" s="218" t="n"/>
      <c r="K881" s="218" t="n"/>
      <c r="L881" s="218" t="n"/>
      <c r="M881" s="218" t="n"/>
      <c r="N881" s="218" t="n"/>
      <c r="O881" s="222">
        <f>IF($A881="","",IF(IF($B881="343",NETWORKDAYS($A881,$A881,FERIADOS_343),IF($B881="281",NETWORKDAYS($A881,$A881,FERIADOS_281),NETWORKDAYS($A881,$A881,FERIADOS_342)))=1,"SIM","NÃO"))</f>
      </c>
      <c r="P881" s="232">
        <f>IF($A881="","",$A881-WEEKDAY($A881,2)+5)</f>
      </c>
    </row>
    <row r="882">
      <c r="A882" s="220" t="n"/>
      <c r="B882" s="218" t="n"/>
      <c r="C882" s="218" t="n"/>
      <c r="D882" s="218" t="n"/>
      <c r="E882" s="218" t="n"/>
      <c r="F882" s="328" t="n"/>
      <c r="G882" s="218" t="n"/>
      <c r="H882" s="218" t="n"/>
      <c r="I882" s="218" t="n"/>
      <c r="J882" s="218" t="n"/>
      <c r="K882" s="218" t="n"/>
      <c r="L882" s="218" t="n"/>
      <c r="M882" s="218" t="n"/>
      <c r="N882" s="218" t="n"/>
      <c r="O882" s="222">
        <f>IF($A882="","",IF(IF($B882="343",NETWORKDAYS($A882,$A882,FERIADOS_343),IF($B882="281",NETWORKDAYS($A882,$A882,FERIADOS_281),NETWORKDAYS($A882,$A882,FERIADOS_342)))=1,"SIM","NÃO"))</f>
      </c>
      <c r="P882" s="232">
        <f>IF($A882="","",$A882-WEEKDAY($A882,2)+5)</f>
      </c>
    </row>
    <row r="883">
      <c r="A883" s="220" t="n"/>
      <c r="B883" s="218" t="n"/>
      <c r="C883" s="218" t="n"/>
      <c r="D883" s="218" t="n"/>
      <c r="E883" s="218" t="n"/>
      <c r="F883" s="328" t="n"/>
      <c r="G883" s="218" t="n"/>
      <c r="H883" s="218" t="n"/>
      <c r="I883" s="218" t="n"/>
      <c r="J883" s="218" t="n"/>
      <c r="K883" s="218" t="n"/>
      <c r="L883" s="218" t="n"/>
      <c r="M883" s="218" t="n"/>
      <c r="N883" s="218" t="n"/>
      <c r="O883" s="222">
        <f>IF($A883="","",IF(IF($B883="343",NETWORKDAYS($A883,$A883,FERIADOS_343),IF($B883="281",NETWORKDAYS($A883,$A883,FERIADOS_281),NETWORKDAYS($A883,$A883,FERIADOS_342)))=1,"SIM","NÃO"))</f>
      </c>
      <c r="P883" s="232">
        <f>IF($A883="","",$A883-WEEKDAY($A883,2)+5)</f>
      </c>
    </row>
    <row r="884">
      <c r="A884" s="220" t="n"/>
      <c r="B884" s="218" t="n"/>
      <c r="C884" s="218" t="n"/>
      <c r="D884" s="218" t="n"/>
      <c r="E884" s="218" t="n"/>
      <c r="F884" s="328" t="n"/>
      <c r="G884" s="218" t="n"/>
      <c r="H884" s="218" t="n"/>
      <c r="I884" s="218" t="n"/>
      <c r="J884" s="218" t="n"/>
      <c r="K884" s="218" t="n"/>
      <c r="L884" s="218" t="n"/>
      <c r="M884" s="218" t="n"/>
      <c r="N884" s="218" t="n"/>
      <c r="O884" s="222">
        <f>IF($A884="","",IF(IF($B884="343",NETWORKDAYS($A884,$A884,FERIADOS_343),IF($B884="281",NETWORKDAYS($A884,$A884,FERIADOS_281),NETWORKDAYS($A884,$A884,FERIADOS_342)))=1,"SIM","NÃO"))</f>
      </c>
      <c r="P884" s="232">
        <f>IF($A884="","",$A884-WEEKDAY($A884,2)+5)</f>
      </c>
    </row>
    <row r="885">
      <c r="A885" s="220" t="n"/>
      <c r="B885" s="218" t="n"/>
      <c r="C885" s="218" t="n"/>
      <c r="D885" s="218" t="n"/>
      <c r="E885" s="218" t="n"/>
      <c r="F885" s="328" t="n"/>
      <c r="G885" s="218" t="n"/>
      <c r="H885" s="218" t="n"/>
      <c r="I885" s="218" t="n"/>
      <c r="J885" s="218" t="n"/>
      <c r="K885" s="218" t="n"/>
      <c r="L885" s="218" t="n"/>
      <c r="M885" s="218" t="n"/>
      <c r="N885" s="218" t="n"/>
      <c r="O885" s="222">
        <f>IF($A885="","",IF(IF($B885="343",NETWORKDAYS($A885,$A885,FERIADOS_343),IF($B885="281",NETWORKDAYS($A885,$A885,FERIADOS_281),NETWORKDAYS($A885,$A885,FERIADOS_342)))=1,"SIM","NÃO"))</f>
      </c>
      <c r="P885" s="232">
        <f>IF($A885="","",$A885-WEEKDAY($A885,2)+5)</f>
      </c>
    </row>
    <row r="886">
      <c r="A886" s="220" t="n"/>
      <c r="B886" s="218" t="n"/>
      <c r="C886" s="218" t="n"/>
      <c r="D886" s="218" t="n"/>
      <c r="E886" s="218" t="n"/>
      <c r="F886" s="328" t="n"/>
      <c r="G886" s="218" t="n"/>
      <c r="H886" s="218" t="n"/>
      <c r="I886" s="218" t="n"/>
      <c r="J886" s="218" t="n"/>
      <c r="K886" s="218" t="n"/>
      <c r="L886" s="218" t="n"/>
      <c r="M886" s="218" t="n"/>
      <c r="N886" s="218" t="n"/>
      <c r="O886" s="222">
        <f>IF($A886="","",IF(IF($B886="343",NETWORKDAYS($A886,$A886,FERIADOS_343),IF($B886="281",NETWORKDAYS($A886,$A886,FERIADOS_281),NETWORKDAYS($A886,$A886,FERIADOS_342)))=1,"SIM","NÃO"))</f>
      </c>
      <c r="P886" s="232">
        <f>IF($A886="","",$A886-WEEKDAY($A886,2)+5)</f>
      </c>
    </row>
    <row r="887">
      <c r="A887" s="220" t="n"/>
      <c r="B887" s="218" t="n"/>
      <c r="C887" s="218" t="n"/>
      <c r="D887" s="218" t="n"/>
      <c r="E887" s="218" t="n"/>
      <c r="F887" s="328" t="n"/>
      <c r="G887" s="218" t="n"/>
      <c r="H887" s="218" t="n"/>
      <c r="I887" s="218" t="n"/>
      <c r="J887" s="218" t="n"/>
      <c r="K887" s="218" t="n"/>
      <c r="L887" s="218" t="n"/>
      <c r="M887" s="218" t="n"/>
      <c r="N887" s="218" t="n"/>
      <c r="O887" s="222">
        <f>IF($A887="","",IF(IF($B887="343",NETWORKDAYS($A887,$A887,FERIADOS_343),IF($B887="281",NETWORKDAYS($A887,$A887,FERIADOS_281),NETWORKDAYS($A887,$A887,FERIADOS_342)))=1,"SIM","NÃO"))</f>
      </c>
      <c r="P887" s="232">
        <f>IF($A887="","",$A887-WEEKDAY($A887,2)+5)</f>
      </c>
    </row>
    <row r="888">
      <c r="A888" s="220" t="n"/>
      <c r="B888" s="218" t="n"/>
      <c r="C888" s="218" t="n"/>
      <c r="D888" s="218" t="n"/>
      <c r="E888" s="218" t="n"/>
      <c r="F888" s="328" t="n"/>
      <c r="G888" s="218" t="n"/>
      <c r="H888" s="218" t="n"/>
      <c r="I888" s="218" t="n"/>
      <c r="J888" s="218" t="n"/>
      <c r="K888" s="218" t="n"/>
      <c r="L888" s="218" t="n"/>
      <c r="M888" s="218" t="n"/>
      <c r="N888" s="218" t="n"/>
      <c r="O888" s="222">
        <f>IF($A888="","",IF(IF($B888="343",NETWORKDAYS($A888,$A888,FERIADOS_343),IF($B888="281",NETWORKDAYS($A888,$A888,FERIADOS_281),NETWORKDAYS($A888,$A888,FERIADOS_342)))=1,"SIM","NÃO"))</f>
      </c>
      <c r="P888" s="232">
        <f>IF($A888="","",$A888-WEEKDAY($A888,2)+5)</f>
      </c>
    </row>
    <row r="889">
      <c r="A889" s="220" t="n"/>
      <c r="B889" s="218" t="n"/>
      <c r="C889" s="218" t="n"/>
      <c r="D889" s="218" t="n"/>
      <c r="E889" s="218" t="n"/>
      <c r="F889" s="328" t="n"/>
      <c r="G889" s="218" t="n"/>
      <c r="H889" s="218" t="n"/>
      <c r="I889" s="218" t="n"/>
      <c r="J889" s="218" t="n"/>
      <c r="K889" s="218" t="n"/>
      <c r="L889" s="218" t="n"/>
      <c r="M889" s="218" t="n"/>
      <c r="N889" s="218" t="n"/>
      <c r="O889" s="222">
        <f>IF($A889="","",IF(IF($B889="343",NETWORKDAYS($A889,$A889,FERIADOS_343),IF($B889="281",NETWORKDAYS($A889,$A889,FERIADOS_281),NETWORKDAYS($A889,$A889,FERIADOS_342)))=1,"SIM","NÃO"))</f>
      </c>
      <c r="P889" s="232">
        <f>IF($A889="","",$A889-WEEKDAY($A889,2)+5)</f>
      </c>
    </row>
    <row r="890">
      <c r="A890" s="220" t="n"/>
      <c r="B890" s="218" t="n"/>
      <c r="C890" s="218" t="n"/>
      <c r="D890" s="218" t="n"/>
      <c r="E890" s="218" t="n"/>
      <c r="F890" s="328" t="n"/>
      <c r="G890" s="218" t="n"/>
      <c r="H890" s="218" t="n"/>
      <c r="I890" s="218" t="n"/>
      <c r="J890" s="218" t="n"/>
      <c r="K890" s="218" t="n"/>
      <c r="L890" s="218" t="n"/>
      <c r="M890" s="218" t="n"/>
      <c r="N890" s="218" t="n"/>
      <c r="O890" s="222">
        <f>IF($A890="","",IF(IF($B890="343",NETWORKDAYS($A890,$A890,FERIADOS_343),IF($B890="281",NETWORKDAYS($A890,$A890,FERIADOS_281),NETWORKDAYS($A890,$A890,FERIADOS_342)))=1,"SIM","NÃO"))</f>
      </c>
      <c r="P890" s="232">
        <f>IF($A890="","",$A890-WEEKDAY($A890,2)+5)</f>
      </c>
    </row>
    <row r="891">
      <c r="A891" s="220" t="n"/>
      <c r="B891" s="218" t="n"/>
      <c r="C891" s="218" t="n"/>
      <c r="D891" s="218" t="n"/>
      <c r="E891" s="218" t="n"/>
      <c r="F891" s="328" t="n"/>
      <c r="G891" s="218" t="n"/>
      <c r="H891" s="218" t="n"/>
      <c r="I891" s="218" t="n"/>
      <c r="J891" s="218" t="n"/>
      <c r="K891" s="218" t="n"/>
      <c r="L891" s="218" t="n"/>
      <c r="M891" s="218" t="n"/>
      <c r="N891" s="218" t="n"/>
      <c r="O891" s="222">
        <f>IF($A891="","",IF(IF($B891="343",NETWORKDAYS($A891,$A891,FERIADOS_343),IF($B891="281",NETWORKDAYS($A891,$A891,FERIADOS_281),NETWORKDAYS($A891,$A891,FERIADOS_342)))=1,"SIM","NÃO"))</f>
      </c>
      <c r="P891" s="232">
        <f>IF($A891="","",$A891-WEEKDAY($A891,2)+5)</f>
      </c>
    </row>
    <row r="892">
      <c r="A892" s="220" t="n"/>
      <c r="B892" s="218" t="n"/>
      <c r="C892" s="218" t="n"/>
      <c r="D892" s="218" t="n"/>
      <c r="E892" s="218" t="n"/>
      <c r="F892" s="328" t="n"/>
      <c r="G892" s="218" t="n"/>
      <c r="H892" s="218" t="n"/>
      <c r="I892" s="218" t="n"/>
      <c r="J892" s="218" t="n"/>
      <c r="K892" s="218" t="n"/>
      <c r="L892" s="218" t="n"/>
      <c r="M892" s="218" t="n"/>
      <c r="N892" s="218" t="n"/>
      <c r="O892" s="222">
        <f>IF($A892="","",IF(IF($B892="343",NETWORKDAYS($A892,$A892,FERIADOS_343),IF($B892="281",NETWORKDAYS($A892,$A892,FERIADOS_281),NETWORKDAYS($A892,$A892,FERIADOS_342)))=1,"SIM","NÃO"))</f>
      </c>
      <c r="P892" s="232">
        <f>IF($A892="","",$A892-WEEKDAY($A892,2)+5)</f>
      </c>
    </row>
    <row r="893">
      <c r="A893" s="220" t="n"/>
      <c r="B893" s="218" t="n"/>
      <c r="C893" s="218" t="n"/>
      <c r="D893" s="218" t="n"/>
      <c r="E893" s="218" t="n"/>
      <c r="F893" s="328" t="n"/>
      <c r="G893" s="218" t="n"/>
      <c r="H893" s="218" t="n"/>
      <c r="I893" s="218" t="n"/>
      <c r="J893" s="218" t="n"/>
      <c r="K893" s="218" t="n"/>
      <c r="L893" s="218" t="n"/>
      <c r="M893" s="218" t="n"/>
      <c r="N893" s="218" t="n"/>
      <c r="O893" s="222">
        <f>IF($A893="","",IF(IF($B893="343",NETWORKDAYS($A893,$A893,FERIADOS_343),IF($B893="281",NETWORKDAYS($A893,$A893,FERIADOS_281),NETWORKDAYS($A893,$A893,FERIADOS_342)))=1,"SIM","NÃO"))</f>
      </c>
      <c r="P893" s="232">
        <f>IF($A893="","",$A893-WEEKDAY($A893,2)+5)</f>
      </c>
    </row>
    <row r="894">
      <c r="A894" s="220" t="n"/>
      <c r="B894" s="218" t="n"/>
      <c r="C894" s="218" t="n"/>
      <c r="D894" s="218" t="n"/>
      <c r="E894" s="218" t="n"/>
      <c r="F894" s="328" t="n"/>
      <c r="G894" s="218" t="n"/>
      <c r="H894" s="218" t="n"/>
      <c r="I894" s="218" t="n"/>
      <c r="J894" s="218" t="n"/>
      <c r="K894" s="218" t="n"/>
      <c r="L894" s="218" t="n"/>
      <c r="M894" s="218" t="n"/>
      <c r="N894" s="218" t="n"/>
      <c r="O894" s="222">
        <f>IF($A894="","",IF(IF($B894="343",NETWORKDAYS($A894,$A894,FERIADOS_343),IF($B894="281",NETWORKDAYS($A894,$A894,FERIADOS_281),NETWORKDAYS($A894,$A894,FERIADOS_342)))=1,"SIM","NÃO"))</f>
      </c>
      <c r="P894" s="232">
        <f>IF($A894="","",$A894-WEEKDAY($A894,2)+5)</f>
      </c>
    </row>
    <row r="895">
      <c r="A895" s="220" t="n"/>
      <c r="B895" s="218" t="n"/>
      <c r="C895" s="218" t="n"/>
      <c r="D895" s="218" t="n"/>
      <c r="E895" s="218" t="n"/>
      <c r="F895" s="328" t="n"/>
      <c r="G895" s="218" t="n"/>
      <c r="H895" s="218" t="n"/>
      <c r="I895" s="218" t="n"/>
      <c r="J895" s="218" t="n"/>
      <c r="K895" s="218" t="n"/>
      <c r="L895" s="218" t="n"/>
      <c r="M895" s="218" t="n"/>
      <c r="N895" s="218" t="n"/>
      <c r="O895" s="222">
        <f>IF($A895="","",IF(IF($B895="343",NETWORKDAYS($A895,$A895,FERIADOS_343),IF($B895="281",NETWORKDAYS($A895,$A895,FERIADOS_281),NETWORKDAYS($A895,$A895,FERIADOS_342)))=1,"SIM","NÃO"))</f>
      </c>
      <c r="P895" s="232">
        <f>IF($A895="","",$A895-WEEKDAY($A895,2)+5)</f>
      </c>
    </row>
    <row r="896">
      <c r="A896" s="220" t="n"/>
      <c r="B896" s="218" t="n"/>
      <c r="C896" s="218" t="n"/>
      <c r="D896" s="218" t="n"/>
      <c r="E896" s="218" t="n"/>
      <c r="F896" s="328" t="n"/>
      <c r="G896" s="218" t="n"/>
      <c r="H896" s="218" t="n"/>
      <c r="I896" s="218" t="n"/>
      <c r="J896" s="218" t="n"/>
      <c r="K896" s="218" t="n"/>
      <c r="L896" s="218" t="n"/>
      <c r="M896" s="218" t="n"/>
      <c r="N896" s="218" t="n"/>
      <c r="O896" s="222">
        <f>IF($A896="","",IF(IF($B896="343",NETWORKDAYS($A896,$A896,FERIADOS_343),IF($B896="281",NETWORKDAYS($A896,$A896,FERIADOS_281),NETWORKDAYS($A896,$A896,FERIADOS_342)))=1,"SIM","NÃO"))</f>
      </c>
      <c r="P896" s="232">
        <f>IF($A896="","",$A896-WEEKDAY($A896,2)+5)</f>
      </c>
    </row>
    <row r="897">
      <c r="A897" s="220" t="n"/>
      <c r="B897" s="218" t="n"/>
      <c r="C897" s="218" t="n"/>
      <c r="D897" s="218" t="n"/>
      <c r="E897" s="218" t="n"/>
      <c r="F897" s="328" t="n"/>
      <c r="G897" s="218" t="n"/>
      <c r="H897" s="218" t="n"/>
      <c r="I897" s="218" t="n"/>
      <c r="J897" s="218" t="n"/>
      <c r="K897" s="218" t="n"/>
      <c r="L897" s="218" t="n"/>
      <c r="M897" s="218" t="n"/>
      <c r="N897" s="218" t="n"/>
      <c r="O897" s="222">
        <f>IF($A897="","",IF(IF($B897="343",NETWORKDAYS($A897,$A897,FERIADOS_343),IF($B897="281",NETWORKDAYS($A897,$A897,FERIADOS_281),NETWORKDAYS($A897,$A897,FERIADOS_342)))=1,"SIM","NÃO"))</f>
      </c>
      <c r="P897" s="232">
        <f>IF($A897="","",$A897-WEEKDAY($A897,2)+5)</f>
      </c>
    </row>
    <row r="898">
      <c r="A898" s="220" t="n"/>
      <c r="B898" s="218" t="n"/>
      <c r="C898" s="218" t="n"/>
      <c r="D898" s="218" t="n"/>
      <c r="E898" s="218" t="n"/>
      <c r="F898" s="328" t="n"/>
      <c r="G898" s="218" t="n"/>
      <c r="H898" s="218" t="n"/>
      <c r="I898" s="218" t="n"/>
      <c r="J898" s="218" t="n"/>
      <c r="K898" s="218" t="n"/>
      <c r="L898" s="218" t="n"/>
      <c r="M898" s="218" t="n"/>
      <c r="N898" s="218" t="n"/>
      <c r="O898" s="222">
        <f>IF($A898="","",IF(IF($B898="343",NETWORKDAYS($A898,$A898,FERIADOS_343),IF($B898="281",NETWORKDAYS($A898,$A898,FERIADOS_281),NETWORKDAYS($A898,$A898,FERIADOS_342)))=1,"SIM","NÃO"))</f>
      </c>
      <c r="P898" s="232">
        <f>IF($A898="","",$A898-WEEKDAY($A898,2)+5)</f>
      </c>
    </row>
    <row r="899">
      <c r="A899" s="220" t="n"/>
      <c r="B899" s="218" t="n"/>
      <c r="C899" s="218" t="n"/>
      <c r="D899" s="218" t="n"/>
      <c r="E899" s="218" t="n"/>
      <c r="F899" s="328" t="n"/>
      <c r="G899" s="218" t="n"/>
      <c r="H899" s="218" t="n"/>
      <c r="I899" s="218" t="n"/>
      <c r="J899" s="218" t="n"/>
      <c r="K899" s="218" t="n"/>
      <c r="L899" s="218" t="n"/>
      <c r="M899" s="218" t="n"/>
      <c r="N899" s="218" t="n"/>
      <c r="O899" s="222">
        <f>IF($A899="","",IF(IF($B899="343",NETWORKDAYS($A899,$A899,FERIADOS_343),IF($B899="281",NETWORKDAYS($A899,$A899,FERIADOS_281),NETWORKDAYS($A899,$A899,FERIADOS_342)))=1,"SIM","NÃO"))</f>
      </c>
      <c r="P899" s="232">
        <f>IF($A899="","",$A899-WEEKDAY($A899,2)+5)</f>
      </c>
    </row>
    <row r="900">
      <c r="A900" s="220" t="n"/>
      <c r="B900" s="218" t="n"/>
      <c r="C900" s="218" t="n"/>
      <c r="D900" s="218" t="n"/>
      <c r="E900" s="218" t="n"/>
      <c r="F900" s="328" t="n"/>
      <c r="G900" s="218" t="n"/>
      <c r="H900" s="218" t="n"/>
      <c r="I900" s="218" t="n"/>
      <c r="J900" s="218" t="n"/>
      <c r="K900" s="218" t="n"/>
      <c r="L900" s="218" t="n"/>
      <c r="M900" s="218" t="n"/>
      <c r="N900" s="218" t="n"/>
      <c r="O900" s="222">
        <f>IF($A900="","",IF(IF($B900="343",NETWORKDAYS($A900,$A900,FERIADOS_343),IF($B900="281",NETWORKDAYS($A900,$A900,FERIADOS_281),NETWORKDAYS($A900,$A900,FERIADOS_342)))=1,"SIM","NÃO"))</f>
      </c>
      <c r="P900" s="232">
        <f>IF($A900="","",$A900-WEEKDAY($A900,2)+5)</f>
      </c>
    </row>
    <row r="901">
      <c r="A901" s="220" t="n"/>
      <c r="B901" s="218" t="n"/>
      <c r="C901" s="218" t="n"/>
      <c r="D901" s="218" t="n"/>
      <c r="E901" s="218" t="n"/>
      <c r="F901" s="328" t="n"/>
      <c r="G901" s="218" t="n"/>
      <c r="H901" s="218" t="n"/>
      <c r="I901" s="218" t="n"/>
      <c r="J901" s="218" t="n"/>
      <c r="K901" s="218" t="n"/>
      <c r="L901" s="218" t="n"/>
      <c r="M901" s="218" t="n"/>
      <c r="N901" s="218" t="n"/>
      <c r="O901" s="222">
        <f>IF($A901="","",IF(IF($B901="343",NETWORKDAYS($A901,$A901,FERIADOS_343),IF($B901="281",NETWORKDAYS($A901,$A901,FERIADOS_281),NETWORKDAYS($A901,$A901,FERIADOS_342)))=1,"SIM","NÃO"))</f>
      </c>
      <c r="P901" s="232">
        <f>IF($A901="","",$A901-WEEKDAY($A901,2)+5)</f>
      </c>
    </row>
    <row r="902">
      <c r="A902" s="220" t="n"/>
      <c r="B902" s="218" t="n"/>
      <c r="C902" s="218" t="n"/>
      <c r="D902" s="218" t="n"/>
      <c r="E902" s="218" t="n"/>
      <c r="F902" s="328" t="n"/>
      <c r="G902" s="218" t="n"/>
      <c r="H902" s="218" t="n"/>
      <c r="I902" s="218" t="n"/>
      <c r="J902" s="218" t="n"/>
      <c r="K902" s="218" t="n"/>
      <c r="L902" s="218" t="n"/>
      <c r="M902" s="218" t="n"/>
      <c r="N902" s="218" t="n"/>
      <c r="O902" s="222">
        <f>IF($A902="","",IF(IF($B902="343",NETWORKDAYS($A902,$A902,FERIADOS_343),IF($B902="281",NETWORKDAYS($A902,$A902,FERIADOS_281),NETWORKDAYS($A902,$A902,FERIADOS_342)))=1,"SIM","NÃO"))</f>
      </c>
      <c r="P902" s="232">
        <f>IF($A902="","",$A902-WEEKDAY($A902,2)+5)</f>
      </c>
    </row>
    <row r="903">
      <c r="A903" s="220" t="n"/>
      <c r="B903" s="218" t="n"/>
      <c r="C903" s="218" t="n"/>
      <c r="D903" s="218" t="n"/>
      <c r="E903" s="218" t="n"/>
      <c r="F903" s="328" t="n"/>
      <c r="G903" s="218" t="n"/>
      <c r="H903" s="218" t="n"/>
      <c r="I903" s="218" t="n"/>
      <c r="J903" s="218" t="n"/>
      <c r="K903" s="218" t="n"/>
      <c r="L903" s="218" t="n"/>
      <c r="M903" s="218" t="n"/>
      <c r="N903" s="218" t="n"/>
      <c r="O903" s="222">
        <f>IF($A903="","",IF(IF($B903="343",NETWORKDAYS($A903,$A903,FERIADOS_343),IF($B903="281",NETWORKDAYS($A903,$A903,FERIADOS_281),NETWORKDAYS($A903,$A903,FERIADOS_342)))=1,"SIM","NÃO"))</f>
      </c>
      <c r="P903" s="232">
        <f>IF($A903="","",$A903-WEEKDAY($A903,2)+5)</f>
      </c>
    </row>
    <row r="904">
      <c r="A904" s="220" t="n"/>
      <c r="B904" s="218" t="n"/>
      <c r="C904" s="218" t="n"/>
      <c r="D904" s="218" t="n"/>
      <c r="E904" s="218" t="n"/>
      <c r="F904" s="328" t="n"/>
      <c r="G904" s="218" t="n"/>
      <c r="H904" s="218" t="n"/>
      <c r="I904" s="218" t="n"/>
      <c r="J904" s="218" t="n"/>
      <c r="K904" s="218" t="n"/>
      <c r="L904" s="218" t="n"/>
      <c r="M904" s="218" t="n"/>
      <c r="N904" s="218" t="n"/>
      <c r="O904" s="222">
        <f>IF($A904="","",IF(IF($B904="343",NETWORKDAYS($A904,$A904,FERIADOS_343),IF($B904="281",NETWORKDAYS($A904,$A904,FERIADOS_281),NETWORKDAYS($A904,$A904,FERIADOS_342)))=1,"SIM","NÃO"))</f>
      </c>
      <c r="P904" s="232">
        <f>IF($A904="","",$A904-WEEKDAY($A904,2)+5)</f>
      </c>
    </row>
    <row r="905">
      <c r="A905" s="220" t="n"/>
      <c r="B905" s="218" t="n"/>
      <c r="C905" s="218" t="n"/>
      <c r="D905" s="218" t="n"/>
      <c r="E905" s="218" t="n"/>
      <c r="F905" s="328" t="n"/>
      <c r="G905" s="218" t="n"/>
      <c r="H905" s="218" t="n"/>
      <c r="I905" s="218" t="n"/>
      <c r="J905" s="218" t="n"/>
      <c r="K905" s="218" t="n"/>
      <c r="L905" s="218" t="n"/>
      <c r="M905" s="218" t="n"/>
      <c r="N905" s="218" t="n"/>
      <c r="O905" s="222">
        <f>IF($A905="","",IF(IF($B905="343",NETWORKDAYS($A905,$A905,FERIADOS_343),IF($B905="281",NETWORKDAYS($A905,$A905,FERIADOS_281),NETWORKDAYS($A905,$A905,FERIADOS_342)))=1,"SIM","NÃO"))</f>
      </c>
      <c r="P905" s="232">
        <f>IF($A905="","",$A905-WEEKDAY($A905,2)+5)</f>
      </c>
    </row>
    <row r="906">
      <c r="A906" s="220" t="n"/>
      <c r="B906" s="218" t="n"/>
      <c r="C906" s="218" t="n"/>
      <c r="D906" s="218" t="n"/>
      <c r="E906" s="218" t="n"/>
      <c r="F906" s="328" t="n"/>
      <c r="G906" s="218" t="n"/>
      <c r="H906" s="218" t="n"/>
      <c r="I906" s="218" t="n"/>
      <c r="J906" s="218" t="n"/>
      <c r="K906" s="218" t="n"/>
      <c r="L906" s="218" t="n"/>
      <c r="M906" s="218" t="n"/>
      <c r="N906" s="218" t="n"/>
      <c r="O906" s="222">
        <f>IF($A906="","",IF(IF($B906="343",NETWORKDAYS($A906,$A906,FERIADOS_343),IF($B906="281",NETWORKDAYS($A906,$A906,FERIADOS_281),NETWORKDAYS($A906,$A906,FERIADOS_342)))=1,"SIM","NÃO"))</f>
      </c>
      <c r="P906" s="232">
        <f>IF($A906="","",$A906-WEEKDAY($A906,2)+5)</f>
      </c>
    </row>
    <row r="907">
      <c r="A907" s="220" t="n"/>
      <c r="B907" s="218" t="n"/>
      <c r="C907" s="218" t="n"/>
      <c r="D907" s="218" t="n"/>
      <c r="E907" s="218" t="n"/>
      <c r="F907" s="328" t="n"/>
      <c r="G907" s="218" t="n"/>
      <c r="H907" s="218" t="n"/>
      <c r="I907" s="218" t="n"/>
      <c r="J907" s="218" t="n"/>
      <c r="K907" s="218" t="n"/>
      <c r="L907" s="218" t="n"/>
      <c r="M907" s="218" t="n"/>
      <c r="N907" s="218" t="n"/>
      <c r="O907" s="222">
        <f>IF($A907="","",IF(IF($B907="343",NETWORKDAYS($A907,$A907,FERIADOS_343),IF($B907="281",NETWORKDAYS($A907,$A907,FERIADOS_281),NETWORKDAYS($A907,$A907,FERIADOS_342)))=1,"SIM","NÃO"))</f>
      </c>
      <c r="P907" s="232">
        <f>IF($A907="","",$A907-WEEKDAY($A907,2)+5)</f>
      </c>
    </row>
    <row r="908">
      <c r="A908" s="220" t="n"/>
      <c r="B908" s="218" t="n"/>
      <c r="C908" s="218" t="n"/>
      <c r="D908" s="218" t="n"/>
      <c r="E908" s="218" t="n"/>
      <c r="F908" s="328" t="n"/>
      <c r="G908" s="218" t="n"/>
      <c r="H908" s="218" t="n"/>
      <c r="I908" s="218" t="n"/>
      <c r="J908" s="218" t="n"/>
      <c r="K908" s="218" t="n"/>
      <c r="L908" s="218" t="n"/>
      <c r="M908" s="218" t="n"/>
      <c r="N908" s="218" t="n"/>
      <c r="O908" s="222">
        <f>IF($A908="","",IF(IF($B908="343",NETWORKDAYS($A908,$A908,FERIADOS_343),IF($B908="281",NETWORKDAYS($A908,$A908,FERIADOS_281),NETWORKDAYS($A908,$A908,FERIADOS_342)))=1,"SIM","NÃO"))</f>
      </c>
      <c r="P908" s="232">
        <f>IF($A908="","",$A908-WEEKDAY($A908,2)+5)</f>
      </c>
    </row>
    <row r="909">
      <c r="A909" s="220" t="n"/>
      <c r="B909" s="218" t="n"/>
      <c r="C909" s="218" t="n"/>
      <c r="D909" s="218" t="n"/>
      <c r="E909" s="218" t="n"/>
      <c r="F909" s="328" t="n"/>
      <c r="G909" s="218" t="n"/>
      <c r="H909" s="218" t="n"/>
      <c r="I909" s="218" t="n"/>
      <c r="J909" s="218" t="n"/>
      <c r="K909" s="218" t="n"/>
      <c r="L909" s="218" t="n"/>
      <c r="M909" s="218" t="n"/>
      <c r="N909" s="218" t="n"/>
      <c r="O909" s="222">
        <f>IF($A909="","",IF(IF($B909="343",NETWORKDAYS($A909,$A909,FERIADOS_343),IF($B909="281",NETWORKDAYS($A909,$A909,FERIADOS_281),NETWORKDAYS($A909,$A909,FERIADOS_342)))=1,"SIM","NÃO"))</f>
      </c>
      <c r="P909" s="232">
        <f>IF($A909="","",$A909-WEEKDAY($A909,2)+5)</f>
      </c>
    </row>
    <row r="910">
      <c r="A910" s="220" t="n"/>
      <c r="B910" s="218" t="n"/>
      <c r="C910" s="218" t="n"/>
      <c r="D910" s="218" t="n"/>
      <c r="E910" s="218" t="n"/>
      <c r="F910" s="328" t="n"/>
      <c r="G910" s="218" t="n"/>
      <c r="H910" s="218" t="n"/>
      <c r="I910" s="218" t="n"/>
      <c r="J910" s="218" t="n"/>
      <c r="K910" s="218" t="n"/>
      <c r="L910" s="218" t="n"/>
      <c r="M910" s="218" t="n"/>
      <c r="N910" s="218" t="n"/>
      <c r="O910" s="222">
        <f>IF($A910="","",IF(IF($B910="343",NETWORKDAYS($A910,$A910,FERIADOS_343),IF($B910="281",NETWORKDAYS($A910,$A910,FERIADOS_281),NETWORKDAYS($A910,$A910,FERIADOS_342)))=1,"SIM","NÃO"))</f>
      </c>
      <c r="P910" s="232">
        <f>IF($A910="","",$A910-WEEKDAY($A910,2)+5)</f>
      </c>
    </row>
    <row r="911">
      <c r="A911" s="220" t="n"/>
      <c r="B911" s="218" t="n"/>
      <c r="C911" s="218" t="n"/>
      <c r="D911" s="218" t="n"/>
      <c r="E911" s="218" t="n"/>
      <c r="F911" s="328" t="n"/>
      <c r="G911" s="218" t="n"/>
      <c r="H911" s="218" t="n"/>
      <c r="I911" s="218" t="n"/>
      <c r="J911" s="218" t="n"/>
      <c r="K911" s="218" t="n"/>
      <c r="L911" s="218" t="n"/>
      <c r="M911" s="218" t="n"/>
      <c r="N911" s="218" t="n"/>
      <c r="O911" s="222">
        <f>IF($A911="","",IF(IF($B911="343",NETWORKDAYS($A911,$A911,FERIADOS_343),IF($B911="281",NETWORKDAYS($A911,$A911,FERIADOS_281),NETWORKDAYS($A911,$A911,FERIADOS_342)))=1,"SIM","NÃO"))</f>
      </c>
      <c r="P911" s="232">
        <f>IF($A911="","",$A911-WEEKDAY($A911,2)+5)</f>
      </c>
    </row>
    <row r="912">
      <c r="A912" s="220" t="n"/>
      <c r="B912" s="218" t="n"/>
      <c r="C912" s="218" t="n"/>
      <c r="D912" s="218" t="n"/>
      <c r="E912" s="218" t="n"/>
      <c r="F912" s="328" t="n"/>
      <c r="G912" s="218" t="n"/>
      <c r="H912" s="218" t="n"/>
      <c r="I912" s="218" t="n"/>
      <c r="J912" s="218" t="n"/>
      <c r="K912" s="218" t="n"/>
      <c r="L912" s="218" t="n"/>
      <c r="M912" s="218" t="n"/>
      <c r="N912" s="218" t="n"/>
      <c r="O912" s="222">
        <f>IF($A912="","",IF(IF($B912="343",NETWORKDAYS($A912,$A912,FERIADOS_343),IF($B912="281",NETWORKDAYS($A912,$A912,FERIADOS_281),NETWORKDAYS($A912,$A912,FERIADOS_342)))=1,"SIM","NÃO"))</f>
      </c>
      <c r="P912" s="232">
        <f>IF($A912="","",$A912-WEEKDAY($A912,2)+5)</f>
      </c>
    </row>
    <row r="913">
      <c r="A913" s="220" t="n"/>
      <c r="B913" s="218" t="n"/>
      <c r="C913" s="218" t="n"/>
      <c r="D913" s="218" t="n"/>
      <c r="E913" s="218" t="n"/>
      <c r="F913" s="328" t="n"/>
      <c r="G913" s="218" t="n"/>
      <c r="H913" s="218" t="n"/>
      <c r="I913" s="218" t="n"/>
      <c r="J913" s="218" t="n"/>
      <c r="K913" s="218" t="n"/>
      <c r="L913" s="218" t="n"/>
      <c r="M913" s="218" t="n"/>
      <c r="N913" s="218" t="n"/>
      <c r="O913" s="222">
        <f>IF($A913="","",IF(IF($B913="343",NETWORKDAYS($A913,$A913,FERIADOS_343),IF($B913="281",NETWORKDAYS($A913,$A913,FERIADOS_281),NETWORKDAYS($A913,$A913,FERIADOS_342)))=1,"SIM","NÃO"))</f>
      </c>
      <c r="P913" s="232">
        <f>IF($A913="","",$A913-WEEKDAY($A913,2)+5)</f>
      </c>
    </row>
    <row r="914">
      <c r="A914" s="220" t="n"/>
      <c r="B914" s="218" t="n"/>
      <c r="C914" s="218" t="n"/>
      <c r="D914" s="218" t="n"/>
      <c r="E914" s="218" t="n"/>
      <c r="F914" s="328" t="n"/>
      <c r="G914" s="218" t="n"/>
      <c r="H914" s="218" t="n"/>
      <c r="I914" s="218" t="n"/>
      <c r="J914" s="218" t="n"/>
      <c r="K914" s="218" t="n"/>
      <c r="L914" s="218" t="n"/>
      <c r="M914" s="218" t="n"/>
      <c r="N914" s="218" t="n"/>
      <c r="O914" s="222">
        <f>IF($A914="","",IF(IF($B914="343",NETWORKDAYS($A914,$A914,FERIADOS_343),IF($B914="281",NETWORKDAYS($A914,$A914,FERIADOS_281),NETWORKDAYS($A914,$A914,FERIADOS_342)))=1,"SIM","NÃO"))</f>
      </c>
      <c r="P914" s="232">
        <f>IF($A914="","",$A914-WEEKDAY($A914,2)+5)</f>
      </c>
    </row>
    <row r="915">
      <c r="A915" s="220" t="n"/>
      <c r="B915" s="218" t="n"/>
      <c r="C915" s="218" t="n"/>
      <c r="D915" s="218" t="n"/>
      <c r="E915" s="218" t="n"/>
      <c r="F915" s="328" t="n"/>
      <c r="G915" s="218" t="n"/>
      <c r="H915" s="218" t="n"/>
      <c r="I915" s="218" t="n"/>
      <c r="J915" s="218" t="n"/>
      <c r="K915" s="218" t="n"/>
      <c r="L915" s="218" t="n"/>
      <c r="M915" s="218" t="n"/>
      <c r="N915" s="218" t="n"/>
      <c r="O915" s="222">
        <f>IF($A915="","",IF(IF($B915="343",NETWORKDAYS($A915,$A915,FERIADOS_343),IF($B915="281",NETWORKDAYS($A915,$A915,FERIADOS_281),NETWORKDAYS($A915,$A915,FERIADOS_342)))=1,"SIM","NÃO"))</f>
      </c>
      <c r="P915" s="232">
        <f>IF($A915="","",$A915-WEEKDAY($A915,2)+5)</f>
      </c>
    </row>
    <row r="916">
      <c r="A916" s="220" t="n"/>
      <c r="B916" s="218" t="n"/>
      <c r="C916" s="218" t="n"/>
      <c r="D916" s="218" t="n"/>
      <c r="E916" s="218" t="n"/>
      <c r="F916" s="328" t="n"/>
      <c r="G916" s="218" t="n"/>
      <c r="H916" s="218" t="n"/>
      <c r="I916" s="218" t="n"/>
      <c r="J916" s="218" t="n"/>
      <c r="K916" s="218" t="n"/>
      <c r="L916" s="218" t="n"/>
      <c r="M916" s="218" t="n"/>
      <c r="N916" s="218" t="n"/>
      <c r="O916" s="222">
        <f>IF($A916="","",IF(IF($B916="343",NETWORKDAYS($A916,$A916,FERIADOS_343),IF($B916="281",NETWORKDAYS($A916,$A916,FERIADOS_281),NETWORKDAYS($A916,$A916,FERIADOS_342)))=1,"SIM","NÃO"))</f>
      </c>
      <c r="P916" s="232">
        <f>IF($A916="","",$A916-WEEKDAY($A916,2)+5)</f>
      </c>
    </row>
    <row r="917">
      <c r="A917" s="220" t="n"/>
      <c r="B917" s="218" t="n"/>
      <c r="C917" s="218" t="n"/>
      <c r="D917" s="218" t="n"/>
      <c r="E917" s="218" t="n"/>
      <c r="F917" s="328" t="n"/>
      <c r="G917" s="218" t="n"/>
      <c r="H917" s="218" t="n"/>
      <c r="I917" s="218" t="n"/>
      <c r="J917" s="218" t="n"/>
      <c r="K917" s="218" t="n"/>
      <c r="L917" s="218" t="n"/>
      <c r="M917" s="218" t="n"/>
      <c r="N917" s="218" t="n"/>
      <c r="O917" s="222">
        <f>IF($A917="","",IF(IF($B917="343",NETWORKDAYS($A917,$A917,FERIADOS_343),IF($B917="281",NETWORKDAYS($A917,$A917,FERIADOS_281),NETWORKDAYS($A917,$A917,FERIADOS_342)))=1,"SIM","NÃO"))</f>
      </c>
      <c r="P917" s="232">
        <f>IF($A917="","",$A917-WEEKDAY($A917,2)+5)</f>
      </c>
    </row>
    <row r="918">
      <c r="A918" s="220" t="n"/>
      <c r="B918" s="218" t="n"/>
      <c r="C918" s="218" t="n"/>
      <c r="D918" s="218" t="n"/>
      <c r="E918" s="218" t="n"/>
      <c r="F918" s="328" t="n"/>
      <c r="G918" s="218" t="n"/>
      <c r="H918" s="218" t="n"/>
      <c r="I918" s="218" t="n"/>
      <c r="J918" s="218" t="n"/>
      <c r="K918" s="218" t="n"/>
      <c r="L918" s="218" t="n"/>
      <c r="M918" s="218" t="n"/>
      <c r="N918" s="218" t="n"/>
      <c r="O918" s="222">
        <f>IF($A918="","",IF(IF($B918="343",NETWORKDAYS($A918,$A918,FERIADOS_343),IF($B918="281",NETWORKDAYS($A918,$A918,FERIADOS_281),NETWORKDAYS($A918,$A918,FERIADOS_342)))=1,"SIM","NÃO"))</f>
      </c>
      <c r="P918" s="232">
        <f>IF($A918="","",$A918-WEEKDAY($A918,2)+5)</f>
      </c>
    </row>
    <row r="919">
      <c r="A919" s="220" t="n"/>
      <c r="B919" s="218" t="n"/>
      <c r="C919" s="218" t="n"/>
      <c r="D919" s="218" t="n"/>
      <c r="E919" s="218" t="n"/>
      <c r="F919" s="328" t="n"/>
      <c r="G919" s="218" t="n"/>
      <c r="H919" s="218" t="n"/>
      <c r="I919" s="218" t="n"/>
      <c r="J919" s="218" t="n"/>
      <c r="K919" s="218" t="n"/>
      <c r="L919" s="218" t="n"/>
      <c r="M919" s="218" t="n"/>
      <c r="N919" s="218" t="n"/>
      <c r="O919" s="222">
        <f>IF($A919="","",IF(IF($B919="343",NETWORKDAYS($A919,$A919,FERIADOS_343),IF($B919="281",NETWORKDAYS($A919,$A919,FERIADOS_281),NETWORKDAYS($A919,$A919,FERIADOS_342)))=1,"SIM","NÃO"))</f>
      </c>
      <c r="P919" s="232">
        <f>IF($A919="","",$A919-WEEKDAY($A919,2)+5)</f>
      </c>
    </row>
    <row r="920">
      <c r="A920" s="220" t="n"/>
      <c r="B920" s="218" t="n"/>
      <c r="C920" s="218" t="n"/>
      <c r="D920" s="218" t="n"/>
      <c r="E920" s="218" t="n"/>
      <c r="F920" s="328" t="n"/>
      <c r="G920" s="218" t="n"/>
      <c r="H920" s="218" t="n"/>
      <c r="I920" s="218" t="n"/>
      <c r="J920" s="218" t="n"/>
      <c r="K920" s="218" t="n"/>
      <c r="L920" s="218" t="n"/>
      <c r="M920" s="218" t="n"/>
      <c r="N920" s="218" t="n"/>
      <c r="O920" s="222">
        <f>IF($A920="","",IF(IF($B920="343",NETWORKDAYS($A920,$A920,FERIADOS_343),IF($B920="281",NETWORKDAYS($A920,$A920,FERIADOS_281),NETWORKDAYS($A920,$A920,FERIADOS_342)))=1,"SIM","NÃO"))</f>
      </c>
      <c r="P920" s="232">
        <f>IF($A920="","",$A920-WEEKDAY($A920,2)+5)</f>
      </c>
    </row>
    <row r="921">
      <c r="A921" s="220" t="n"/>
      <c r="B921" s="218" t="n"/>
      <c r="C921" s="218" t="n"/>
      <c r="D921" s="218" t="n"/>
      <c r="E921" s="218" t="n"/>
      <c r="F921" s="328" t="n"/>
      <c r="G921" s="218" t="n"/>
      <c r="H921" s="218" t="n"/>
      <c r="I921" s="218" t="n"/>
      <c r="J921" s="218" t="n"/>
      <c r="K921" s="218" t="n"/>
      <c r="L921" s="218" t="n"/>
      <c r="M921" s="218" t="n"/>
      <c r="N921" s="218" t="n"/>
      <c r="O921" s="222">
        <f>IF($A921="","",IF(IF($B921="343",NETWORKDAYS($A921,$A921,FERIADOS_343),IF($B921="281",NETWORKDAYS($A921,$A921,FERIADOS_281),NETWORKDAYS($A921,$A921,FERIADOS_342)))=1,"SIM","NÃO"))</f>
      </c>
      <c r="P921" s="232">
        <f>IF($A921="","",$A921-WEEKDAY($A921,2)+5)</f>
      </c>
    </row>
    <row r="922">
      <c r="A922" s="220" t="n"/>
      <c r="B922" s="218" t="n"/>
      <c r="C922" s="218" t="n"/>
      <c r="D922" s="218" t="n"/>
      <c r="E922" s="218" t="n"/>
      <c r="F922" s="328" t="n"/>
      <c r="G922" s="218" t="n"/>
      <c r="H922" s="218" t="n"/>
      <c r="I922" s="218" t="n"/>
      <c r="J922" s="218" t="n"/>
      <c r="K922" s="218" t="n"/>
      <c r="L922" s="218" t="n"/>
      <c r="M922" s="218" t="n"/>
      <c r="N922" s="218" t="n"/>
      <c r="O922" s="222">
        <f>IF($A922="","",IF(IF($B922="343",NETWORKDAYS($A922,$A922,FERIADOS_343),IF($B922="281",NETWORKDAYS($A922,$A922,FERIADOS_281),NETWORKDAYS($A922,$A922,FERIADOS_342)))=1,"SIM","NÃO"))</f>
      </c>
      <c r="P922" s="232">
        <f>IF($A922="","",$A922-WEEKDAY($A922,2)+5)</f>
      </c>
    </row>
    <row r="923">
      <c r="A923" s="220" t="n"/>
      <c r="B923" s="218" t="n"/>
      <c r="C923" s="218" t="n"/>
      <c r="D923" s="218" t="n"/>
      <c r="E923" s="218" t="n"/>
      <c r="F923" s="328" t="n"/>
      <c r="G923" s="218" t="n"/>
      <c r="H923" s="218" t="n"/>
      <c r="I923" s="218" t="n"/>
      <c r="J923" s="218" t="n"/>
      <c r="K923" s="218" t="n"/>
      <c r="L923" s="218" t="n"/>
      <c r="M923" s="218" t="n"/>
      <c r="N923" s="218" t="n"/>
      <c r="O923" s="222">
        <f>IF($A923="","",IF(IF($B923="343",NETWORKDAYS($A923,$A923,FERIADOS_343),IF($B923="281",NETWORKDAYS($A923,$A923,FERIADOS_281),NETWORKDAYS($A923,$A923,FERIADOS_342)))=1,"SIM","NÃO"))</f>
      </c>
      <c r="P923" s="232">
        <f>IF($A923="","",$A923-WEEKDAY($A923,2)+5)</f>
      </c>
    </row>
    <row r="924">
      <c r="A924" s="220" t="n"/>
      <c r="B924" s="218" t="n"/>
      <c r="C924" s="218" t="n"/>
      <c r="D924" s="218" t="n"/>
      <c r="E924" s="218" t="n"/>
      <c r="F924" s="328" t="n"/>
      <c r="G924" s="218" t="n"/>
      <c r="H924" s="218" t="n"/>
      <c r="I924" s="218" t="n"/>
      <c r="J924" s="218" t="n"/>
      <c r="K924" s="218" t="n"/>
      <c r="L924" s="218" t="n"/>
      <c r="M924" s="218" t="n"/>
      <c r="N924" s="218" t="n"/>
      <c r="O924" s="222">
        <f>IF($A924="","",IF(IF($B924="343",NETWORKDAYS($A924,$A924,FERIADOS_343),IF($B924="281",NETWORKDAYS($A924,$A924,FERIADOS_281),NETWORKDAYS($A924,$A924,FERIADOS_342)))=1,"SIM","NÃO"))</f>
      </c>
      <c r="P924" s="232">
        <f>IF($A924="","",$A924-WEEKDAY($A924,2)+5)</f>
      </c>
    </row>
    <row r="925">
      <c r="A925" s="220" t="n"/>
      <c r="B925" s="218" t="n"/>
      <c r="C925" s="218" t="n"/>
      <c r="D925" s="218" t="n"/>
      <c r="E925" s="218" t="n"/>
      <c r="F925" s="328" t="n"/>
      <c r="G925" s="218" t="n"/>
      <c r="H925" s="218" t="n"/>
      <c r="I925" s="218" t="n"/>
      <c r="J925" s="218" t="n"/>
      <c r="K925" s="218" t="n"/>
      <c r="L925" s="218" t="n"/>
      <c r="M925" s="218" t="n"/>
      <c r="N925" s="218" t="n"/>
      <c r="O925" s="222">
        <f>IF($A925="","",IF(IF($B925="343",NETWORKDAYS($A925,$A925,FERIADOS_343),IF($B925="281",NETWORKDAYS($A925,$A925,FERIADOS_281),NETWORKDAYS($A925,$A925,FERIADOS_342)))=1,"SIM","NÃO"))</f>
      </c>
      <c r="P925" s="232">
        <f>IF($A925="","",$A925-WEEKDAY($A925,2)+5)</f>
      </c>
    </row>
    <row r="926">
      <c r="A926" s="220" t="n"/>
      <c r="B926" s="218" t="n"/>
      <c r="C926" s="218" t="n"/>
      <c r="D926" s="218" t="n"/>
      <c r="E926" s="218" t="n"/>
      <c r="F926" s="328" t="n"/>
      <c r="G926" s="218" t="n"/>
      <c r="H926" s="218" t="n"/>
      <c r="I926" s="218" t="n"/>
      <c r="J926" s="218" t="n"/>
      <c r="K926" s="218" t="n"/>
      <c r="L926" s="218" t="n"/>
      <c r="M926" s="218" t="n"/>
      <c r="N926" s="218" t="n"/>
      <c r="O926" s="222">
        <f>IF($A926="","",IF(IF($B926="343",NETWORKDAYS($A926,$A926,FERIADOS_343),IF($B926="281",NETWORKDAYS($A926,$A926,FERIADOS_281),NETWORKDAYS($A926,$A926,FERIADOS_342)))=1,"SIM","NÃO"))</f>
      </c>
      <c r="P926" s="232">
        <f>IF($A926="","",$A926-WEEKDAY($A926,2)+5)</f>
      </c>
    </row>
    <row r="927">
      <c r="A927" s="220" t="n"/>
      <c r="B927" s="218" t="n"/>
      <c r="C927" s="218" t="n"/>
      <c r="D927" s="218" t="n"/>
      <c r="E927" s="218" t="n"/>
      <c r="F927" s="328" t="n"/>
      <c r="G927" s="218" t="n"/>
      <c r="H927" s="218" t="n"/>
      <c r="I927" s="218" t="n"/>
      <c r="J927" s="218" t="n"/>
      <c r="K927" s="218" t="n"/>
      <c r="L927" s="218" t="n"/>
      <c r="M927" s="218" t="n"/>
      <c r="N927" s="218" t="n"/>
      <c r="O927" s="222">
        <f>IF($A927="","",IF(IF($B927="343",NETWORKDAYS($A927,$A927,FERIADOS_343),IF($B927="281",NETWORKDAYS($A927,$A927,FERIADOS_281),NETWORKDAYS($A927,$A927,FERIADOS_342)))=1,"SIM","NÃO"))</f>
      </c>
      <c r="P927" s="232">
        <f>IF($A927="","",$A927-WEEKDAY($A927,2)+5)</f>
      </c>
    </row>
    <row r="928">
      <c r="A928" s="220" t="n"/>
      <c r="B928" s="218" t="n"/>
      <c r="C928" s="218" t="n"/>
      <c r="D928" s="218" t="n"/>
      <c r="E928" s="218" t="n"/>
      <c r="F928" s="328" t="n"/>
      <c r="G928" s="218" t="n"/>
      <c r="H928" s="218" t="n"/>
      <c r="I928" s="218" t="n"/>
      <c r="J928" s="218" t="n"/>
      <c r="K928" s="218" t="n"/>
      <c r="L928" s="218" t="n"/>
      <c r="M928" s="218" t="n"/>
      <c r="N928" s="218" t="n"/>
      <c r="O928" s="222">
        <f>IF($A928="","",IF(IF($B928="343",NETWORKDAYS($A928,$A928,FERIADOS_343),IF($B928="281",NETWORKDAYS($A928,$A928,FERIADOS_281),NETWORKDAYS($A928,$A928,FERIADOS_342)))=1,"SIM","NÃO"))</f>
      </c>
      <c r="P928" s="232">
        <f>IF($A928="","",$A928-WEEKDAY($A928,2)+5)</f>
      </c>
    </row>
    <row r="929">
      <c r="A929" s="220" t="n"/>
      <c r="B929" s="218" t="n"/>
      <c r="C929" s="218" t="n"/>
      <c r="D929" s="218" t="n"/>
      <c r="E929" s="218" t="n"/>
      <c r="F929" s="328" t="n"/>
      <c r="G929" s="218" t="n"/>
      <c r="H929" s="218" t="n"/>
      <c r="I929" s="218" t="n"/>
      <c r="J929" s="218" t="n"/>
      <c r="K929" s="218" t="n"/>
      <c r="L929" s="218" t="n"/>
      <c r="M929" s="218" t="n"/>
      <c r="N929" s="218" t="n"/>
      <c r="O929" s="222">
        <f>IF($A929="","",IF(IF($B929="343",NETWORKDAYS($A929,$A929,FERIADOS_343),IF($B929="281",NETWORKDAYS($A929,$A929,FERIADOS_281),NETWORKDAYS($A929,$A929,FERIADOS_342)))=1,"SIM","NÃO"))</f>
      </c>
      <c r="P929" s="232">
        <f>IF($A929="","",$A929-WEEKDAY($A929,2)+5)</f>
      </c>
    </row>
    <row r="930">
      <c r="A930" s="220" t="n"/>
      <c r="B930" s="218" t="n"/>
      <c r="C930" s="218" t="n"/>
      <c r="D930" s="218" t="n"/>
      <c r="E930" s="218" t="n"/>
      <c r="F930" s="328" t="n"/>
      <c r="G930" s="218" t="n"/>
      <c r="H930" s="218" t="n"/>
      <c r="I930" s="218" t="n"/>
      <c r="J930" s="218" t="n"/>
      <c r="K930" s="218" t="n"/>
      <c r="L930" s="218" t="n"/>
      <c r="M930" s="218" t="n"/>
      <c r="N930" s="218" t="n"/>
      <c r="O930" s="222">
        <f>IF($A930="","",IF(IF($B930="343",NETWORKDAYS($A930,$A930,FERIADOS_343),IF($B930="281",NETWORKDAYS($A930,$A930,FERIADOS_281),NETWORKDAYS($A930,$A930,FERIADOS_342)))=1,"SIM","NÃO"))</f>
      </c>
      <c r="P930" s="232">
        <f>IF($A930="","",$A930-WEEKDAY($A930,2)+5)</f>
      </c>
    </row>
    <row r="931">
      <c r="A931" s="220" t="n"/>
      <c r="B931" s="218" t="n"/>
      <c r="C931" s="218" t="n"/>
      <c r="D931" s="218" t="n"/>
      <c r="E931" s="218" t="n"/>
      <c r="F931" s="328" t="n"/>
      <c r="G931" s="218" t="n"/>
      <c r="H931" s="218" t="n"/>
      <c r="I931" s="218" t="n"/>
      <c r="J931" s="218" t="n"/>
      <c r="K931" s="218" t="n"/>
      <c r="L931" s="218" t="n"/>
      <c r="M931" s="218" t="n"/>
      <c r="N931" s="218" t="n"/>
      <c r="O931" s="222">
        <f>IF($A931="","",IF(IF($B931="343",NETWORKDAYS($A931,$A931,FERIADOS_343),IF($B931="281",NETWORKDAYS($A931,$A931,FERIADOS_281),NETWORKDAYS($A931,$A931,FERIADOS_342)))=1,"SIM","NÃO"))</f>
      </c>
      <c r="P931" s="232">
        <f>IF($A931="","",$A931-WEEKDAY($A931,2)+5)</f>
      </c>
    </row>
    <row r="932">
      <c r="A932" s="220" t="n"/>
      <c r="B932" s="218" t="n"/>
      <c r="C932" s="218" t="n"/>
      <c r="D932" s="218" t="n"/>
      <c r="E932" s="218" t="n"/>
      <c r="F932" s="328" t="n"/>
      <c r="G932" s="218" t="n"/>
      <c r="H932" s="218" t="n"/>
      <c r="I932" s="218" t="n"/>
      <c r="J932" s="218" t="n"/>
      <c r="K932" s="218" t="n"/>
      <c r="L932" s="218" t="n"/>
      <c r="M932" s="218" t="n"/>
      <c r="N932" s="218" t="n"/>
      <c r="O932" s="222">
        <f>IF($A932="","",IF(IF($B932="343",NETWORKDAYS($A932,$A932,FERIADOS_343),IF($B932="281",NETWORKDAYS($A932,$A932,FERIADOS_281),NETWORKDAYS($A932,$A932,FERIADOS_342)))=1,"SIM","NÃO"))</f>
      </c>
      <c r="P932" s="232">
        <f>IF($A932="","",$A932-WEEKDAY($A932,2)+5)</f>
      </c>
    </row>
    <row r="933">
      <c r="A933" s="220" t="n"/>
      <c r="B933" s="218" t="n"/>
      <c r="C933" s="218" t="n"/>
      <c r="D933" s="218" t="n"/>
      <c r="E933" s="218" t="n"/>
      <c r="F933" s="328" t="n"/>
      <c r="G933" s="218" t="n"/>
      <c r="H933" s="218" t="n"/>
      <c r="I933" s="218" t="n"/>
      <c r="J933" s="218" t="n"/>
      <c r="K933" s="218" t="n"/>
      <c r="L933" s="218" t="n"/>
      <c r="M933" s="218" t="n"/>
      <c r="N933" s="218" t="n"/>
      <c r="O933" s="222">
        <f>IF($A933="","",IF(IF($B933="343",NETWORKDAYS($A933,$A933,FERIADOS_343),IF($B933="281",NETWORKDAYS($A933,$A933,FERIADOS_281),NETWORKDAYS($A933,$A933,FERIADOS_342)))=1,"SIM","NÃO"))</f>
      </c>
      <c r="P933" s="232">
        <f>IF($A933="","",$A933-WEEKDAY($A933,2)+5)</f>
      </c>
    </row>
    <row r="934">
      <c r="A934" s="220" t="n"/>
      <c r="B934" s="218" t="n"/>
      <c r="C934" s="218" t="n"/>
      <c r="D934" s="218" t="n"/>
      <c r="E934" s="218" t="n"/>
      <c r="F934" s="328" t="n"/>
      <c r="G934" s="218" t="n"/>
      <c r="H934" s="218" t="n"/>
      <c r="I934" s="218" t="n"/>
      <c r="J934" s="218" t="n"/>
      <c r="K934" s="218" t="n"/>
      <c r="L934" s="218" t="n"/>
      <c r="M934" s="218" t="n"/>
      <c r="N934" s="218" t="n"/>
      <c r="O934" s="222">
        <f>IF($A934="","",IF(IF($B934="343",NETWORKDAYS($A934,$A934,FERIADOS_343),IF($B934="281",NETWORKDAYS($A934,$A934,FERIADOS_281),NETWORKDAYS($A934,$A934,FERIADOS_342)))=1,"SIM","NÃO"))</f>
      </c>
      <c r="P934" s="232">
        <f>IF($A934="","",$A934-WEEKDAY($A934,2)+5)</f>
      </c>
    </row>
    <row r="935">
      <c r="A935" s="220" t="n"/>
      <c r="B935" s="218" t="n"/>
      <c r="C935" s="218" t="n"/>
      <c r="D935" s="218" t="n"/>
      <c r="E935" s="218" t="n"/>
      <c r="F935" s="328" t="n"/>
      <c r="G935" s="218" t="n"/>
      <c r="H935" s="218" t="n"/>
      <c r="I935" s="218" t="n"/>
      <c r="J935" s="218" t="n"/>
      <c r="K935" s="218" t="n"/>
      <c r="L935" s="218" t="n"/>
      <c r="M935" s="218" t="n"/>
      <c r="N935" s="218" t="n"/>
      <c r="O935" s="222">
        <f>IF($A935="","",IF(IF($B935="343",NETWORKDAYS($A935,$A935,FERIADOS_343),IF($B935="281",NETWORKDAYS($A935,$A935,FERIADOS_281),NETWORKDAYS($A935,$A935,FERIADOS_342)))=1,"SIM","NÃO"))</f>
      </c>
      <c r="P935" s="232">
        <f>IF($A935="","",$A935-WEEKDAY($A935,2)+5)</f>
      </c>
    </row>
    <row r="936">
      <c r="A936" s="220" t="n"/>
      <c r="B936" s="218" t="n"/>
      <c r="C936" s="218" t="n"/>
      <c r="D936" s="218" t="n"/>
      <c r="E936" s="218" t="n"/>
      <c r="F936" s="328" t="n"/>
      <c r="G936" s="218" t="n"/>
      <c r="H936" s="218" t="n"/>
      <c r="I936" s="218" t="n"/>
      <c r="J936" s="218" t="n"/>
      <c r="K936" s="218" t="n"/>
      <c r="L936" s="218" t="n"/>
      <c r="M936" s="218" t="n"/>
      <c r="N936" s="218" t="n"/>
      <c r="O936" s="222">
        <f>IF($A936="","",IF(IF($B936="343",NETWORKDAYS($A936,$A936,FERIADOS_343),IF($B936="281",NETWORKDAYS($A936,$A936,FERIADOS_281),NETWORKDAYS($A936,$A936,FERIADOS_342)))=1,"SIM","NÃO"))</f>
      </c>
      <c r="P936" s="232">
        <f>IF($A936="","",$A936-WEEKDAY($A936,2)+5)</f>
      </c>
    </row>
    <row r="937">
      <c r="A937" s="220" t="n"/>
      <c r="B937" s="218" t="n"/>
      <c r="C937" s="218" t="n"/>
      <c r="D937" s="218" t="n"/>
      <c r="E937" s="218" t="n"/>
      <c r="F937" s="328" t="n"/>
      <c r="G937" s="218" t="n"/>
      <c r="H937" s="218" t="n"/>
      <c r="I937" s="218" t="n"/>
      <c r="J937" s="218" t="n"/>
      <c r="K937" s="218" t="n"/>
      <c r="L937" s="218" t="n"/>
      <c r="M937" s="218" t="n"/>
      <c r="N937" s="218" t="n"/>
      <c r="O937" s="222">
        <f>IF($A937="","",IF(IF($B937="343",NETWORKDAYS($A937,$A937,FERIADOS_343),IF($B937="281",NETWORKDAYS($A937,$A937,FERIADOS_281),NETWORKDAYS($A937,$A937,FERIADOS_342)))=1,"SIM","NÃO"))</f>
      </c>
      <c r="P937" s="232">
        <f>IF($A937="","",$A937-WEEKDAY($A937,2)+5)</f>
      </c>
    </row>
    <row r="938">
      <c r="A938" s="220" t="n"/>
      <c r="B938" s="218" t="n"/>
      <c r="C938" s="218" t="n"/>
      <c r="D938" s="218" t="n"/>
      <c r="E938" s="218" t="n"/>
      <c r="F938" s="328" t="n"/>
      <c r="G938" s="218" t="n"/>
      <c r="H938" s="218" t="n"/>
      <c r="I938" s="218" t="n"/>
      <c r="J938" s="218" t="n"/>
      <c r="K938" s="218" t="n"/>
      <c r="L938" s="218" t="n"/>
      <c r="M938" s="218" t="n"/>
      <c r="N938" s="218" t="n"/>
      <c r="O938" s="222">
        <f>IF($A938="","",IF(IF($B938="343",NETWORKDAYS($A938,$A938,FERIADOS_343),IF($B938="281",NETWORKDAYS($A938,$A938,FERIADOS_281),NETWORKDAYS($A938,$A938,FERIADOS_342)))=1,"SIM","NÃO"))</f>
      </c>
      <c r="P938" s="232">
        <f>IF($A938="","",$A938-WEEKDAY($A938,2)+5)</f>
      </c>
    </row>
    <row r="939">
      <c r="A939" s="220" t="n"/>
      <c r="B939" s="218" t="n"/>
      <c r="C939" s="218" t="n"/>
      <c r="D939" s="218" t="n"/>
      <c r="E939" s="218" t="n"/>
      <c r="F939" s="328" t="n"/>
      <c r="G939" s="218" t="n"/>
      <c r="H939" s="218" t="n"/>
      <c r="I939" s="218" t="n"/>
      <c r="J939" s="218" t="n"/>
      <c r="K939" s="218" t="n"/>
      <c r="L939" s="218" t="n"/>
      <c r="M939" s="218" t="n"/>
      <c r="N939" s="218" t="n"/>
      <c r="O939" s="222">
        <f>IF($A939="","",IF(IF($B939="343",NETWORKDAYS($A939,$A939,FERIADOS_343),IF($B939="281",NETWORKDAYS($A939,$A939,FERIADOS_281),NETWORKDAYS($A939,$A939,FERIADOS_342)))=1,"SIM","NÃO"))</f>
      </c>
      <c r="P939" s="232">
        <f>IF($A939="","",$A939-WEEKDAY($A939,2)+5)</f>
      </c>
    </row>
    <row r="940">
      <c r="A940" s="220" t="n"/>
      <c r="B940" s="218" t="n"/>
      <c r="C940" s="218" t="n"/>
      <c r="D940" s="218" t="n"/>
      <c r="E940" s="218" t="n"/>
      <c r="F940" s="328" t="n"/>
      <c r="G940" s="218" t="n"/>
      <c r="H940" s="218" t="n"/>
      <c r="I940" s="218" t="n"/>
      <c r="J940" s="218" t="n"/>
      <c r="K940" s="218" t="n"/>
      <c r="L940" s="218" t="n"/>
      <c r="M940" s="218" t="n"/>
      <c r="N940" s="218" t="n"/>
      <c r="O940" s="222">
        <f>IF($A940="","",IF(IF($B940="343",NETWORKDAYS($A940,$A940,FERIADOS_343),IF($B940="281",NETWORKDAYS($A940,$A940,FERIADOS_281),NETWORKDAYS($A940,$A940,FERIADOS_342)))=1,"SIM","NÃO"))</f>
      </c>
      <c r="P940" s="232">
        <f>IF($A940="","",$A940-WEEKDAY($A940,2)+5)</f>
      </c>
    </row>
    <row r="941">
      <c r="A941" s="220" t="n"/>
      <c r="B941" s="218" t="n"/>
      <c r="C941" s="218" t="n"/>
      <c r="D941" s="218" t="n"/>
      <c r="E941" s="218" t="n"/>
      <c r="F941" s="328" t="n"/>
      <c r="G941" s="218" t="n"/>
      <c r="H941" s="218" t="n"/>
      <c r="I941" s="218" t="n"/>
      <c r="J941" s="218" t="n"/>
      <c r="K941" s="218" t="n"/>
      <c r="L941" s="218" t="n"/>
      <c r="M941" s="218" t="n"/>
      <c r="N941" s="218" t="n"/>
      <c r="O941" s="222">
        <f>IF($A941="","",IF(IF($B941="343",NETWORKDAYS($A941,$A941,FERIADOS_343),IF($B941="281",NETWORKDAYS($A941,$A941,FERIADOS_281),NETWORKDAYS($A941,$A941,FERIADOS_342)))=1,"SIM","NÃO"))</f>
      </c>
      <c r="P941" s="232">
        <f>IF($A941="","",$A941-WEEKDAY($A941,2)+5)</f>
      </c>
    </row>
    <row r="942">
      <c r="A942" s="220" t="n"/>
      <c r="B942" s="218" t="n"/>
      <c r="C942" s="218" t="n"/>
      <c r="D942" s="218" t="n"/>
      <c r="E942" s="218" t="n"/>
      <c r="F942" s="328" t="n"/>
      <c r="G942" s="218" t="n"/>
      <c r="H942" s="218" t="n"/>
      <c r="I942" s="218" t="n"/>
      <c r="J942" s="218" t="n"/>
      <c r="K942" s="218" t="n"/>
      <c r="L942" s="218" t="n"/>
      <c r="M942" s="218" t="n"/>
      <c r="N942" s="218" t="n"/>
      <c r="O942" s="222">
        <f>IF($A942="","",IF(IF($B942="343",NETWORKDAYS($A942,$A942,FERIADOS_343),IF($B942="281",NETWORKDAYS($A942,$A942,FERIADOS_281),NETWORKDAYS($A942,$A942,FERIADOS_342)))=1,"SIM","NÃO"))</f>
      </c>
      <c r="P942" s="232">
        <f>IF($A942="","",$A942-WEEKDAY($A942,2)+5)</f>
      </c>
    </row>
    <row r="943">
      <c r="A943" s="220" t="n"/>
      <c r="B943" s="218" t="n"/>
      <c r="C943" s="218" t="n"/>
      <c r="D943" s="218" t="n"/>
      <c r="E943" s="218" t="n"/>
      <c r="F943" s="328" t="n"/>
      <c r="G943" s="218" t="n"/>
      <c r="H943" s="218" t="n"/>
      <c r="I943" s="218" t="n"/>
      <c r="J943" s="218" t="n"/>
      <c r="K943" s="218" t="n"/>
      <c r="L943" s="218" t="n"/>
      <c r="M943" s="218" t="n"/>
      <c r="N943" s="218" t="n"/>
      <c r="O943" s="222">
        <f>IF($A943="","",IF(IF($B943="343",NETWORKDAYS($A943,$A943,FERIADOS_343),IF($B943="281",NETWORKDAYS($A943,$A943,FERIADOS_281),NETWORKDAYS($A943,$A943,FERIADOS_342)))=1,"SIM","NÃO"))</f>
      </c>
      <c r="P943" s="232">
        <f>IF($A943="","",$A943-WEEKDAY($A943,2)+5)</f>
      </c>
    </row>
    <row r="944">
      <c r="A944" s="220" t="n"/>
      <c r="B944" s="218" t="n"/>
      <c r="C944" s="218" t="n"/>
      <c r="D944" s="218" t="n"/>
      <c r="E944" s="218" t="n"/>
      <c r="F944" s="328" t="n"/>
      <c r="G944" s="218" t="n"/>
      <c r="H944" s="218" t="n"/>
      <c r="I944" s="218" t="n"/>
      <c r="J944" s="218" t="n"/>
      <c r="K944" s="218" t="n"/>
      <c r="L944" s="218" t="n"/>
      <c r="M944" s="218" t="n"/>
      <c r="N944" s="218" t="n"/>
      <c r="O944" s="222">
        <f>IF($A944="","",IF(IF($B944="343",NETWORKDAYS($A944,$A944,FERIADOS_343),IF($B944="281",NETWORKDAYS($A944,$A944,FERIADOS_281),NETWORKDAYS($A944,$A944,FERIADOS_342)))=1,"SIM","NÃO"))</f>
      </c>
      <c r="P944" s="232">
        <f>IF($A944="","",$A944-WEEKDAY($A944,2)+5)</f>
      </c>
    </row>
    <row r="945">
      <c r="A945" s="220" t="n"/>
      <c r="B945" s="218" t="n"/>
      <c r="C945" s="218" t="n"/>
      <c r="D945" s="218" t="n"/>
      <c r="E945" s="218" t="n"/>
      <c r="F945" s="328" t="n"/>
      <c r="G945" s="218" t="n"/>
      <c r="H945" s="218" t="n"/>
      <c r="I945" s="218" t="n"/>
      <c r="J945" s="218" t="n"/>
      <c r="K945" s="218" t="n"/>
      <c r="L945" s="218" t="n"/>
      <c r="M945" s="218" t="n"/>
      <c r="N945" s="218" t="n"/>
      <c r="O945" s="222">
        <f>IF($A945="","",IF(IF($B945="343",NETWORKDAYS($A945,$A945,FERIADOS_343),IF($B945="281",NETWORKDAYS($A945,$A945,FERIADOS_281),NETWORKDAYS($A945,$A945,FERIADOS_342)))=1,"SIM","NÃO"))</f>
      </c>
      <c r="P945" s="232">
        <f>IF($A945="","",$A945-WEEKDAY($A945,2)+5)</f>
      </c>
    </row>
    <row r="946">
      <c r="A946" s="220" t="n"/>
      <c r="B946" s="218" t="n"/>
      <c r="C946" s="218" t="n"/>
      <c r="D946" s="218" t="n"/>
      <c r="E946" s="218" t="n"/>
      <c r="F946" s="328" t="n"/>
      <c r="G946" s="218" t="n"/>
      <c r="H946" s="218" t="n"/>
      <c r="I946" s="218" t="n"/>
      <c r="J946" s="218" t="n"/>
      <c r="K946" s="218" t="n"/>
      <c r="L946" s="218" t="n"/>
      <c r="M946" s="218" t="n"/>
      <c r="N946" s="218" t="n"/>
      <c r="O946" s="222">
        <f>IF($A946="","",IF(IF($B946="343",NETWORKDAYS($A946,$A946,FERIADOS_343),IF($B946="281",NETWORKDAYS($A946,$A946,FERIADOS_281),NETWORKDAYS($A946,$A946,FERIADOS_342)))=1,"SIM","NÃO"))</f>
      </c>
      <c r="P946" s="232">
        <f>IF($A946="","",$A946-WEEKDAY($A946,2)+5)</f>
      </c>
    </row>
    <row r="947">
      <c r="A947" s="220" t="n"/>
      <c r="B947" s="218" t="n"/>
      <c r="C947" s="218" t="n"/>
      <c r="D947" s="218" t="n"/>
      <c r="E947" s="218" t="n"/>
      <c r="F947" s="328" t="n"/>
      <c r="G947" s="218" t="n"/>
      <c r="H947" s="218" t="n"/>
      <c r="I947" s="218" t="n"/>
      <c r="J947" s="218" t="n"/>
      <c r="K947" s="218" t="n"/>
      <c r="L947" s="218" t="n"/>
      <c r="M947" s="218" t="n"/>
      <c r="N947" s="218" t="n"/>
      <c r="O947" s="222">
        <f>IF($A947="","",IF(IF($B947="343",NETWORKDAYS($A947,$A947,FERIADOS_343),IF($B947="281",NETWORKDAYS($A947,$A947,FERIADOS_281),NETWORKDAYS($A947,$A947,FERIADOS_342)))=1,"SIM","NÃO"))</f>
      </c>
      <c r="P947" s="232">
        <f>IF($A947="","",$A947-WEEKDAY($A947,2)+5)</f>
      </c>
    </row>
    <row r="948">
      <c r="A948" s="220" t="n"/>
      <c r="B948" s="218" t="n"/>
      <c r="C948" s="218" t="n"/>
      <c r="D948" s="218" t="n"/>
      <c r="E948" s="218" t="n"/>
      <c r="F948" s="328" t="n"/>
      <c r="G948" s="218" t="n"/>
      <c r="H948" s="218" t="n"/>
      <c r="I948" s="218" t="n"/>
      <c r="J948" s="218" t="n"/>
      <c r="K948" s="218" t="n"/>
      <c r="L948" s="218" t="n"/>
      <c r="M948" s="218" t="n"/>
      <c r="N948" s="218" t="n"/>
      <c r="O948" s="222">
        <f>IF($A948="","",IF(IF($B948="343",NETWORKDAYS($A948,$A948,FERIADOS_343),IF($B948="281",NETWORKDAYS($A948,$A948,FERIADOS_281),NETWORKDAYS($A948,$A948,FERIADOS_342)))=1,"SIM","NÃO"))</f>
      </c>
      <c r="P948" s="232">
        <f>IF($A948="","",$A948-WEEKDAY($A948,2)+5)</f>
      </c>
    </row>
    <row r="949">
      <c r="A949" s="220" t="n"/>
      <c r="B949" s="218" t="n"/>
      <c r="C949" s="218" t="n"/>
      <c r="D949" s="218" t="n"/>
      <c r="E949" s="218" t="n"/>
      <c r="F949" s="328" t="n"/>
      <c r="G949" s="218" t="n"/>
      <c r="H949" s="218" t="n"/>
      <c r="I949" s="218" t="n"/>
      <c r="J949" s="218" t="n"/>
      <c r="K949" s="218" t="n"/>
      <c r="L949" s="218" t="n"/>
      <c r="M949" s="218" t="n"/>
      <c r="N949" s="218" t="n"/>
      <c r="O949" s="222">
        <f>IF($A949="","",IF(IF($B949="343",NETWORKDAYS($A949,$A949,FERIADOS_343),IF($B949="281",NETWORKDAYS($A949,$A949,FERIADOS_281),NETWORKDAYS($A949,$A949,FERIADOS_342)))=1,"SIM","NÃO"))</f>
      </c>
      <c r="P949" s="232">
        <f>IF($A949="","",$A949-WEEKDAY($A949,2)+5)</f>
      </c>
    </row>
    <row r="950">
      <c r="A950" s="220" t="n"/>
      <c r="B950" s="218" t="n"/>
      <c r="C950" s="218" t="n"/>
      <c r="D950" s="218" t="n"/>
      <c r="E950" s="218" t="n"/>
      <c r="F950" s="328" t="n"/>
      <c r="G950" s="218" t="n"/>
      <c r="H950" s="218" t="n"/>
      <c r="I950" s="218" t="n"/>
      <c r="J950" s="218" t="n"/>
      <c r="K950" s="218" t="n"/>
      <c r="L950" s="218" t="n"/>
      <c r="M950" s="218" t="n"/>
      <c r="N950" s="218" t="n"/>
      <c r="O950" s="222">
        <f>IF($A950="","",IF(IF($B950="343",NETWORKDAYS($A950,$A950,FERIADOS_343),IF($B950="281",NETWORKDAYS($A950,$A950,FERIADOS_281),NETWORKDAYS($A950,$A950,FERIADOS_342)))=1,"SIM","NÃO"))</f>
      </c>
      <c r="P950" s="232">
        <f>IF($A950="","",$A950-WEEKDAY($A950,2)+5)</f>
      </c>
    </row>
    <row r="951">
      <c r="A951" s="220" t="n"/>
      <c r="B951" s="218" t="n"/>
      <c r="C951" s="218" t="n"/>
      <c r="D951" s="218" t="n"/>
      <c r="E951" s="218" t="n"/>
      <c r="F951" s="328" t="n"/>
      <c r="G951" s="218" t="n"/>
      <c r="H951" s="218" t="n"/>
      <c r="I951" s="218" t="n"/>
      <c r="J951" s="218" t="n"/>
      <c r="K951" s="218" t="n"/>
      <c r="L951" s="218" t="n"/>
      <c r="M951" s="218" t="n"/>
      <c r="N951" s="218" t="n"/>
      <c r="O951" s="222">
        <f>IF($A951="","",IF(IF($B951="343",NETWORKDAYS($A951,$A951,FERIADOS_343),IF($B951="281",NETWORKDAYS($A951,$A951,FERIADOS_281),NETWORKDAYS($A951,$A951,FERIADOS_342)))=1,"SIM","NÃO"))</f>
      </c>
      <c r="P951" s="232">
        <f>IF($A951="","",$A951-WEEKDAY($A951,2)+5)</f>
      </c>
    </row>
    <row r="952">
      <c r="A952" s="220" t="n"/>
      <c r="B952" s="218" t="n"/>
      <c r="C952" s="218" t="n"/>
      <c r="D952" s="218" t="n"/>
      <c r="E952" s="218" t="n"/>
      <c r="F952" s="328" t="n"/>
      <c r="G952" s="218" t="n"/>
      <c r="H952" s="218" t="n"/>
      <c r="I952" s="218" t="n"/>
      <c r="J952" s="218" t="n"/>
      <c r="K952" s="218" t="n"/>
      <c r="L952" s="218" t="n"/>
      <c r="M952" s="218" t="n"/>
      <c r="N952" s="218" t="n"/>
      <c r="O952" s="222">
        <f>IF($A952="","",IF(IF($B952="343",NETWORKDAYS($A952,$A952,FERIADOS_343),IF($B952="281",NETWORKDAYS($A952,$A952,FERIADOS_281),NETWORKDAYS($A952,$A952,FERIADOS_342)))=1,"SIM","NÃO"))</f>
      </c>
      <c r="P952" s="232">
        <f>IF($A952="","",$A952-WEEKDAY($A952,2)+5)</f>
      </c>
    </row>
    <row r="953">
      <c r="A953" s="220" t="n"/>
      <c r="B953" s="218" t="n"/>
      <c r="C953" s="218" t="n"/>
      <c r="D953" s="218" t="n"/>
      <c r="E953" s="218" t="n"/>
      <c r="F953" s="328" t="n"/>
      <c r="G953" s="218" t="n"/>
      <c r="H953" s="218" t="n"/>
      <c r="I953" s="218" t="n"/>
      <c r="J953" s="218" t="n"/>
      <c r="K953" s="218" t="n"/>
      <c r="L953" s="218" t="n"/>
      <c r="M953" s="218" t="n"/>
      <c r="N953" s="218" t="n"/>
      <c r="O953" s="222">
        <f>IF($A953="","",IF(IF($B953="343",NETWORKDAYS($A953,$A953,FERIADOS_343),IF($B953="281",NETWORKDAYS($A953,$A953,FERIADOS_281),NETWORKDAYS($A953,$A953,FERIADOS_342)))=1,"SIM","NÃO"))</f>
      </c>
      <c r="P953" s="232">
        <f>IF($A953="","",$A953-WEEKDAY($A953,2)+5)</f>
      </c>
    </row>
    <row r="954">
      <c r="A954" s="220" t="n"/>
      <c r="B954" s="218" t="n"/>
      <c r="C954" s="218" t="n"/>
      <c r="D954" s="218" t="n"/>
      <c r="E954" s="218" t="n"/>
      <c r="F954" s="328" t="n"/>
      <c r="G954" s="218" t="n"/>
      <c r="H954" s="218" t="n"/>
      <c r="I954" s="218" t="n"/>
      <c r="J954" s="218" t="n"/>
      <c r="K954" s="218" t="n"/>
      <c r="L954" s="218" t="n"/>
      <c r="M954" s="218" t="n"/>
      <c r="N954" s="218" t="n"/>
      <c r="O954" s="222">
        <f>IF($A954="","",IF(IF($B954="343",NETWORKDAYS($A954,$A954,FERIADOS_343),IF($B954="281",NETWORKDAYS($A954,$A954,FERIADOS_281),NETWORKDAYS($A954,$A954,FERIADOS_342)))=1,"SIM","NÃO"))</f>
      </c>
      <c r="P954" s="232">
        <f>IF($A954="","",$A954-WEEKDAY($A954,2)+5)</f>
      </c>
    </row>
    <row r="955">
      <c r="A955" s="220" t="n"/>
      <c r="B955" s="218" t="n"/>
      <c r="C955" s="218" t="n"/>
      <c r="D955" s="218" t="n"/>
      <c r="E955" s="218" t="n"/>
      <c r="F955" s="328" t="n"/>
      <c r="G955" s="218" t="n"/>
      <c r="H955" s="218" t="n"/>
      <c r="I955" s="218" t="n"/>
      <c r="J955" s="218" t="n"/>
      <c r="K955" s="218" t="n"/>
      <c r="L955" s="218" t="n"/>
      <c r="M955" s="218" t="n"/>
      <c r="N955" s="218" t="n"/>
      <c r="O955" s="222">
        <f>IF($A955="","",IF(IF($B955="343",NETWORKDAYS($A955,$A955,FERIADOS_343),IF($B955="281",NETWORKDAYS($A955,$A955,FERIADOS_281),NETWORKDAYS($A955,$A955,FERIADOS_342)))=1,"SIM","NÃO"))</f>
      </c>
      <c r="P955" s="232">
        <f>IF($A955="","",$A955-WEEKDAY($A955,2)+5)</f>
      </c>
    </row>
    <row r="956">
      <c r="A956" s="220" t="n"/>
      <c r="B956" s="218" t="n"/>
      <c r="C956" s="218" t="n"/>
      <c r="D956" s="218" t="n"/>
      <c r="E956" s="218" t="n"/>
      <c r="F956" s="328" t="n"/>
      <c r="G956" s="218" t="n"/>
      <c r="H956" s="218" t="n"/>
      <c r="I956" s="218" t="n"/>
      <c r="J956" s="218" t="n"/>
      <c r="K956" s="218" t="n"/>
      <c r="L956" s="218" t="n"/>
      <c r="M956" s="218" t="n"/>
      <c r="N956" s="218" t="n"/>
      <c r="O956" s="222">
        <f>IF($A956="","",IF(IF($B956="343",NETWORKDAYS($A956,$A956,FERIADOS_343),IF($B956="281",NETWORKDAYS($A956,$A956,FERIADOS_281),NETWORKDAYS($A956,$A956,FERIADOS_342)))=1,"SIM","NÃO"))</f>
      </c>
      <c r="P956" s="232">
        <f>IF($A956="","",$A956-WEEKDAY($A956,2)+5)</f>
      </c>
    </row>
    <row r="957">
      <c r="A957" s="220" t="n"/>
      <c r="B957" s="218" t="n"/>
      <c r="C957" s="218" t="n"/>
      <c r="D957" s="218" t="n"/>
      <c r="E957" s="218" t="n"/>
      <c r="F957" s="328" t="n"/>
      <c r="G957" s="218" t="n"/>
      <c r="H957" s="218" t="n"/>
      <c r="I957" s="218" t="n"/>
      <c r="J957" s="218" t="n"/>
      <c r="K957" s="218" t="n"/>
      <c r="L957" s="218" t="n"/>
      <c r="M957" s="218" t="n"/>
      <c r="N957" s="218" t="n"/>
      <c r="O957" s="222">
        <f>IF($A957="","",IF(IF($B957="343",NETWORKDAYS($A957,$A957,FERIADOS_343),IF($B957="281",NETWORKDAYS($A957,$A957,FERIADOS_281),NETWORKDAYS($A957,$A957,FERIADOS_342)))=1,"SIM","NÃO"))</f>
      </c>
      <c r="P957" s="232">
        <f>IF($A957="","",$A957-WEEKDAY($A957,2)+5)</f>
      </c>
    </row>
    <row r="958">
      <c r="A958" s="220" t="n"/>
      <c r="B958" s="218" t="n"/>
      <c r="C958" s="218" t="n"/>
      <c r="D958" s="218" t="n"/>
      <c r="E958" s="218" t="n"/>
      <c r="F958" s="328" t="n"/>
      <c r="G958" s="218" t="n"/>
      <c r="H958" s="218" t="n"/>
      <c r="I958" s="218" t="n"/>
      <c r="J958" s="218" t="n"/>
      <c r="K958" s="218" t="n"/>
      <c r="L958" s="218" t="n"/>
      <c r="M958" s="218" t="n"/>
      <c r="N958" s="218" t="n"/>
      <c r="O958" s="222">
        <f>IF($A958="","",IF(IF($B958="343",NETWORKDAYS($A958,$A958,FERIADOS_343),IF($B958="281",NETWORKDAYS($A958,$A958,FERIADOS_281),NETWORKDAYS($A958,$A958,FERIADOS_342)))=1,"SIM","NÃO"))</f>
      </c>
      <c r="P958" s="232">
        <f>IF($A958="","",$A958-WEEKDAY($A958,2)+5)</f>
      </c>
    </row>
    <row r="959">
      <c r="A959" s="220" t="n"/>
      <c r="B959" s="218" t="n"/>
      <c r="C959" s="218" t="n"/>
      <c r="D959" s="218" t="n"/>
      <c r="E959" s="218" t="n"/>
      <c r="F959" s="328" t="n"/>
      <c r="G959" s="218" t="n"/>
      <c r="H959" s="218" t="n"/>
      <c r="I959" s="218" t="n"/>
      <c r="J959" s="218" t="n"/>
      <c r="K959" s="218" t="n"/>
      <c r="L959" s="218" t="n"/>
      <c r="M959" s="218" t="n"/>
      <c r="N959" s="218" t="n"/>
      <c r="O959" s="222">
        <f>IF($A959="","",IF(IF($B959="343",NETWORKDAYS($A959,$A959,FERIADOS_343),IF($B959="281",NETWORKDAYS($A959,$A959,FERIADOS_281),NETWORKDAYS($A959,$A959,FERIADOS_342)))=1,"SIM","NÃO"))</f>
      </c>
      <c r="P959" s="232">
        <f>IF($A959="","",$A959-WEEKDAY($A959,2)+5)</f>
      </c>
    </row>
    <row r="960">
      <c r="A960" s="220" t="n"/>
      <c r="B960" s="218" t="n"/>
      <c r="C960" s="218" t="n"/>
      <c r="D960" s="218" t="n"/>
      <c r="E960" s="218" t="n"/>
      <c r="F960" s="328" t="n"/>
      <c r="G960" s="218" t="n"/>
      <c r="H960" s="218" t="n"/>
      <c r="I960" s="218" t="n"/>
      <c r="J960" s="218" t="n"/>
      <c r="K960" s="218" t="n"/>
      <c r="L960" s="218" t="n"/>
      <c r="M960" s="218" t="n"/>
      <c r="N960" s="218" t="n"/>
      <c r="O960" s="222">
        <f>IF($A960="","",IF(IF($B960="343",NETWORKDAYS($A960,$A960,FERIADOS_343),IF($B960="281",NETWORKDAYS($A960,$A960,FERIADOS_281),NETWORKDAYS($A960,$A960,FERIADOS_342)))=1,"SIM","NÃO"))</f>
      </c>
      <c r="P960" s="232">
        <f>IF($A960="","",$A960-WEEKDAY($A960,2)+5)</f>
      </c>
    </row>
    <row r="961">
      <c r="A961" s="220" t="n"/>
      <c r="B961" s="218" t="n"/>
      <c r="C961" s="218" t="n"/>
      <c r="D961" s="218" t="n"/>
      <c r="E961" s="218" t="n"/>
      <c r="F961" s="328" t="n"/>
      <c r="G961" s="218" t="n"/>
      <c r="H961" s="218" t="n"/>
      <c r="I961" s="218" t="n"/>
      <c r="J961" s="218" t="n"/>
      <c r="K961" s="218" t="n"/>
      <c r="L961" s="218" t="n"/>
      <c r="M961" s="218" t="n"/>
      <c r="N961" s="218" t="n"/>
      <c r="O961" s="222">
        <f>IF($A961="","",IF(IF($B961="343",NETWORKDAYS($A961,$A961,FERIADOS_343),IF($B961="281",NETWORKDAYS($A961,$A961,FERIADOS_281),NETWORKDAYS($A961,$A961,FERIADOS_342)))=1,"SIM","NÃO"))</f>
      </c>
      <c r="P961" s="232">
        <f>IF($A961="","",$A961-WEEKDAY($A961,2)+5)</f>
      </c>
    </row>
    <row r="962">
      <c r="A962" s="220" t="n"/>
      <c r="B962" s="218" t="n"/>
      <c r="C962" s="218" t="n"/>
      <c r="D962" s="218" t="n"/>
      <c r="E962" s="218" t="n"/>
      <c r="F962" s="328" t="n"/>
      <c r="G962" s="218" t="n"/>
      <c r="H962" s="218" t="n"/>
      <c r="I962" s="218" t="n"/>
      <c r="J962" s="218" t="n"/>
      <c r="K962" s="218" t="n"/>
      <c r="L962" s="218" t="n"/>
      <c r="M962" s="218" t="n"/>
      <c r="N962" s="218" t="n"/>
      <c r="O962" s="222">
        <f>IF($A962="","",IF(IF($B962="343",NETWORKDAYS($A962,$A962,FERIADOS_343),IF($B962="281",NETWORKDAYS($A962,$A962,FERIADOS_281),NETWORKDAYS($A962,$A962,FERIADOS_342)))=1,"SIM","NÃO"))</f>
      </c>
      <c r="P962" s="232">
        <f>IF($A962="","",$A962-WEEKDAY($A962,2)+5)</f>
      </c>
    </row>
    <row r="963">
      <c r="A963" s="220" t="n"/>
      <c r="B963" s="218" t="n"/>
      <c r="C963" s="218" t="n"/>
      <c r="D963" s="218" t="n"/>
      <c r="E963" s="218" t="n"/>
      <c r="F963" s="328" t="n"/>
      <c r="G963" s="218" t="n"/>
      <c r="H963" s="218" t="n"/>
      <c r="I963" s="218" t="n"/>
      <c r="J963" s="218" t="n"/>
      <c r="K963" s="218" t="n"/>
      <c r="L963" s="218" t="n"/>
      <c r="M963" s="218" t="n"/>
      <c r="N963" s="218" t="n"/>
      <c r="O963" s="222">
        <f>IF($A963="","",IF(IF($B963="343",NETWORKDAYS($A963,$A963,FERIADOS_343),IF($B963="281",NETWORKDAYS($A963,$A963,FERIADOS_281),NETWORKDAYS($A963,$A963,FERIADOS_342)))=1,"SIM","NÃO"))</f>
      </c>
      <c r="P963" s="232">
        <f>IF($A963="","",$A963-WEEKDAY($A963,2)+5)</f>
      </c>
    </row>
    <row r="964">
      <c r="A964" s="220" t="n"/>
      <c r="B964" s="218" t="n"/>
      <c r="C964" s="218" t="n"/>
      <c r="D964" s="218" t="n"/>
      <c r="E964" s="218" t="n"/>
      <c r="F964" s="328" t="n"/>
      <c r="G964" s="218" t="n"/>
      <c r="H964" s="218" t="n"/>
      <c r="I964" s="218" t="n"/>
      <c r="J964" s="218" t="n"/>
      <c r="K964" s="218" t="n"/>
      <c r="L964" s="218" t="n"/>
      <c r="M964" s="218" t="n"/>
      <c r="N964" s="218" t="n"/>
      <c r="O964" s="222">
        <f>IF($A964="","",IF(IF($B964="343",NETWORKDAYS($A964,$A964,FERIADOS_343),IF($B964="281",NETWORKDAYS($A964,$A964,FERIADOS_281),NETWORKDAYS($A964,$A964,FERIADOS_342)))=1,"SIM","NÃO"))</f>
      </c>
      <c r="P964" s="232">
        <f>IF($A964="","",$A964-WEEKDAY($A964,2)+5)</f>
      </c>
    </row>
    <row r="965">
      <c r="A965" s="220" t="n"/>
      <c r="B965" s="218" t="n"/>
      <c r="C965" s="218" t="n"/>
      <c r="D965" s="218" t="n"/>
      <c r="E965" s="218" t="n"/>
      <c r="F965" s="328" t="n"/>
      <c r="G965" s="218" t="n"/>
      <c r="H965" s="218" t="n"/>
      <c r="I965" s="218" t="n"/>
      <c r="J965" s="218" t="n"/>
      <c r="K965" s="218" t="n"/>
      <c r="L965" s="218" t="n"/>
      <c r="M965" s="218" t="n"/>
      <c r="N965" s="218" t="n"/>
      <c r="O965" s="222">
        <f>IF($A965="","",IF(IF($B965="343",NETWORKDAYS($A965,$A965,FERIADOS_343),IF($B965="281",NETWORKDAYS($A965,$A965,FERIADOS_281),NETWORKDAYS($A965,$A965,FERIADOS_342)))=1,"SIM","NÃO"))</f>
      </c>
      <c r="P965" s="232">
        <f>IF($A965="","",$A965-WEEKDAY($A965,2)+5)</f>
      </c>
    </row>
    <row r="966">
      <c r="A966" s="220" t="n"/>
      <c r="B966" s="218" t="n"/>
      <c r="C966" s="218" t="n"/>
      <c r="D966" s="218" t="n"/>
      <c r="E966" s="218" t="n"/>
      <c r="F966" s="328" t="n"/>
      <c r="G966" s="218" t="n"/>
      <c r="H966" s="218" t="n"/>
      <c r="I966" s="218" t="n"/>
      <c r="J966" s="218" t="n"/>
      <c r="K966" s="218" t="n"/>
      <c r="L966" s="218" t="n"/>
      <c r="M966" s="218" t="n"/>
      <c r="N966" s="218" t="n"/>
      <c r="O966" s="222">
        <f>IF($A966="","",IF(IF($B966="343",NETWORKDAYS($A966,$A966,FERIADOS_343),IF($B966="281",NETWORKDAYS($A966,$A966,FERIADOS_281),NETWORKDAYS($A966,$A966,FERIADOS_342)))=1,"SIM","NÃO"))</f>
      </c>
      <c r="P966" s="232">
        <f>IF($A966="","",$A966-WEEKDAY($A966,2)+5)</f>
      </c>
    </row>
    <row r="967">
      <c r="A967" s="220" t="n"/>
      <c r="B967" s="218" t="n"/>
      <c r="C967" s="218" t="n"/>
      <c r="D967" s="218" t="n"/>
      <c r="E967" s="218" t="n"/>
      <c r="F967" s="328" t="n"/>
      <c r="G967" s="218" t="n"/>
      <c r="H967" s="218" t="n"/>
      <c r="I967" s="218" t="n"/>
      <c r="J967" s="218" t="n"/>
      <c r="K967" s="218" t="n"/>
      <c r="L967" s="218" t="n"/>
      <c r="M967" s="218" t="n"/>
      <c r="N967" s="218" t="n"/>
      <c r="O967" s="222">
        <f>IF($A967="","",IF(IF($B967="343",NETWORKDAYS($A967,$A967,FERIADOS_343),IF($B967="281",NETWORKDAYS($A967,$A967,FERIADOS_281),NETWORKDAYS($A967,$A967,FERIADOS_342)))=1,"SIM","NÃO"))</f>
      </c>
      <c r="P967" s="232">
        <f>IF($A967="","",$A967-WEEKDAY($A967,2)+5)</f>
      </c>
    </row>
    <row r="968">
      <c r="A968" s="220" t="n"/>
      <c r="B968" s="218" t="n"/>
      <c r="C968" s="218" t="n"/>
      <c r="D968" s="218" t="n"/>
      <c r="E968" s="218" t="n"/>
      <c r="F968" s="328" t="n"/>
      <c r="G968" s="218" t="n"/>
      <c r="H968" s="218" t="n"/>
      <c r="I968" s="218" t="n"/>
      <c r="J968" s="218" t="n"/>
      <c r="K968" s="218" t="n"/>
      <c r="L968" s="218" t="n"/>
      <c r="M968" s="218" t="n"/>
      <c r="N968" s="218" t="n"/>
      <c r="O968" s="222">
        <f>IF($A968="","",IF(IF($B968="343",NETWORKDAYS($A968,$A968,FERIADOS_343),IF($B968="281",NETWORKDAYS($A968,$A968,FERIADOS_281),NETWORKDAYS($A968,$A968,FERIADOS_342)))=1,"SIM","NÃO"))</f>
      </c>
      <c r="P968" s="232">
        <f>IF($A968="","",$A968-WEEKDAY($A968,2)+5)</f>
      </c>
    </row>
    <row r="969">
      <c r="A969" s="220" t="n"/>
      <c r="B969" s="218" t="n"/>
      <c r="C969" s="218" t="n"/>
      <c r="D969" s="218" t="n"/>
      <c r="E969" s="218" t="n"/>
      <c r="F969" s="328" t="n"/>
      <c r="G969" s="218" t="n"/>
      <c r="H969" s="218" t="n"/>
      <c r="I969" s="218" t="n"/>
      <c r="J969" s="218" t="n"/>
      <c r="K969" s="218" t="n"/>
      <c r="L969" s="218" t="n"/>
      <c r="M969" s="218" t="n"/>
      <c r="N969" s="218" t="n"/>
      <c r="O969" s="222">
        <f>IF($A969="","",IF(IF($B969="343",NETWORKDAYS($A969,$A969,FERIADOS_343),IF($B969="281",NETWORKDAYS($A969,$A969,FERIADOS_281),NETWORKDAYS($A969,$A969,FERIADOS_342)))=1,"SIM","NÃO"))</f>
      </c>
      <c r="P969" s="232">
        <f>IF($A969="","",$A969-WEEKDAY($A969,2)+5)</f>
      </c>
    </row>
    <row r="970">
      <c r="A970" s="220" t="n"/>
      <c r="B970" s="218" t="n"/>
      <c r="C970" s="218" t="n"/>
      <c r="D970" s="218" t="n"/>
      <c r="E970" s="218" t="n"/>
      <c r="F970" s="328" t="n"/>
      <c r="G970" s="218" t="n"/>
      <c r="H970" s="218" t="n"/>
      <c r="I970" s="218" t="n"/>
      <c r="J970" s="218" t="n"/>
      <c r="K970" s="218" t="n"/>
      <c r="L970" s="218" t="n"/>
      <c r="M970" s="218" t="n"/>
      <c r="N970" s="218" t="n"/>
      <c r="O970" s="222">
        <f>IF($A970="","",IF(IF($B970="343",NETWORKDAYS($A970,$A970,FERIADOS_343),IF($B970="281",NETWORKDAYS($A970,$A970,FERIADOS_281),NETWORKDAYS($A970,$A970,FERIADOS_342)))=1,"SIM","NÃO"))</f>
      </c>
      <c r="P970" s="232">
        <f>IF($A970="","",$A970-WEEKDAY($A970,2)+5)</f>
      </c>
    </row>
    <row r="971">
      <c r="A971" s="220" t="n"/>
      <c r="B971" s="218" t="n"/>
      <c r="C971" s="218" t="n"/>
      <c r="D971" s="218" t="n"/>
      <c r="E971" s="218" t="n"/>
      <c r="F971" s="328" t="n"/>
      <c r="G971" s="218" t="n"/>
      <c r="H971" s="218" t="n"/>
      <c r="I971" s="218" t="n"/>
      <c r="J971" s="218" t="n"/>
      <c r="K971" s="218" t="n"/>
      <c r="L971" s="218" t="n"/>
      <c r="M971" s="218" t="n"/>
      <c r="N971" s="218" t="n"/>
      <c r="O971" s="222">
        <f>IF($A971="","",IF(IF($B971="343",NETWORKDAYS($A971,$A971,FERIADOS_343),IF($B971="281",NETWORKDAYS($A971,$A971,FERIADOS_281),NETWORKDAYS($A971,$A971,FERIADOS_342)))=1,"SIM","NÃO"))</f>
      </c>
      <c r="P971" s="232">
        <f>IF($A971="","",$A971-WEEKDAY($A971,2)+5)</f>
      </c>
    </row>
    <row r="972">
      <c r="A972" s="220" t="n"/>
      <c r="B972" s="218" t="n"/>
      <c r="C972" s="218" t="n"/>
      <c r="D972" s="218" t="n"/>
      <c r="E972" s="218" t="n"/>
      <c r="F972" s="328" t="n"/>
      <c r="G972" s="218" t="n"/>
      <c r="H972" s="218" t="n"/>
      <c r="I972" s="218" t="n"/>
      <c r="J972" s="218" t="n"/>
      <c r="K972" s="218" t="n"/>
      <c r="L972" s="218" t="n"/>
      <c r="M972" s="218" t="n"/>
      <c r="N972" s="218" t="n"/>
      <c r="O972" s="222">
        <f>IF($A972="","",IF(IF($B972="343",NETWORKDAYS($A972,$A972,FERIADOS_343),IF($B972="281",NETWORKDAYS($A972,$A972,FERIADOS_281),NETWORKDAYS($A972,$A972,FERIADOS_342)))=1,"SIM","NÃO"))</f>
      </c>
      <c r="P972" s="232">
        <f>IF($A972="","",$A972-WEEKDAY($A972,2)+5)</f>
      </c>
    </row>
    <row r="973">
      <c r="A973" s="220" t="n"/>
      <c r="B973" s="218" t="n"/>
      <c r="C973" s="218" t="n"/>
      <c r="D973" s="218" t="n"/>
      <c r="E973" s="218" t="n"/>
      <c r="F973" s="328" t="n"/>
      <c r="G973" s="218" t="n"/>
      <c r="H973" s="218" t="n"/>
      <c r="I973" s="218" t="n"/>
      <c r="J973" s="218" t="n"/>
      <c r="K973" s="218" t="n"/>
      <c r="L973" s="218" t="n"/>
      <c r="M973" s="218" t="n"/>
      <c r="N973" s="218" t="n"/>
      <c r="O973" s="222">
        <f>IF($A973="","",IF(IF($B973="343",NETWORKDAYS($A973,$A973,FERIADOS_343),IF($B973="281",NETWORKDAYS($A973,$A973,FERIADOS_281),NETWORKDAYS($A973,$A973,FERIADOS_342)))=1,"SIM","NÃO"))</f>
      </c>
      <c r="P973" s="232">
        <f>IF($A973="","",$A973-WEEKDAY($A973,2)+5)</f>
      </c>
    </row>
    <row r="974">
      <c r="A974" s="220" t="n"/>
      <c r="B974" s="218" t="n"/>
      <c r="C974" s="218" t="n"/>
      <c r="D974" s="218" t="n"/>
      <c r="E974" s="218" t="n"/>
      <c r="F974" s="328" t="n"/>
      <c r="G974" s="218" t="n"/>
      <c r="H974" s="218" t="n"/>
      <c r="I974" s="218" t="n"/>
      <c r="J974" s="218" t="n"/>
      <c r="K974" s="218" t="n"/>
      <c r="L974" s="218" t="n"/>
      <c r="M974" s="218" t="n"/>
      <c r="N974" s="218" t="n"/>
      <c r="O974" s="222">
        <f>IF($A974="","",IF(IF($B974="343",NETWORKDAYS($A974,$A974,FERIADOS_343),IF($B974="281",NETWORKDAYS($A974,$A974,FERIADOS_281),NETWORKDAYS($A974,$A974,FERIADOS_342)))=1,"SIM","NÃO"))</f>
      </c>
      <c r="P974" s="232">
        <f>IF($A974="","",$A974-WEEKDAY($A974,2)+5)</f>
      </c>
    </row>
    <row r="975">
      <c r="A975" s="220" t="n"/>
      <c r="B975" s="218" t="n"/>
      <c r="C975" s="218" t="n"/>
      <c r="D975" s="218" t="n"/>
      <c r="E975" s="218" t="n"/>
      <c r="F975" s="328" t="n"/>
      <c r="G975" s="218" t="n"/>
      <c r="H975" s="218" t="n"/>
      <c r="I975" s="218" t="n"/>
      <c r="J975" s="218" t="n"/>
      <c r="K975" s="218" t="n"/>
      <c r="L975" s="218" t="n"/>
      <c r="M975" s="218" t="n"/>
      <c r="N975" s="218" t="n"/>
      <c r="O975" s="222">
        <f>IF($A975="","",IF(IF($B975="343",NETWORKDAYS($A975,$A975,FERIADOS_343),IF($B975="281",NETWORKDAYS($A975,$A975,FERIADOS_281),NETWORKDAYS($A975,$A975,FERIADOS_342)))=1,"SIM","NÃO"))</f>
      </c>
      <c r="P975" s="232">
        <f>IF($A975="","",$A975-WEEKDAY($A975,2)+5)</f>
      </c>
    </row>
    <row r="976">
      <c r="A976" s="220" t="n"/>
      <c r="B976" s="218" t="n"/>
      <c r="C976" s="218" t="n"/>
      <c r="D976" s="218" t="n"/>
      <c r="E976" s="218" t="n"/>
      <c r="F976" s="328" t="n"/>
      <c r="G976" s="218" t="n"/>
      <c r="H976" s="218" t="n"/>
      <c r="I976" s="218" t="n"/>
      <c r="J976" s="218" t="n"/>
      <c r="K976" s="218" t="n"/>
      <c r="L976" s="218" t="n"/>
      <c r="M976" s="218" t="n"/>
      <c r="N976" s="218" t="n"/>
      <c r="O976" s="222">
        <f>IF($A976="","",IF(IF($B976="343",NETWORKDAYS($A976,$A976,FERIADOS_343),IF($B976="281",NETWORKDAYS($A976,$A976,FERIADOS_281),NETWORKDAYS($A976,$A976,FERIADOS_342)))=1,"SIM","NÃO"))</f>
      </c>
      <c r="P976" s="232">
        <f>IF($A976="","",$A976-WEEKDAY($A976,2)+5)</f>
      </c>
    </row>
    <row r="977">
      <c r="A977" s="220" t="n"/>
      <c r="B977" s="218" t="n"/>
      <c r="C977" s="218" t="n"/>
      <c r="D977" s="218" t="n"/>
      <c r="E977" s="218" t="n"/>
      <c r="F977" s="328" t="n"/>
      <c r="G977" s="218" t="n"/>
      <c r="H977" s="218" t="n"/>
      <c r="I977" s="218" t="n"/>
      <c r="J977" s="218" t="n"/>
      <c r="K977" s="218" t="n"/>
      <c r="L977" s="218" t="n"/>
      <c r="M977" s="218" t="n"/>
      <c r="N977" s="218" t="n"/>
      <c r="O977" s="222">
        <f>IF($A977="","",IF(IF($B977="343",NETWORKDAYS($A977,$A977,FERIADOS_343),IF($B977="281",NETWORKDAYS($A977,$A977,FERIADOS_281),NETWORKDAYS($A977,$A977,FERIADOS_342)))=1,"SIM","NÃO"))</f>
      </c>
      <c r="P977" s="232">
        <f>IF($A977="","",$A977-WEEKDAY($A977,2)+5)</f>
      </c>
    </row>
    <row r="978">
      <c r="A978" s="220" t="n"/>
      <c r="B978" s="218" t="n"/>
      <c r="C978" s="218" t="n"/>
      <c r="D978" s="218" t="n"/>
      <c r="E978" s="218" t="n"/>
      <c r="F978" s="328" t="n"/>
      <c r="G978" s="218" t="n"/>
      <c r="H978" s="218" t="n"/>
      <c r="I978" s="218" t="n"/>
      <c r="J978" s="218" t="n"/>
      <c r="K978" s="218" t="n"/>
      <c r="L978" s="218" t="n"/>
      <c r="M978" s="218" t="n"/>
      <c r="N978" s="218" t="n"/>
      <c r="O978" s="222">
        <f>IF($A978="","",IF(IF($B978="343",NETWORKDAYS($A978,$A978,FERIADOS_343),IF($B978="281",NETWORKDAYS($A978,$A978,FERIADOS_281),NETWORKDAYS($A978,$A978,FERIADOS_342)))=1,"SIM","NÃO"))</f>
      </c>
      <c r="P978" s="232">
        <f>IF($A978="","",$A978-WEEKDAY($A978,2)+5)</f>
      </c>
    </row>
    <row r="979">
      <c r="A979" s="220" t="n"/>
      <c r="B979" s="218" t="n"/>
      <c r="C979" s="218" t="n"/>
      <c r="D979" s="218" t="n"/>
      <c r="E979" s="218" t="n"/>
      <c r="F979" s="328" t="n"/>
      <c r="G979" s="218" t="n"/>
      <c r="H979" s="218" t="n"/>
      <c r="I979" s="218" t="n"/>
      <c r="J979" s="218" t="n"/>
      <c r="K979" s="218" t="n"/>
      <c r="L979" s="218" t="n"/>
      <c r="M979" s="218" t="n"/>
      <c r="N979" s="218" t="n"/>
      <c r="O979" s="222">
        <f>IF($A979="","",IF(IF($B979="343",NETWORKDAYS($A979,$A979,FERIADOS_343),IF($B979="281",NETWORKDAYS($A979,$A979,FERIADOS_281),NETWORKDAYS($A979,$A979,FERIADOS_342)))=1,"SIM","NÃO"))</f>
      </c>
      <c r="P979" s="232">
        <f>IF($A979="","",$A979-WEEKDAY($A979,2)+5)</f>
      </c>
    </row>
    <row r="980">
      <c r="A980" s="220" t="n"/>
      <c r="B980" s="218" t="n"/>
      <c r="C980" s="218" t="n"/>
      <c r="D980" s="218" t="n"/>
      <c r="E980" s="218" t="n"/>
      <c r="F980" s="328" t="n"/>
      <c r="G980" s="218" t="n"/>
      <c r="H980" s="218" t="n"/>
      <c r="I980" s="218" t="n"/>
      <c r="J980" s="218" t="n"/>
      <c r="K980" s="218" t="n"/>
      <c r="L980" s="218" t="n"/>
      <c r="M980" s="218" t="n"/>
      <c r="N980" s="218" t="n"/>
      <c r="O980" s="222">
        <f>IF($A980="","",IF(IF($B980="343",NETWORKDAYS($A980,$A980,FERIADOS_343),IF($B980="281",NETWORKDAYS($A980,$A980,FERIADOS_281),NETWORKDAYS($A980,$A980,FERIADOS_342)))=1,"SIM","NÃO"))</f>
      </c>
      <c r="P980" s="232">
        <f>IF($A980="","",$A980-WEEKDAY($A980,2)+5)</f>
      </c>
    </row>
    <row r="981">
      <c r="A981" s="220" t="n"/>
      <c r="B981" s="218" t="n"/>
      <c r="C981" s="218" t="n"/>
      <c r="D981" s="218" t="n"/>
      <c r="E981" s="218" t="n"/>
      <c r="F981" s="328" t="n"/>
      <c r="G981" s="218" t="n"/>
      <c r="H981" s="218" t="n"/>
      <c r="I981" s="218" t="n"/>
      <c r="J981" s="218" t="n"/>
      <c r="K981" s="218" t="n"/>
      <c r="L981" s="218" t="n"/>
      <c r="M981" s="218" t="n"/>
      <c r="N981" s="218" t="n"/>
      <c r="O981" s="222">
        <f>IF($A981="","",IF(IF($B981="343",NETWORKDAYS($A981,$A981,FERIADOS_343),IF($B981="281",NETWORKDAYS($A981,$A981,FERIADOS_281),NETWORKDAYS($A981,$A981,FERIADOS_342)))=1,"SIM","NÃO"))</f>
      </c>
      <c r="P981" s="232">
        <f>IF($A981="","",$A981-WEEKDAY($A981,2)+5)</f>
      </c>
    </row>
    <row r="982">
      <c r="A982" s="220" t="n"/>
      <c r="B982" s="218" t="n"/>
      <c r="C982" s="218" t="n"/>
      <c r="D982" s="218" t="n"/>
      <c r="E982" s="218" t="n"/>
      <c r="F982" s="328" t="n"/>
      <c r="G982" s="218" t="n"/>
      <c r="H982" s="218" t="n"/>
      <c r="I982" s="218" t="n"/>
      <c r="J982" s="218" t="n"/>
      <c r="K982" s="218" t="n"/>
      <c r="L982" s="218" t="n"/>
      <c r="M982" s="218" t="n"/>
      <c r="N982" s="218" t="n"/>
      <c r="O982" s="222">
        <f>IF($A982="","",IF(IF($B982="343",NETWORKDAYS($A982,$A982,FERIADOS_343),IF($B982="281",NETWORKDAYS($A982,$A982,FERIADOS_281),NETWORKDAYS($A982,$A982,FERIADOS_342)))=1,"SIM","NÃO"))</f>
      </c>
      <c r="P982" s="232">
        <f>IF($A982="","",$A982-WEEKDAY($A982,2)+5)</f>
      </c>
    </row>
    <row r="983">
      <c r="A983" s="220" t="n"/>
      <c r="B983" s="218" t="n"/>
      <c r="C983" s="218" t="n"/>
      <c r="D983" s="218" t="n"/>
      <c r="E983" s="218" t="n"/>
      <c r="F983" s="328" t="n"/>
      <c r="G983" s="218" t="n"/>
      <c r="H983" s="218" t="n"/>
      <c r="I983" s="218" t="n"/>
      <c r="J983" s="218" t="n"/>
      <c r="K983" s="218" t="n"/>
      <c r="L983" s="218" t="n"/>
      <c r="M983" s="218" t="n"/>
      <c r="N983" s="218" t="n"/>
      <c r="O983" s="222">
        <f>IF($A983="","",IF(IF($B983="343",NETWORKDAYS($A983,$A983,FERIADOS_343),IF($B983="281",NETWORKDAYS($A983,$A983,FERIADOS_281),NETWORKDAYS($A983,$A983,FERIADOS_342)))=1,"SIM","NÃO"))</f>
      </c>
      <c r="P983" s="232">
        <f>IF($A983="","",$A983-WEEKDAY($A983,2)+5)</f>
      </c>
    </row>
    <row r="984">
      <c r="A984" s="220" t="n"/>
      <c r="B984" s="218" t="n"/>
      <c r="C984" s="218" t="n"/>
      <c r="D984" s="218" t="n"/>
      <c r="E984" s="218" t="n"/>
      <c r="F984" s="328" t="n"/>
      <c r="G984" s="218" t="n"/>
      <c r="H984" s="218" t="n"/>
      <c r="I984" s="218" t="n"/>
      <c r="J984" s="218" t="n"/>
      <c r="K984" s="218" t="n"/>
      <c r="L984" s="218" t="n"/>
      <c r="M984" s="218" t="n"/>
      <c r="N984" s="218" t="n"/>
      <c r="O984" s="222">
        <f>IF($A984="","",IF(IF($B984="343",NETWORKDAYS($A984,$A984,FERIADOS_343),IF($B984="281",NETWORKDAYS($A984,$A984,FERIADOS_281),NETWORKDAYS($A984,$A984,FERIADOS_342)))=1,"SIM","NÃO"))</f>
      </c>
      <c r="P984" s="232">
        <f>IF($A984="","",$A984-WEEKDAY($A984,2)+5)</f>
      </c>
    </row>
    <row r="985">
      <c r="A985" s="220" t="n"/>
      <c r="B985" s="218" t="n"/>
      <c r="C985" s="218" t="n"/>
      <c r="D985" s="218" t="n"/>
      <c r="E985" s="218" t="n"/>
      <c r="F985" s="328" t="n"/>
      <c r="G985" s="218" t="n"/>
      <c r="H985" s="218" t="n"/>
      <c r="I985" s="218" t="n"/>
      <c r="J985" s="218" t="n"/>
      <c r="K985" s="218" t="n"/>
      <c r="L985" s="218" t="n"/>
      <c r="M985" s="218" t="n"/>
      <c r="N985" s="218" t="n"/>
      <c r="O985" s="222">
        <f>IF($A985="","",IF(IF($B985="343",NETWORKDAYS($A985,$A985,FERIADOS_343),IF($B985="281",NETWORKDAYS($A985,$A985,FERIADOS_281),NETWORKDAYS($A985,$A985,FERIADOS_342)))=1,"SIM","NÃO"))</f>
      </c>
      <c r="P985" s="232">
        <f>IF($A985="","",$A985-WEEKDAY($A985,2)+5)</f>
      </c>
    </row>
    <row r="986">
      <c r="A986" s="220" t="n"/>
      <c r="B986" s="218" t="n"/>
      <c r="C986" s="218" t="n"/>
      <c r="D986" s="218" t="n"/>
      <c r="E986" s="218" t="n"/>
      <c r="F986" s="328" t="n"/>
      <c r="G986" s="218" t="n"/>
      <c r="H986" s="218" t="n"/>
      <c r="I986" s="218" t="n"/>
      <c r="J986" s="218" t="n"/>
      <c r="K986" s="218" t="n"/>
      <c r="L986" s="218" t="n"/>
      <c r="M986" s="218" t="n"/>
      <c r="N986" s="218" t="n"/>
      <c r="O986" s="222">
        <f>IF($A986="","",IF(IF($B986="343",NETWORKDAYS($A986,$A986,FERIADOS_343),IF($B986="281",NETWORKDAYS($A986,$A986,FERIADOS_281),NETWORKDAYS($A986,$A986,FERIADOS_342)))=1,"SIM","NÃO"))</f>
      </c>
      <c r="P986" s="232">
        <f>IF($A986="","",$A986-WEEKDAY($A986,2)+5)</f>
      </c>
    </row>
    <row r="987">
      <c r="A987" s="220" t="n"/>
      <c r="B987" s="218" t="n"/>
      <c r="C987" s="218" t="n"/>
      <c r="D987" s="218" t="n"/>
      <c r="E987" s="218" t="n"/>
      <c r="F987" s="328" t="n"/>
      <c r="G987" s="218" t="n"/>
      <c r="H987" s="218" t="n"/>
      <c r="I987" s="218" t="n"/>
      <c r="J987" s="218" t="n"/>
      <c r="K987" s="218" t="n"/>
      <c r="L987" s="218" t="n"/>
      <c r="M987" s="218" t="n"/>
      <c r="N987" s="218" t="n"/>
      <c r="O987" s="222">
        <f>IF($A987="","",IF(IF($B987="343",NETWORKDAYS($A987,$A987,FERIADOS_343),IF($B987="281",NETWORKDAYS($A987,$A987,FERIADOS_281),NETWORKDAYS($A987,$A987,FERIADOS_342)))=1,"SIM","NÃO"))</f>
      </c>
      <c r="P987" s="232">
        <f>IF($A987="","",$A987-WEEKDAY($A987,2)+5)</f>
      </c>
    </row>
    <row r="988">
      <c r="A988" s="220" t="n"/>
      <c r="B988" s="218" t="n"/>
      <c r="C988" s="218" t="n"/>
      <c r="D988" s="218" t="n"/>
      <c r="E988" s="218" t="n"/>
      <c r="F988" s="328" t="n"/>
      <c r="G988" s="218" t="n"/>
      <c r="H988" s="218" t="n"/>
      <c r="I988" s="218" t="n"/>
      <c r="J988" s="218" t="n"/>
      <c r="K988" s="218" t="n"/>
      <c r="L988" s="218" t="n"/>
      <c r="M988" s="218" t="n"/>
      <c r="N988" s="218" t="n"/>
      <c r="O988" s="222">
        <f>IF($A988="","",IF(IF($B988="343",NETWORKDAYS($A988,$A988,FERIADOS_343),IF($B988="281",NETWORKDAYS($A988,$A988,FERIADOS_281),NETWORKDAYS($A988,$A988,FERIADOS_342)))=1,"SIM","NÃO"))</f>
      </c>
      <c r="P988" s="232">
        <f>IF($A988="","",$A988-WEEKDAY($A988,2)+5)</f>
      </c>
    </row>
    <row r="989">
      <c r="A989" s="220" t="n"/>
      <c r="B989" s="218" t="n"/>
      <c r="C989" s="218" t="n"/>
      <c r="D989" s="218" t="n"/>
      <c r="E989" s="218" t="n"/>
      <c r="F989" s="328" t="n"/>
      <c r="G989" s="218" t="n"/>
      <c r="H989" s="218" t="n"/>
      <c r="I989" s="218" t="n"/>
      <c r="J989" s="218" t="n"/>
      <c r="K989" s="218" t="n"/>
      <c r="L989" s="218" t="n"/>
      <c r="M989" s="218" t="n"/>
      <c r="N989" s="218" t="n"/>
      <c r="O989" s="222">
        <f>IF($A989="","",IF(IF($B989="343",NETWORKDAYS($A989,$A989,FERIADOS_343),IF($B989="281",NETWORKDAYS($A989,$A989,FERIADOS_281),NETWORKDAYS($A989,$A989,FERIADOS_342)))=1,"SIM","NÃO"))</f>
      </c>
      <c r="P989" s="232">
        <f>IF($A989="","",$A989-WEEKDAY($A989,2)+5)</f>
      </c>
    </row>
    <row r="990">
      <c r="A990" s="220" t="n"/>
      <c r="B990" s="218" t="n"/>
      <c r="C990" s="218" t="n"/>
      <c r="D990" s="218" t="n"/>
      <c r="E990" s="218" t="n"/>
      <c r="F990" s="328" t="n"/>
      <c r="G990" s="218" t="n"/>
      <c r="H990" s="218" t="n"/>
      <c r="I990" s="218" t="n"/>
      <c r="J990" s="218" t="n"/>
      <c r="K990" s="218" t="n"/>
      <c r="L990" s="218" t="n"/>
      <c r="M990" s="218" t="n"/>
      <c r="N990" s="218" t="n"/>
      <c r="O990" s="222">
        <f>IF($A990="","",IF(IF($B990="343",NETWORKDAYS($A990,$A990,FERIADOS_343),IF($B990="281",NETWORKDAYS($A990,$A990,FERIADOS_281),NETWORKDAYS($A990,$A990,FERIADOS_342)))=1,"SIM","NÃO"))</f>
      </c>
      <c r="P990" s="232">
        <f>IF($A990="","",$A990-WEEKDAY($A990,2)+5)</f>
      </c>
    </row>
    <row r="991">
      <c r="A991" s="220" t="n"/>
      <c r="B991" s="218" t="n"/>
      <c r="C991" s="218" t="n"/>
      <c r="D991" s="218" t="n"/>
      <c r="E991" s="218" t="n"/>
      <c r="F991" s="328" t="n"/>
      <c r="G991" s="218" t="n"/>
      <c r="H991" s="218" t="n"/>
      <c r="I991" s="218" t="n"/>
      <c r="J991" s="218" t="n"/>
      <c r="K991" s="218" t="n"/>
      <c r="L991" s="218" t="n"/>
      <c r="M991" s="218" t="n"/>
      <c r="N991" s="218" t="n"/>
      <c r="O991" s="222">
        <f>IF($A991="","",IF(IF($B991="343",NETWORKDAYS($A991,$A991,FERIADOS_343),IF($B991="281",NETWORKDAYS($A991,$A991,FERIADOS_281),NETWORKDAYS($A991,$A991,FERIADOS_342)))=1,"SIM","NÃO"))</f>
      </c>
      <c r="P991" s="232">
        <f>IF($A991="","",$A991-WEEKDAY($A991,2)+5)</f>
      </c>
    </row>
    <row r="992">
      <c r="A992" s="220" t="n"/>
      <c r="B992" s="218" t="n"/>
      <c r="C992" s="218" t="n"/>
      <c r="D992" s="218" t="n"/>
      <c r="E992" s="218" t="n"/>
      <c r="F992" s="328" t="n"/>
      <c r="G992" s="218" t="n"/>
      <c r="H992" s="218" t="n"/>
      <c r="I992" s="218" t="n"/>
      <c r="J992" s="218" t="n"/>
      <c r="K992" s="218" t="n"/>
      <c r="L992" s="218" t="n"/>
      <c r="M992" s="218" t="n"/>
      <c r="N992" s="218" t="n"/>
      <c r="O992" s="222">
        <f>IF($A992="","",IF(IF($B992="343",NETWORKDAYS($A992,$A992,FERIADOS_343),IF($B992="281",NETWORKDAYS($A992,$A992,FERIADOS_281),NETWORKDAYS($A992,$A992,FERIADOS_342)))=1,"SIM","NÃO"))</f>
      </c>
      <c r="P992" s="232">
        <f>IF($A992="","",$A992-WEEKDAY($A992,2)+5)</f>
      </c>
    </row>
    <row r="993">
      <c r="A993" s="220" t="n"/>
      <c r="B993" s="218" t="n"/>
      <c r="C993" s="218" t="n"/>
      <c r="D993" s="218" t="n"/>
      <c r="E993" s="218" t="n"/>
      <c r="F993" s="328" t="n"/>
      <c r="G993" s="218" t="n"/>
      <c r="H993" s="218" t="n"/>
      <c r="I993" s="218" t="n"/>
      <c r="J993" s="218" t="n"/>
      <c r="K993" s="218" t="n"/>
      <c r="L993" s="218" t="n"/>
      <c r="M993" s="218" t="n"/>
      <c r="N993" s="218" t="n"/>
      <c r="O993" s="222">
        <f>IF($A993="","",IF(IF($B993="343",NETWORKDAYS($A993,$A993,FERIADOS_343),IF($B993="281",NETWORKDAYS($A993,$A993,FERIADOS_281),NETWORKDAYS($A993,$A993,FERIADOS_342)))=1,"SIM","NÃO"))</f>
      </c>
      <c r="P993" s="232">
        <f>IF($A993="","",$A993-WEEKDAY($A993,2)+5)</f>
      </c>
    </row>
    <row r="994">
      <c r="A994" s="220" t="n"/>
      <c r="B994" s="218" t="n"/>
      <c r="C994" s="218" t="n"/>
      <c r="D994" s="218" t="n"/>
      <c r="E994" s="218" t="n"/>
      <c r="F994" s="328" t="n"/>
      <c r="G994" s="218" t="n"/>
      <c r="H994" s="218" t="n"/>
      <c r="I994" s="218" t="n"/>
      <c r="J994" s="218" t="n"/>
      <c r="K994" s="218" t="n"/>
      <c r="L994" s="218" t="n"/>
      <c r="M994" s="218" t="n"/>
      <c r="N994" s="218" t="n"/>
      <c r="O994" s="222">
        <f>IF($A994="","",IF(IF($B994="343",NETWORKDAYS($A994,$A994,FERIADOS_343),IF($B994="281",NETWORKDAYS($A994,$A994,FERIADOS_281),NETWORKDAYS($A994,$A994,FERIADOS_342)))=1,"SIM","NÃO"))</f>
      </c>
      <c r="P994" s="232">
        <f>IF($A994="","",$A994-WEEKDAY($A994,2)+5)</f>
      </c>
    </row>
    <row r="995">
      <c r="A995" s="220" t="n"/>
      <c r="B995" s="218" t="n"/>
      <c r="C995" s="218" t="n"/>
      <c r="D995" s="218" t="n"/>
      <c r="E995" s="218" t="n"/>
      <c r="F995" s="328" t="n"/>
      <c r="G995" s="218" t="n"/>
      <c r="H995" s="218" t="n"/>
      <c r="I995" s="218" t="n"/>
      <c r="J995" s="218" t="n"/>
      <c r="K995" s="218" t="n"/>
      <c r="L995" s="218" t="n"/>
      <c r="M995" s="218" t="n"/>
      <c r="N995" s="218" t="n"/>
      <c r="O995" s="222">
        <f>IF($A995="","",IF(IF($B995="343",NETWORKDAYS($A995,$A995,FERIADOS_343),IF($B995="281",NETWORKDAYS($A995,$A995,FERIADOS_281),NETWORKDAYS($A995,$A995,FERIADOS_342)))=1,"SIM","NÃO"))</f>
      </c>
      <c r="P995" s="232">
        <f>IF($A995="","",$A995-WEEKDAY($A995,2)+5)</f>
      </c>
    </row>
    <row r="996">
      <c r="A996" s="220" t="n"/>
      <c r="B996" s="218" t="n"/>
      <c r="C996" s="218" t="n"/>
      <c r="D996" s="218" t="n"/>
      <c r="E996" s="218" t="n"/>
      <c r="F996" s="328" t="n"/>
      <c r="G996" s="218" t="n"/>
      <c r="H996" s="218" t="n"/>
      <c r="I996" s="218" t="n"/>
      <c r="J996" s="218" t="n"/>
      <c r="K996" s="218" t="n"/>
      <c r="L996" s="218" t="n"/>
      <c r="M996" s="218" t="n"/>
      <c r="N996" s="218" t="n"/>
      <c r="O996" s="222">
        <f>IF($A996="","",IF(IF($B996="343",NETWORKDAYS($A996,$A996,FERIADOS_343),IF($B996="281",NETWORKDAYS($A996,$A996,FERIADOS_281),NETWORKDAYS($A996,$A996,FERIADOS_342)))=1,"SIM","NÃO"))</f>
      </c>
      <c r="P996" s="232">
        <f>IF($A996="","",$A996-WEEKDAY($A996,2)+5)</f>
      </c>
    </row>
    <row r="997">
      <c r="A997" s="220" t="n"/>
      <c r="B997" s="218" t="n"/>
      <c r="C997" s="218" t="n"/>
      <c r="D997" s="218" t="n"/>
      <c r="E997" s="218" t="n"/>
      <c r="F997" s="328" t="n"/>
      <c r="G997" s="218" t="n"/>
      <c r="H997" s="218" t="n"/>
      <c r="I997" s="218" t="n"/>
      <c r="J997" s="218" t="n"/>
      <c r="K997" s="218" t="n"/>
      <c r="L997" s="218" t="n"/>
      <c r="M997" s="218" t="n"/>
      <c r="N997" s="218" t="n"/>
      <c r="O997" s="222">
        <f>IF($A997="","",IF(IF($B997="343",NETWORKDAYS($A997,$A997,FERIADOS_343),IF($B997="281",NETWORKDAYS($A997,$A997,FERIADOS_281),NETWORKDAYS($A997,$A997,FERIADOS_342)))=1,"SIM","NÃO"))</f>
      </c>
      <c r="P997" s="232">
        <f>IF($A997="","",$A997-WEEKDAY($A997,2)+5)</f>
      </c>
    </row>
    <row r="998">
      <c r="A998" s="220" t="n"/>
      <c r="B998" s="218" t="n"/>
      <c r="C998" s="218" t="n"/>
      <c r="D998" s="218" t="n"/>
      <c r="E998" s="218" t="n"/>
      <c r="F998" s="328" t="n"/>
      <c r="G998" s="218" t="n"/>
      <c r="H998" s="218" t="n"/>
      <c r="I998" s="218" t="n"/>
      <c r="J998" s="218" t="n"/>
      <c r="K998" s="218" t="n"/>
      <c r="L998" s="218" t="n"/>
      <c r="M998" s="218" t="n"/>
      <c r="N998" s="218" t="n"/>
      <c r="O998" s="222">
        <f>IF($A998="","",IF(IF($B998="343",NETWORKDAYS($A998,$A998,FERIADOS_343),IF($B998="281",NETWORKDAYS($A998,$A998,FERIADOS_281),NETWORKDAYS($A998,$A998,FERIADOS_342)))=1,"SIM","NÃO"))</f>
      </c>
      <c r="P998" s="232">
        <f>IF($A998="","",$A998-WEEKDAY($A998,2)+5)</f>
      </c>
    </row>
    <row r="999">
      <c r="A999" s="220" t="n"/>
      <c r="B999" s="218" t="n"/>
      <c r="C999" s="218" t="n"/>
      <c r="D999" s="218" t="n"/>
      <c r="E999" s="218" t="n"/>
      <c r="F999" s="328" t="n"/>
      <c r="G999" s="218" t="n"/>
      <c r="H999" s="218" t="n"/>
      <c r="I999" s="218" t="n"/>
      <c r="J999" s="218" t="n"/>
      <c r="K999" s="218" t="n"/>
      <c r="L999" s="218" t="n"/>
      <c r="M999" s="218" t="n"/>
      <c r="N999" s="218" t="n"/>
      <c r="O999" s="222">
        <f>IF($A999="","",IF(IF($B999="343",NETWORKDAYS($A999,$A999,FERIADOS_343),IF($B999="281",NETWORKDAYS($A999,$A999,FERIADOS_281),NETWORKDAYS($A999,$A999,FERIADOS_342)))=1,"SIM","NÃO"))</f>
      </c>
      <c r="P999" s="232">
        <f>IF($A999="","",$A999-WEEKDAY($A999,2)+5)</f>
      </c>
    </row>
    <row r="1000">
      <c r="A1000" s="220" t="n"/>
      <c r="B1000" s="218" t="n"/>
      <c r="C1000" s="218" t="n"/>
      <c r="D1000" s="218" t="n"/>
      <c r="E1000" s="218" t="n"/>
      <c r="F1000" s="328" t="n"/>
      <c r="G1000" s="218" t="n"/>
      <c r="H1000" s="218" t="n"/>
      <c r="I1000" s="218" t="n"/>
      <c r="J1000" s="218" t="n"/>
      <c r="K1000" s="218" t="n"/>
      <c r="L1000" s="218" t="n"/>
      <c r="M1000" s="218" t="n"/>
      <c r="N1000" s="218" t="n"/>
      <c r="O1000" s="222">
        <f>IF($A1000="","",IF(IF($B1000="343",NETWORKDAYS($A1000,$A1000,FERIADOS_343),IF($B1000="281",NETWORKDAYS($A1000,$A1000,FERIADOS_281),NETWORKDAYS($A1000,$A1000,FERIADOS_342)))=1,"SIM","NÃO"))</f>
      </c>
      <c r="P1000" s="232">
        <f>IF($A1000="","",$A1000-WEEKDAY($A1000,2)+5)</f>
      </c>
    </row>
    <row r="1001">
      <c r="A1001" s="220" t="n"/>
      <c r="B1001" s="218" t="n"/>
      <c r="C1001" s="218" t="n"/>
      <c r="D1001" s="218" t="n"/>
      <c r="E1001" s="218" t="n"/>
      <c r="F1001" s="328" t="n"/>
      <c r="G1001" s="218" t="n"/>
      <c r="H1001" s="218" t="n"/>
      <c r="I1001" s="218" t="n"/>
      <c r="J1001" s="218" t="n"/>
      <c r="K1001" s="218" t="n"/>
      <c r="L1001" s="218" t="n"/>
      <c r="M1001" s="218" t="n"/>
      <c r="N1001" s="218" t="n"/>
      <c r="O1001" s="222">
        <f>IF($A1001="","",IF(IF($B1001="343",NETWORKDAYS($A1001,$A1001,FERIADOS_343),IF($B1001="281",NETWORKDAYS($A1001,$A1001,FERIADOS_281),NETWORKDAYS($A1001,$A1001,FERIADOS_342)))=1,"SIM","NÃO"))</f>
      </c>
      <c r="P1001" s="232">
        <f>IF($A1001="","",$A1001-WEEKDAY($A1001,2)+5)</f>
      </c>
    </row>
    <row r="1002">
      <c r="A1002" s="220" t="n"/>
      <c r="B1002" s="218" t="n"/>
      <c r="C1002" s="218" t="n"/>
      <c r="D1002" s="218" t="n"/>
      <c r="E1002" s="218" t="n"/>
      <c r="F1002" s="328" t="n"/>
      <c r="G1002" s="218" t="n"/>
      <c r="H1002" s="218" t="n"/>
      <c r="I1002" s="218" t="n"/>
      <c r="J1002" s="218" t="n"/>
      <c r="K1002" s="218" t="n"/>
      <c r="L1002" s="218" t="n"/>
      <c r="M1002" s="218" t="n"/>
      <c r="N1002" s="218" t="n"/>
      <c r="O1002" s="222">
        <f>IF($A1002="","",IF(IF($B1002="343",NETWORKDAYS($A1002,$A1002,FERIADOS_343),IF($B1002="281",NETWORKDAYS($A1002,$A1002,FERIADOS_281),NETWORKDAYS($A1002,$A1002,FERIADOS_342)))=1,"SIM","NÃO"))</f>
      </c>
      <c r="P1002" s="232">
        <f>IF($A1002="","",$A1002-WEEKDAY($A1002,2)+5)</f>
      </c>
    </row>
    <row r="1003">
      <c r="A1003" s="220" t="n"/>
      <c r="B1003" s="218" t="n"/>
      <c r="C1003" s="218" t="n"/>
      <c r="D1003" s="218" t="n"/>
      <c r="E1003" s="218" t="n"/>
      <c r="F1003" s="328" t="n"/>
      <c r="G1003" s="218" t="n"/>
      <c r="H1003" s="218" t="n"/>
      <c r="I1003" s="218" t="n"/>
      <c r="J1003" s="218" t="n"/>
      <c r="K1003" s="218" t="n"/>
      <c r="L1003" s="218" t="n"/>
      <c r="M1003" s="218" t="n"/>
      <c r="N1003" s="218" t="n"/>
      <c r="O1003" s="222">
        <f>IF($A1003="","",IF(IF($B1003="343",NETWORKDAYS($A1003,$A1003,FERIADOS_343),IF($B1003="281",NETWORKDAYS($A1003,$A1003,FERIADOS_281),NETWORKDAYS($A1003,$A1003,FERIADOS_342)))=1,"SIM","NÃO"))</f>
      </c>
      <c r="P1003" s="232">
        <f>IF($A1003="","",$A1003-WEEKDAY($A1003,2)+5)</f>
      </c>
    </row>
    <row r="1004">
      <c r="A1004" s="220" t="n"/>
      <c r="B1004" s="218" t="n"/>
      <c r="C1004" s="218" t="n"/>
      <c r="D1004" s="218" t="n"/>
      <c r="E1004" s="218" t="n"/>
      <c r="F1004" s="328" t="n"/>
      <c r="G1004" s="218" t="n"/>
      <c r="H1004" s="218" t="n"/>
      <c r="I1004" s="218" t="n"/>
      <c r="J1004" s="218" t="n"/>
      <c r="K1004" s="218" t="n"/>
      <c r="L1004" s="218" t="n"/>
      <c r="M1004" s="218" t="n"/>
      <c r="N1004" s="218" t="n"/>
      <c r="O1004" s="222">
        <f>IF($A1004="","",IF(IF($B1004="343",NETWORKDAYS($A1004,$A1004,FERIADOS_343),IF($B1004="281",NETWORKDAYS($A1004,$A1004,FERIADOS_281),NETWORKDAYS($A1004,$A1004,FERIADOS_342)))=1,"SIM","NÃO"))</f>
      </c>
      <c r="P1004" s="232">
        <f>IF($A1004="","",$A1004-WEEKDAY($A1004,2)+5)</f>
      </c>
    </row>
  </sheetData>
  <dataValidations count="4">
    <dataValidation sqref="B5:B1004" showDropDown="0" showInputMessage="0" showErrorMessage="0" allowBlank="1" type="list">
      <formula1>"342,343,281"</formula1>
    </dataValidation>
    <dataValidation sqref="K5:K1004" showDropDown="0" showInputMessage="0" showErrorMessage="0" allowBlank="1" type="list">
      <formula1>"SIM,NÃO"</formula1>
    </dataValidation>
    <dataValidation sqref="C5:C1004" showDropDown="0" showInputMessage="0" showErrorMessage="0" allowBlank="1" type="list">
      <formula1>LISTA_FRENTES</formula1>
    </dataValidation>
    <dataValidation sqref="L5:L1004" showDropDown="0" showInputMessage="0" showErrorMessage="0" allowBlank="1" type="list">
      <formula1>LISTA_CAUSAS</formula1>
    </dataValidation>
  </dataValidations>
  <hyperlinks>
    <hyperlink ref="P1" location="'00A. MENU'!A1" display="◀ MENU"/>
  </hyperlinks>
  <pageMargins left="0.75" right="0.75" top="1" bottom="1" header="0.5" footer="0.5"/>
</worksheet>
</file>

<file path=xl/worksheets/sheet20.xml><?xml version="1.0" encoding="utf-8"?>
<worksheet xmlns="http://schemas.openxmlformats.org/spreadsheetml/2006/main">
  <sheetPr>
    <tabColor rgb="FF70AD47"/>
    <outlinePr summaryBelow="1" summaryRight="1"/>
    <pageSetUpPr/>
  </sheetPr>
  <dimension ref="A1:W20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style="71" min="1" max="1"/>
    <col width="7" customWidth="1" style="71" min="2" max="2"/>
    <col width="11" customWidth="1" style="71" min="3" max="3"/>
    <col width="62" customWidth="1" style="71" min="4" max="4"/>
    <col width="13" customWidth="1" style="71" min="5" max="5"/>
    <col width="11" customWidth="1" style="71" min="6" max="6"/>
    <col width="16" customWidth="1" style="71" min="7" max="7"/>
    <col width="11" customWidth="1" style="71" min="8" max="8"/>
    <col width="11" customWidth="1" style="71" min="9" max="9"/>
    <col width="48" customWidth="1" style="71" min="10" max="10"/>
    <col width="9" customWidth="1" style="71" min="11" max="11"/>
    <col width="24" customWidth="1" style="71" min="12" max="12"/>
    <col width="12" customWidth="1" style="71" min="13" max="13"/>
    <col width="11" customWidth="1" style="71" min="14" max="14"/>
    <col width="13" customWidth="1" style="71" min="15" max="15"/>
    <col width="9" customWidth="1" style="71" min="16" max="16"/>
    <col width="12" customWidth="1" style="71" min="17" max="17"/>
    <col width="44" customWidth="1" style="71" min="18" max="18"/>
    <col width="30" customWidth="1" style="71" min="19" max="19"/>
    <col width="16" customWidth="1" style="71" min="20" max="20"/>
    <col width="11" customWidth="1" style="71" min="21" max="21"/>
    <col width="11" customWidth="1" style="71" min="22" max="22"/>
    <col width="9" customWidth="1" style="71" min="23" max="23"/>
  </cols>
  <sheetData>
    <row r="1" ht="30" customHeight="1" s="71">
      <c r="A1" s="1" t="inlineStr">
        <is>
          <t>05C. RESTRIÇÕES — o que precisa estar resolvido antes de cada frente, com dono e prazo</t>
        </is>
      </c>
      <c r="B1" s="2" t="n"/>
      <c r="C1" s="2" t="n"/>
      <c r="D1" s="2" t="n"/>
      <c r="E1" s="2" t="n"/>
      <c r="F1" s="2" t="n"/>
      <c r="G1" s="2" t="n"/>
      <c r="H1" s="2" t="n"/>
      <c r="I1" s="2" t="n"/>
      <c r="J1" s="2" t="n"/>
      <c r="K1" s="2" t="n"/>
      <c r="L1" s="277" t="inlineStr">
        <is>
          <t>◀ MENU</t>
        </is>
      </c>
      <c r="M1" s="2" t="n"/>
      <c r="N1" s="2" t="n"/>
      <c r="O1" s="2" t="n"/>
      <c r="P1" s="2" t="n"/>
      <c r="Q1" s="2" t="n"/>
      <c r="R1" s="2" t="n"/>
      <c r="S1" s="2" t="n"/>
      <c r="T1" s="2" t="n"/>
      <c r="U1" s="2" t="n"/>
      <c r="V1" s="2" t="n"/>
      <c r="W1" s="2" t="n"/>
    </row>
    <row r="2"/>
    <row r="3"/>
    <row r="4" ht="42" customHeight="1" s="71">
      <c r="A4" s="215" t="inlineStr">
        <is>
          <t>Nº</t>
        </is>
      </c>
      <c r="B4" s="215" t="inlineStr">
        <is>
          <t>Obra</t>
        </is>
      </c>
      <c r="C4" s="215" t="inlineStr">
        <is>
          <t>Frente / evento (código)</t>
        </is>
      </c>
      <c r="D4" s="215" t="inlineStr">
        <is>
          <t>Restrição: o que precisa estar resolvido</t>
        </is>
      </c>
      <c r="E4" s="215" t="inlineStr">
        <is>
          <t>Tipo</t>
        </is>
      </c>
      <c r="F4" s="215" t="inlineStr">
        <is>
          <t>Precisa até</t>
        </is>
      </c>
      <c r="G4" s="215" t="inlineStr">
        <is>
          <t>Dono (cinza = setor, falta pessoa)</t>
        </is>
      </c>
      <c r="H4" s="215" t="inlineStr">
        <is>
          <t>Situação</t>
        </is>
      </c>
      <c r="I4" s="215" t="inlineStr">
        <is>
          <t>Resolvida em</t>
        </is>
      </c>
      <c r="J4" s="215" t="inlineStr">
        <is>
          <t>Origem</t>
        </is>
      </c>
      <c r="K4" s="215" t="inlineStr">
        <is>
          <t>Dias até o prazo (ou nova data)</t>
        </is>
      </c>
      <c r="L4" s="215" t="inlineStr">
        <is>
          <t>Alerta</t>
        </is>
      </c>
      <c r="M4" s="215" t="inlineStr">
        <is>
          <t>Natureza</t>
        </is>
      </c>
      <c r="N4" s="215" t="inlineStr">
        <is>
          <t>Probabilidade (1 a 5)</t>
        </is>
      </c>
      <c r="O4" s="215" t="inlineStr">
        <is>
          <t>Impacto (R$)</t>
        </is>
      </c>
      <c r="P4" s="215" t="inlineStr">
        <is>
          <t>Impacto (dias)</t>
        </is>
      </c>
      <c r="Q4" s="215" t="inlineStr">
        <is>
          <t>P×I (R$ × P ÷ 5)</t>
        </is>
      </c>
      <c r="R4" s="215" t="inlineStr">
        <is>
          <t>Resposta</t>
        </is>
      </c>
      <c r="S4" s="215" t="inlineStr">
        <is>
          <t>Gatilho</t>
        </is>
      </c>
      <c r="T4" s="215" t="inlineStr">
        <is>
          <t>Causa</t>
        </is>
      </c>
      <c r="U4" s="215" t="inlineStr">
        <is>
          <t>Nova data</t>
        </is>
      </c>
      <c r="V4" s="215" t="inlineStr">
        <is>
          <t>Vezes replanejada</t>
        </is>
      </c>
      <c r="W4" s="215" t="inlineStr">
        <is>
          <t>Ordem do P×I (1 = maior)</t>
        </is>
      </c>
    </row>
    <row r="5">
      <c r="A5" s="218" t="inlineStr">
        <is>
          <t>R01</t>
        </is>
      </c>
      <c r="B5" s="218" t="inlineStr">
        <is>
          <t>342</t>
        </is>
      </c>
      <c r="C5" s="218" t="inlineStr">
        <is>
          <t>1.1.1</t>
        </is>
      </c>
      <c r="D5" s="298" t="inlineStr">
        <is>
          <t>Layout do canteiro aprovado pela fiscalização (a terraplenagem só começa depois)</t>
        </is>
      </c>
      <c r="E5" s="218" t="inlineStr">
        <is>
          <t>CLIENTE</t>
        </is>
      </c>
      <c r="F5" s="220" t="n">
        <v>46311</v>
      </c>
      <c r="G5" s="218" t="inlineStr">
        <is>
          <t>Tiago Marinho</t>
        </is>
      </c>
      <c r="H5" s="218" t="inlineStr">
        <is>
          <t>ABERTA</t>
        </is>
      </c>
      <c r="I5" s="220" t="n"/>
      <c r="J5" s="269" t="inlineStr">
        <is>
          <t>ACOMPANHAMENTO P12; canteiro começa em 19/10 no plano (estudo REV13, aba 05)</t>
        </is>
      </c>
      <c r="K5" s="221">
        <f>IF(OR($B5="",$H5="RESOLVIDA",$M5="RISCO",AND($F5="",$U5="")),"",IF($U5&lt;&gt;"",$U5,$F5)-DATA_GESTAO)</f>
        <v>0</v>
      </c>
      <c r="L5" s="222" t="str">
        <f>IF($B5="","",IF($H5="RESOLVIDA","RESOLVIDA",IF($M5="RISCO","RISCO",IF($K5="","SEM PRAZO",IF($K5&lt;0,"VENCIDA",IF($G5="","SEM DONO",IF($K5&lt;=7,"ESTA SEMANA",IF($K5&lt;=42,"PRÓXIMAS 6 SEMANAS","NO PRAZO"))))))))</f>
        <v>ESTA SEMANA</v>
      </c>
      <c r="M5" s="218" t="inlineStr">
        <is>
          <t>RESTRIÇÃO</t>
        </is>
      </c>
      <c r="N5" s="235" t="n"/>
      <c r="O5" s="271" t="n"/>
      <c r="P5" s="235" t="n"/>
      <c r="Q5" s="267">
        <f>IF($B5="","",IF(AND($N5="",$O5=""),IF($M5="RISCO","SEM BASE",""),IF(AND(ISNUMBER($N5),ISNUMBER($O5)),ROUND($N5*$O5/5,0),"SEM BASE")))</f>
      </c>
      <c r="R5" s="298" t="n"/>
      <c r="S5" s="298" t="n"/>
      <c r="T5" s="218" t="n"/>
      <c r="U5" s="220" t="n"/>
      <c r="V5" s="235" t="n"/>
      <c r="W5" s="221">
        <f>IF(AND(ISNUMBER($Q5),$H5&lt;&gt;"RESOLVIDA"),COUNTIFS($Q$5:$Q$204,"&gt;"&amp;$Q5,$H$5:$H$204,"&lt;&gt;RESOLVIDA")+COUNTIFS($Q$5:$Q5,$Q5,$H$5:$H5,"&lt;&gt;RESOLVIDA"),"")</f>
      </c>
    </row>
    <row r="6">
      <c r="A6" s="218" t="inlineStr">
        <is>
          <t>R02</t>
        </is>
      </c>
      <c r="B6" s="218" t="inlineStr">
        <is>
          <t>342</t>
        </is>
      </c>
      <c r="C6" s="218" t="inlineStr">
        <is>
          <t>1.1.1</t>
        </is>
      </c>
      <c r="D6" s="298" t="inlineStr">
        <is>
          <t>Ligações provisórias de água e energia do canteiro atendidas</t>
        </is>
      </c>
      <c r="E6" s="218" t="inlineStr">
        <is>
          <t>CLIENTE</t>
        </is>
      </c>
      <c r="F6" s="220" t="n">
        <v>46311</v>
      </c>
      <c r="G6" s="218" t="inlineStr">
        <is>
          <t>Tiago Marinho</t>
        </is>
      </c>
      <c r="H6" s="218" t="inlineStr">
        <is>
          <t>ABERTA</t>
        </is>
      </c>
      <c r="I6" s="220" t="n"/>
      <c r="J6" s="269" t="inlineStr">
        <is>
          <t>ACOMPANHAMENTO P13</t>
        </is>
      </c>
      <c r="K6" s="221">
        <f>IF(OR($B6="",$H6="RESOLVIDA",$M6="RISCO",AND($F6="",$U6="")),"",IF($U6&lt;&gt;"",$U6,$F6)-DATA_GESTAO)</f>
        <v>0</v>
      </c>
      <c r="L6" s="222" t="str">
        <f>IF($B6="","",IF($H6="RESOLVIDA","RESOLVIDA",IF($M6="RISCO","RISCO",IF($K6="","SEM PRAZO",IF($K6&lt;0,"VENCIDA",IF($G6="","SEM DONO",IF($K6&lt;=7,"ESTA SEMANA",IF($K6&lt;=42,"PRÓXIMAS 6 SEMANAS","NO PRAZO"))))))))</f>
        <v>ESTA SEMANA</v>
      </c>
      <c r="M6" s="218" t="inlineStr">
        <is>
          <t>RESTRIÇÃO</t>
        </is>
      </c>
      <c r="N6" s="235" t="n"/>
      <c r="O6" s="271" t="n"/>
      <c r="P6" s="235" t="n"/>
      <c r="Q6" s="267">
        <f>IF($B6="","",IF(AND($N6="",$O6=""),IF($M6="RISCO","SEM BASE",""),IF(AND(ISNUMBER($N6),ISNUMBER($O6)),ROUND($N6*$O6/5,0),"SEM BASE")))</f>
      </c>
      <c r="R6" s="298" t="n"/>
      <c r="S6" s="298" t="n"/>
      <c r="T6" s="218" t="n"/>
      <c r="U6" s="220" t="n"/>
      <c r="V6" s="235" t="n"/>
      <c r="W6" s="221">
        <f>IF(AND(ISNUMBER($Q6),$H6&lt;&gt;"RESOLVIDA"),COUNTIFS($Q$5:$Q$204,"&gt;"&amp;$Q6,$H$5:$H$204,"&lt;&gt;RESOLVIDA")+COUNTIFS($Q$5:$Q6,$Q6,$H$5:$H6,"&lt;&gt;RESOLVIDA"),"")</f>
      </c>
    </row>
    <row r="7">
      <c r="A7" s="218" t="inlineStr">
        <is>
          <t>R03</t>
        </is>
      </c>
      <c r="B7" s="218" t="inlineStr">
        <is>
          <t>342</t>
        </is>
      </c>
      <c r="C7" s="218" t="inlineStr">
        <is>
          <t>1.1.1</t>
        </is>
      </c>
      <c r="D7" s="298" t="inlineStr">
        <is>
          <t>Equipe do canteiro contratada para 19/10: encarregado geral, 3 carpinteiros, 2 pedreiros e 4 ajudantes</t>
        </is>
      </c>
      <c r="E7" s="218" t="inlineStr">
        <is>
          <t>INTERNA</t>
        </is>
      </c>
      <c r="F7" s="220" t="n">
        <v>46311</v>
      </c>
      <c r="G7" s="218" t="inlineStr">
        <is>
          <t>Tiago Marinho</t>
        </is>
      </c>
      <c r="H7" s="218" t="inlineStr">
        <is>
          <t>ABERTA</t>
        </is>
      </c>
      <c r="I7" s="220" t="n"/>
      <c r="J7" s="269" t="inlineStr">
        <is>
          <t>ACOMPANHAMENTO P14 e P15; estudo REV13, aba 20</t>
        </is>
      </c>
      <c r="K7" s="221">
        <f>IF(OR($B7="",$H7="RESOLVIDA",$M7="RISCO",AND($F7="",$U7="")),"",IF($U7&lt;&gt;"",$U7,$F7)-DATA_GESTAO)</f>
        <v>0</v>
      </c>
      <c r="L7" s="222" t="str">
        <f>IF($B7="","",IF($H7="RESOLVIDA","RESOLVIDA",IF($M7="RISCO","RISCO",IF($K7="","SEM PRAZO",IF($K7&lt;0,"VENCIDA",IF($G7="","SEM DONO",IF($K7&lt;=7,"ESTA SEMANA",IF($K7&lt;=42,"PRÓXIMAS 6 SEMANAS","NO PRAZO"))))))))</f>
        <v>ESTA SEMANA</v>
      </c>
      <c r="M7" s="218" t="inlineStr">
        <is>
          <t>RESTRIÇÃO</t>
        </is>
      </c>
      <c r="N7" s="235" t="n"/>
      <c r="O7" s="271" t="n"/>
      <c r="P7" s="235" t="n"/>
      <c r="Q7" s="267">
        <f>IF($B7="","",IF(AND($N7="",$O7=""),IF($M7="RISCO","SEM BASE",""),IF(AND(ISNUMBER($N7),ISNUMBER($O7)),ROUND($N7*$O7/5,0),"SEM BASE")))</f>
      </c>
      <c r="R7" s="298" t="n"/>
      <c r="S7" s="298" t="n"/>
      <c r="T7" s="218" t="n"/>
      <c r="U7" s="220" t="n"/>
      <c r="V7" s="235" t="n"/>
      <c r="W7" s="221">
        <f>IF(AND(ISNUMBER($Q7),$H7&lt;&gt;"RESOLVIDA"),COUNTIFS($Q$5:$Q$204,"&gt;"&amp;$Q7,$H$5:$H$204,"&lt;&gt;RESOLVIDA")+COUNTIFS($Q$5:$Q7,$Q7,$H$5:$H7,"&lt;&gt;RESOLVIDA"),"")</f>
      </c>
    </row>
    <row r="8">
      <c r="A8" s="218" t="inlineStr">
        <is>
          <t>R04</t>
        </is>
      </c>
      <c r="B8" s="218" t="inlineStr">
        <is>
          <t>342</t>
        </is>
      </c>
      <c r="C8" s="218" t="inlineStr">
        <is>
          <t>ADM</t>
        </is>
      </c>
      <c r="D8" s="298" t="inlineStr">
        <is>
          <t>Documentação de segurança aceita para entrar na área (PGR, PCMSO, ASO, treinamentos de NR)</t>
        </is>
      </c>
      <c r="E8" s="218" t="inlineStr">
        <is>
          <t>CLIENTE</t>
        </is>
      </c>
      <c r="F8" s="220" t="n">
        <v>46311</v>
      </c>
      <c r="G8" s="218" t="inlineStr">
        <is>
          <t>Marko Aurélio</t>
        </is>
      </c>
      <c r="H8" s="218" t="inlineStr">
        <is>
          <t>ABERTA</t>
        </is>
      </c>
      <c r="I8" s="220" t="n"/>
      <c r="J8" s="269" t="inlineStr">
        <is>
          <t>ACOMPANHAMENTO P16</t>
        </is>
      </c>
      <c r="K8" s="221">
        <f>IF(OR($B8="",$H8="RESOLVIDA",$M8="RISCO",AND($F8="",$U8="")),"",IF($U8&lt;&gt;"",$U8,$F8)-DATA_GESTAO)</f>
        <v>0</v>
      </c>
      <c r="L8" s="222" t="str">
        <f>IF($B8="","",IF($H8="RESOLVIDA","RESOLVIDA",IF($M8="RISCO","RISCO",IF($K8="","SEM PRAZO",IF($K8&lt;0,"VENCIDA",IF($G8="","SEM DONO",IF($K8&lt;=7,"ESTA SEMANA",IF($K8&lt;=42,"PRÓXIMAS 6 SEMANAS","NO PRAZO"))))))))</f>
        <v>ESTA SEMANA</v>
      </c>
      <c r="M8" s="218" t="inlineStr">
        <is>
          <t>RESTRIÇÃO</t>
        </is>
      </c>
      <c r="N8" s="235" t="n"/>
      <c r="O8" s="271" t="n"/>
      <c r="P8" s="235" t="n"/>
      <c r="Q8" s="267">
        <f>IF($B8="","",IF(AND($N8="",$O8=""),IF($M8="RISCO","SEM BASE",""),IF(AND(ISNUMBER($N8),ISNUMBER($O8)),ROUND($N8*$O8/5,0),"SEM BASE")))</f>
      </c>
      <c r="R8" s="298" t="n"/>
      <c r="S8" s="298" t="n"/>
      <c r="T8" s="218" t="n"/>
      <c r="U8" s="220" t="n"/>
      <c r="V8" s="235" t="n"/>
      <c r="W8" s="221">
        <f>IF(AND(ISNUMBER($Q8),$H8&lt;&gt;"RESOLVIDA"),COUNTIFS($Q$5:$Q$204,"&gt;"&amp;$Q8,$H$5:$H$204,"&lt;&gt;RESOLVIDA")+COUNTIFS($Q$5:$Q8,$Q8,$H$5:$H8,"&lt;&gt;RESOLVIDA"),"")</f>
      </c>
    </row>
    <row r="9">
      <c r="A9" s="218" t="inlineStr">
        <is>
          <t>R05</t>
        </is>
      </c>
      <c r="B9" s="218" t="inlineStr">
        <is>
          <t>342</t>
        </is>
      </c>
      <c r="C9" s="218" t="inlineStr">
        <is>
          <t>3.1.1</t>
        </is>
      </c>
      <c r="D9" s="298" t="inlineStr">
        <is>
          <t>Serviço de terraplenagem, valas, carga e transporte contratado (pacote TERRA)</t>
        </is>
      </c>
      <c r="E9" s="218" t="inlineStr">
        <is>
          <t>INTERNA</t>
        </is>
      </c>
      <c r="F9" s="220" t="n">
        <v>46294</v>
      </c>
      <c r="G9" s="218" t="inlineStr">
        <is>
          <t>Marko Aurélio</t>
        </is>
      </c>
      <c r="H9" s="218" t="inlineStr">
        <is>
          <t>ABERTA</t>
        </is>
      </c>
      <c r="I9" s="220" t="n"/>
      <c r="J9" s="269" t="inlineStr">
        <is>
          <t>META DE COMPRA REV01, pacote TERRA (fechar até 29/09/26)</t>
        </is>
      </c>
      <c r="K9" s="221">
        <f>IF(OR($B9="",$H9="RESOLVIDA",$M9="RISCO",AND($F9="",$U9="")),"",IF($U9&lt;&gt;"",$U9,$F9)-DATA_GESTAO)</f>
        <v>-17</v>
      </c>
      <c r="L9" s="222" t="str">
        <f>IF($B9="","",IF($H9="RESOLVIDA","RESOLVIDA",IF($M9="RISCO","RISCO",IF($K9="","SEM PRAZO",IF($K9&lt;0,"VENCIDA",IF($G9="","SEM DONO",IF($K9&lt;=7,"ESTA SEMANA",IF($K9&lt;=42,"PRÓXIMAS 6 SEMANAS","NO PRAZO"))))))))</f>
        <v>VENCIDA</v>
      </c>
      <c r="M9" s="218" t="inlineStr">
        <is>
          <t>RESTRIÇÃO</t>
        </is>
      </c>
      <c r="N9" s="235" t="n"/>
      <c r="O9" s="271" t="n"/>
      <c r="P9" s="235" t="n"/>
      <c r="Q9" s="267">
        <f>IF($B9="","",IF(AND($N9="",$O9=""),IF($M9="RISCO","SEM BASE",""),IF(AND(ISNUMBER($N9),ISNUMBER($O9)),ROUND($N9*$O9/5,0),"SEM BASE")))</f>
      </c>
      <c r="R9" s="298" t="inlineStr">
        <is>
          <t>Thadeu e Tiago Marinho decidem TERRA e MONT antes de 19/10 (auditoria, item 5). O dono escreve a nova data na coluna U</t>
        </is>
      </c>
      <c r="S9" s="298" t="n"/>
      <c r="T9" s="218" t="inlineStr">
        <is>
          <t>PLANEJAMENTO</t>
        </is>
      </c>
      <c r="U9" s="220" t="n"/>
      <c r="V9" s="235" t="n"/>
      <c r="W9" s="221">
        <f>IF(AND(ISNUMBER($Q9),$H9&lt;&gt;"RESOLVIDA"),COUNTIFS($Q$5:$Q$204,"&gt;"&amp;$Q9,$H$5:$H$204,"&lt;&gt;RESOLVIDA")+COUNTIFS($Q$5:$Q9,$Q9,$H$5:$H9,"&lt;&gt;RESOLVIDA"),"")</f>
      </c>
    </row>
    <row r="10">
      <c r="A10" s="218" t="inlineStr">
        <is>
          <t>R06</t>
        </is>
      </c>
      <c r="B10" s="218" t="inlineStr">
        <is>
          <t>342</t>
        </is>
      </c>
      <c r="C10" s="218" t="inlineStr">
        <is>
          <t>3.1.1</t>
        </is>
      </c>
      <c r="D10" s="298" t="inlineStr">
        <is>
          <t>Equipamento da terraplenagem e da vala definido e locado (retroescavadeira ou escavadeira)</t>
        </is>
      </c>
      <c r="E10" s="218" t="inlineStr">
        <is>
          <t>INTERNA</t>
        </is>
      </c>
      <c r="F10" s="220" t="n">
        <v>46311</v>
      </c>
      <c r="G10" s="218" t="inlineStr">
        <is>
          <t>Marko Aurélio</t>
        </is>
      </c>
      <c r="H10" s="218" t="inlineStr">
        <is>
          <t>ABERTA</t>
        </is>
      </c>
      <c r="I10" s="220" t="n"/>
      <c r="J10" s="269" t="inlineStr">
        <is>
          <t>ACOMPANHAMENTO P17</t>
        </is>
      </c>
      <c r="K10" s="221">
        <f>IF(OR($B10="",$H10="RESOLVIDA",$M10="RISCO",AND($F10="",$U10="")),"",IF($U10&lt;&gt;"",$U10,$F10)-DATA_GESTAO)</f>
        <v>0</v>
      </c>
      <c r="L10" s="222" t="str">
        <f>IF($B10="","",IF($H10="RESOLVIDA","RESOLVIDA",IF($M10="RISCO","RISCO",IF($K10="","SEM PRAZO",IF($K10&lt;0,"VENCIDA",IF($G10="","SEM DONO",IF($K10&lt;=7,"ESTA SEMANA",IF($K10&lt;=42,"PRÓXIMAS 6 SEMANAS","NO PRAZO"))))))))</f>
        <v>ESTA SEMANA</v>
      </c>
      <c r="M10" s="218" t="inlineStr">
        <is>
          <t>RESTRIÇÃO</t>
        </is>
      </c>
      <c r="N10" s="235" t="n"/>
      <c r="O10" s="271" t="n"/>
      <c r="P10" s="235" t="n"/>
      <c r="Q10" s="267">
        <f>IF($B10="","",IF(AND($N10="",$O10=""),IF($M10="RISCO","SEM BASE",""),IF(AND(ISNUMBER($N10),ISNUMBER($O10)),ROUND($N10*$O10/5,0),"SEM BASE")))</f>
      </c>
      <c r="R10" s="298" t="n"/>
      <c r="S10" s="298" t="n"/>
      <c r="T10" s="218" t="n"/>
      <c r="U10" s="220" t="n"/>
      <c r="V10" s="235" t="n"/>
      <c r="W10" s="221">
        <f>IF(AND(ISNUMBER($Q10),$H10&lt;&gt;"RESOLVIDA"),COUNTIFS($Q$5:$Q$204,"&gt;"&amp;$Q10,$H$5:$H$204,"&lt;&gt;RESOLVIDA")+COUNTIFS($Q$5:$Q10,$Q10,$H$5:$H10,"&lt;&gt;RESOLVIDA"),"")</f>
      </c>
    </row>
    <row r="11">
      <c r="A11" s="218" t="inlineStr">
        <is>
          <t>R07</t>
        </is>
      </c>
      <c r="B11" s="218" t="inlineStr">
        <is>
          <t>342</t>
        </is>
      </c>
      <c r="C11" s="218" t="inlineStr">
        <is>
          <t>3.1.1</t>
        </is>
      </c>
      <c r="D11" s="298" t="inlineStr">
        <is>
          <t>Pacotes de projeto do canteiro e da terraplenagem protocolados e aceitos (30 dias de antecedência)</t>
        </is>
      </c>
      <c r="E11" s="218" t="inlineStr">
        <is>
          <t>CLIENTE</t>
        </is>
      </c>
      <c r="F11" s="220" t="n">
        <v>46283</v>
      </c>
      <c r="G11" s="218" t="inlineStr">
        <is>
          <t>Marko Aurélio</t>
        </is>
      </c>
      <c r="H11" s="218" t="inlineStr">
        <is>
          <t>ABERTA</t>
        </is>
      </c>
      <c r="I11" s="220" t="n"/>
      <c r="J11" s="269" t="inlineStr">
        <is>
          <t>ACOMPANHAMENTO P08 (Ata 536/2026, itens 2.5 e 2.9)</t>
        </is>
      </c>
      <c r="K11" s="221">
        <f>IF(OR($B11="",$H11="RESOLVIDA",$M11="RISCO",AND($F11="",$U11="")),"",IF($U11&lt;&gt;"",$U11,$F11)-DATA_GESTAO)</f>
        <v>-28</v>
      </c>
      <c r="L11" s="222" t="str">
        <f>IF($B11="","",IF($H11="RESOLVIDA","RESOLVIDA",IF($M11="RISCO","RISCO",IF($K11="","SEM PRAZO",IF($K11&lt;0,"VENCIDA",IF($G11="","SEM DONO",IF($K11&lt;=7,"ESTA SEMANA",IF($K11&lt;=42,"PRÓXIMAS 6 SEMANAS","NO PRAZO"))))))))</f>
        <v>VENCIDA</v>
      </c>
      <c r="M11" s="218" t="inlineStr">
        <is>
          <t>RESTRIÇÃO</t>
        </is>
      </c>
      <c r="N11" s="235" t="n"/>
      <c r="O11" s="271" t="n"/>
      <c r="P11" s="235" t="n"/>
      <c r="Q11" s="267">
        <f>IF($B11="","",IF(AND($N11="",$O11=""),IF($M11="RISCO","SEM BASE",""),IF(AND(ISNUMBER($N11),ISNUMBER($O11)),ROUND($N11*$O11/5,0),"SEM BASE")))</f>
      </c>
      <c r="R11" s="298" t="inlineStr">
        <is>
          <t>Protocolar os pacotes com número e data nesta linha e cobrar por escrito depois de 5 dias úteis (lição da 281: R44 e R52)</t>
        </is>
      </c>
      <c r="S11" s="298" t="n"/>
      <c r="T11" s="218" t="inlineStr">
        <is>
          <t>PROJETO</t>
        </is>
      </c>
      <c r="U11" s="220" t="n"/>
      <c r="V11" s="235" t="n"/>
      <c r="W11" s="221">
        <f>IF(AND(ISNUMBER($Q11),$H11&lt;&gt;"RESOLVIDA"),COUNTIFS($Q$5:$Q$204,"&gt;"&amp;$Q11,$H$5:$H$204,"&lt;&gt;RESOLVIDA")+COUNTIFS($Q$5:$Q11,$Q11,$H$5:$H11,"&lt;&gt;RESOLVIDA"),"")</f>
      </c>
    </row>
    <row r="12">
      <c r="A12" s="218" t="inlineStr">
        <is>
          <t>R08</t>
        </is>
      </c>
      <c r="B12" s="218" t="inlineStr">
        <is>
          <t>342</t>
        </is>
      </c>
      <c r="C12" s="218" t="inlineStr">
        <is>
          <t>3.1.1</t>
        </is>
      </c>
      <c r="D12" s="298" t="inlineStr">
        <is>
          <t>Tubos e conexões de FoFo pedidos (pacote FOFO; pedido único depois do traçado final)</t>
        </is>
      </c>
      <c r="E12" s="218" t="inlineStr">
        <is>
          <t>FORNECEDOR</t>
        </is>
      </c>
      <c r="F12" s="220" t="n">
        <v>46269</v>
      </c>
      <c r="G12" s="218" t="inlineStr">
        <is>
          <t>Compras</t>
        </is>
      </c>
      <c r="H12" s="218" t="inlineStr">
        <is>
          <t>ABERTA</t>
        </is>
      </c>
      <c r="I12" s="220" t="n"/>
      <c r="J12" s="269" t="inlineStr">
        <is>
          <t>META DE COMPRA REV01, pacote FOFO; ACOMPANHAMENTO P31</t>
        </is>
      </c>
      <c r="K12" s="221">
        <f>IF(OR($B12="",$H12="RESOLVIDA",$M12="RISCO",AND($F12="",$U12="")),"",IF($U12&lt;&gt;"",$U12,$F12)-DATA_GESTAO)</f>
        <v>-42</v>
      </c>
      <c r="L12" s="222" t="str">
        <f>IF($B12="","",IF($H12="RESOLVIDA","RESOLVIDA",IF($M12="RISCO","RISCO",IF($K12="","SEM PRAZO",IF($K12&lt;0,"VENCIDA",IF($G12="","SEM DONO",IF($K12&lt;=7,"ESTA SEMANA",IF($K12&lt;=42,"PRÓXIMAS 6 SEMANAS","NO PRAZO"))))))))</f>
        <v>VENCIDA</v>
      </c>
      <c r="M12" s="218" t="inlineStr">
        <is>
          <t>RESTRIÇÃO</t>
        </is>
      </c>
      <c r="N12" s="235" t="n"/>
      <c r="O12" s="271" t="n"/>
      <c r="P12" s="235" t="n"/>
      <c r="Q12" s="267">
        <f>IF($B12="","",IF(AND($N12="",$O12=""),IF($M12="RISCO","SEM BASE",""),IF(AND(ISNUMBER($N12),ISNUMBER($O12)),ROUND($N12*$O12/5,0),"SEM BASE")))</f>
      </c>
      <c r="R12" s="298" t="inlineStr">
        <is>
          <t>Pedido único depois do traçado (R09). O FoFo leva 45 dias depois do traçado aprovado (Guia P4); o BM do corte de 20/12 depende dele (R95)</t>
        </is>
      </c>
      <c r="S12" s="298" t="n"/>
      <c r="T12" s="218" t="inlineStr">
        <is>
          <t>PROJETO</t>
        </is>
      </c>
      <c r="U12" s="220" t="n"/>
      <c r="V12" s="235" t="n"/>
      <c r="W12" s="221">
        <f>IF(AND(ISNUMBER($Q12),$H12&lt;&gt;"RESOLVIDA"),COUNTIFS($Q$5:$Q$204,"&gt;"&amp;$Q12,$H$5:$H$204,"&lt;&gt;RESOLVIDA")+COUNTIFS($Q$5:$Q12,$Q12,$H$5:$H12,"&lt;&gt;RESOLVIDA"),"")</f>
      </c>
    </row>
    <row r="13">
      <c r="A13" s="218" t="inlineStr">
        <is>
          <t>R09</t>
        </is>
      </c>
      <c r="B13" s="218" t="inlineStr">
        <is>
          <t>342</t>
        </is>
      </c>
      <c r="C13" s="218" t="inlineStr">
        <is>
          <t>3.2.1</t>
        </is>
      </c>
      <c r="D13" s="298" t="inlineStr">
        <is>
          <t>Traçado final da interligação entre a ETA e a UTR aprovado pela SANEAGO (destrava o pedido de FoFo)</t>
        </is>
      </c>
      <c r="E13" s="218" t="inlineStr">
        <is>
          <t>CLIENTE</t>
        </is>
      </c>
      <c r="F13" s="220" t="n">
        <v>46269</v>
      </c>
      <c r="G13" s="218" t="inlineStr">
        <is>
          <t>Marko Aurélio</t>
        </is>
      </c>
      <c r="H13" s="218" t="inlineStr">
        <is>
          <t>ABERTA</t>
        </is>
      </c>
      <c r="I13" s="220" t="n"/>
      <c r="J13" s="269" t="inlineStr">
        <is>
          <t>ACOMPANHAMENTO P06 e P31; mesmo prazo do pacote FOFO</t>
        </is>
      </c>
      <c r="K13" s="221">
        <f>IF(OR($B13="",$H13="RESOLVIDA",$M13="RISCO",AND($F13="",$U13="")),"",IF($U13&lt;&gt;"",$U13,$F13)-DATA_GESTAO)</f>
        <v>-42</v>
      </c>
      <c r="L13" s="222" t="str">
        <f>IF($B13="","",IF($H13="RESOLVIDA","RESOLVIDA",IF($M13="RISCO","RISCO",IF($K13="","SEM PRAZO",IF($K13&lt;0,"VENCIDA",IF($G13="","SEM DONO",IF($K13&lt;=7,"ESTA SEMANA",IF($K13&lt;=42,"PRÓXIMAS 6 SEMANAS","NO PRAZO"))))))))</f>
        <v>VENCIDA</v>
      </c>
      <c r="M13" s="218" t="inlineStr">
        <is>
          <t>RESTRIÇÃO</t>
        </is>
      </c>
      <c r="N13" s="235" t="n"/>
      <c r="O13" s="271" t="n"/>
      <c r="P13" s="235" t="n"/>
      <c r="Q13" s="267">
        <f>IF($B13="","",IF(AND($N13="",$O13=""),IF($M13="RISCO","SEM BASE",""),IF(AND(ISNUMBER($N13),ISNUMBER($O13)),ROUND($N13*$O13/5,0),"SEM BASE")))</f>
      </c>
      <c r="R13" s="298" t="inlineStr">
        <is>
          <t>Levar o traçado à reunião com a fiscalização e pedir resposta escrita; destrava R08 e R15</t>
        </is>
      </c>
      <c r="S13" s="298" t="n"/>
      <c r="T13" s="218" t="inlineStr">
        <is>
          <t>CLIENTE / FISCAL</t>
        </is>
      </c>
      <c r="U13" s="220" t="n"/>
      <c r="V13" s="235" t="n"/>
      <c r="W13" s="221">
        <f>IF(AND(ISNUMBER($Q13),$H13&lt;&gt;"RESOLVIDA"),COUNTIFS($Q$5:$Q$204,"&gt;"&amp;$Q13,$H$5:$H$204,"&lt;&gt;RESOLVIDA")+COUNTIFS($Q$5:$Q13,$Q13,$H$5:$H13,"&lt;&gt;RESOLVIDA"),"")</f>
      </c>
    </row>
    <row r="14">
      <c r="A14" s="218" t="inlineStr">
        <is>
          <t>R10</t>
        </is>
      </c>
      <c r="B14" s="218" t="inlineStr">
        <is>
          <t>342</t>
        </is>
      </c>
      <c r="C14" s="218" t="inlineStr">
        <is>
          <t>3.2.1</t>
        </is>
      </c>
      <c r="D14" s="298" t="inlineStr">
        <is>
          <t>Distância entre a descarga da ETA e a rede de água da cidade na mesma vala medida pela SANEAGO</t>
        </is>
      </c>
      <c r="E14" s="218" t="inlineStr">
        <is>
          <t>CLIENTE</t>
        </is>
      </c>
      <c r="F14" s="220" t="n">
        <v>46344</v>
      </c>
      <c r="G14" s="218" t="inlineStr">
        <is>
          <t>Marko Aurélio</t>
        </is>
      </c>
      <c r="H14" s="218" t="inlineStr">
        <is>
          <t>ABERTA</t>
        </is>
      </c>
      <c r="I14" s="220" t="n"/>
      <c r="J14" s="269" t="inlineStr">
        <is>
          <t>ACOMPANHAMENTO P11; prazo = início do evento no plano (02/12/26) menos 14 dias</t>
        </is>
      </c>
      <c r="K14" s="221">
        <f>IF(OR($B14="",$H14="RESOLVIDA",$M14="RISCO",AND($F14="",$U14="")),"",IF($U14&lt;&gt;"",$U14,$F14)-DATA_GESTAO)</f>
        <v>33</v>
      </c>
      <c r="L14" s="222" t="str">
        <f>IF($B14="","",IF($H14="RESOLVIDA","RESOLVIDA",IF($M14="RISCO","RISCO",IF($K14="","SEM PRAZO",IF($K14&lt;0,"VENCIDA",IF($G14="","SEM DONO",IF($K14&lt;=7,"ESTA SEMANA",IF($K14&lt;=42,"PRÓXIMAS 6 SEMANAS","NO PRAZO"))))))))</f>
        <v>PRÓXIMAS 6 SEMANAS</v>
      </c>
      <c r="M14" s="218" t="inlineStr">
        <is>
          <t>RESTRIÇÃO</t>
        </is>
      </c>
      <c r="N14" s="235" t="n"/>
      <c r="O14" s="271" t="n"/>
      <c r="P14" s="235" t="n"/>
      <c r="Q14" s="267">
        <f>IF($B14="","",IF(AND($N14="",$O14=""),IF($M14="RISCO","SEM BASE",""),IF(AND(ISNUMBER($N14),ISNUMBER($O14)),ROUND($N14*$O14/5,0),"SEM BASE")))</f>
      </c>
      <c r="R14" s="298" t="n"/>
      <c r="S14" s="298" t="n"/>
      <c r="T14" s="218" t="n"/>
      <c r="U14" s="220" t="n"/>
      <c r="V14" s="235" t="n"/>
      <c r="W14" s="221">
        <f>IF(AND(ISNUMBER($Q14),$H14&lt;&gt;"RESOLVIDA"),COUNTIFS($Q$5:$Q$204,"&gt;"&amp;$Q14,$H$5:$H$204,"&lt;&gt;RESOLVIDA")+COUNTIFS($Q$5:$Q14,$Q14,$H$5:$H14,"&lt;&gt;RESOLVIDA"),"")</f>
      </c>
    </row>
    <row r="15">
      <c r="A15" s="218" t="inlineStr">
        <is>
          <t>R11</t>
        </is>
      </c>
      <c r="B15" s="218" t="inlineStr">
        <is>
          <t>342</t>
        </is>
      </c>
      <c r="C15" s="218" t="inlineStr">
        <is>
          <t>3.5.1</t>
        </is>
      </c>
      <c r="D15" s="298" t="inlineStr">
        <is>
          <t>Pacote de projeto do tanque de lodo protocolado e aceito</t>
        </is>
      </c>
      <c r="E15" s="218" t="inlineStr">
        <is>
          <t>CLIENTE</t>
        </is>
      </c>
      <c r="F15" s="220" t="n">
        <v>46298</v>
      </c>
      <c r="G15" s="218" t="inlineStr">
        <is>
          <t>Marko Aurélio</t>
        </is>
      </c>
      <c r="H15" s="218" t="inlineStr">
        <is>
          <t>ABERTA</t>
        </is>
      </c>
      <c r="I15" s="220" t="n"/>
      <c r="J15" s="269" t="inlineStr">
        <is>
          <t>ACOMPANHAMENTO P08</t>
        </is>
      </c>
      <c r="K15" s="221">
        <f>IF(OR($B15="",$H15="RESOLVIDA",$M15="RISCO",AND($F15="",$U15="")),"",IF($U15&lt;&gt;"",$U15,$F15)-DATA_GESTAO)</f>
        <v>-13</v>
      </c>
      <c r="L15" s="222" t="str">
        <f>IF($B15="","",IF($H15="RESOLVIDA","RESOLVIDA",IF($M15="RISCO","RISCO",IF($K15="","SEM PRAZO",IF($K15&lt;0,"VENCIDA",IF($G15="","SEM DONO",IF($K15&lt;=7,"ESTA SEMANA",IF($K15&lt;=42,"PRÓXIMAS 6 SEMANAS","NO PRAZO"))))))))</f>
        <v>VENCIDA</v>
      </c>
      <c r="M15" s="218" t="inlineStr">
        <is>
          <t>RESTRIÇÃO</t>
        </is>
      </c>
      <c r="N15" s="235" t="n"/>
      <c r="O15" s="271" t="n"/>
      <c r="P15" s="235" t="n"/>
      <c r="Q15" s="267">
        <f>IF($B15="","",IF(AND($N15="",$O15=""),IF($M15="RISCO","SEM BASE",""),IF(AND(ISNUMBER($N15),ISNUMBER($O15)),ROUND($N15*$O15/5,0),"SEM BASE")))</f>
      </c>
      <c r="R15" s="298" t="inlineStr">
        <is>
          <t>Antes da fundação, localizar e conferir a sondagem do tanque e da elevatória; se divergir da licitação, levar à SANEAGO antes de executar e ver na Matriz de Riscos (Anexo IX) de quem é o risco de solo (lista A, A57; lição da 281, R64)</t>
        </is>
      </c>
      <c r="S15" s="298" t="n"/>
      <c r="T15" s="218" t="inlineStr">
        <is>
          <t>PROJETO</t>
        </is>
      </c>
      <c r="U15" s="220" t="n"/>
      <c r="V15" s="235" t="n"/>
      <c r="W15" s="221">
        <f>IF(AND(ISNUMBER($Q15),$H15&lt;&gt;"RESOLVIDA"),COUNTIFS($Q$5:$Q$204,"&gt;"&amp;$Q15,$H$5:$H$204,"&lt;&gt;RESOLVIDA")+COUNTIFS($Q$5:$Q15,$Q15,$H$5:$H15,"&lt;&gt;RESOLVIDA"),"")</f>
      </c>
    </row>
    <row r="16">
      <c r="A16" s="218" t="inlineStr">
        <is>
          <t>R12</t>
        </is>
      </c>
      <c r="B16" s="218" t="inlineStr">
        <is>
          <t>342</t>
        </is>
      </c>
      <c r="C16" s="218" t="inlineStr">
        <is>
          <t>4.1.1</t>
        </is>
      </c>
      <c r="D16" s="298" t="inlineStr">
        <is>
          <t>Projetos executivos contratados (pacote PROJ; sem projeto final não se fecha o FoFo)</t>
        </is>
      </c>
      <c r="E16" s="218" t="inlineStr">
        <is>
          <t>INTERNA</t>
        </is>
      </c>
      <c r="F16" s="220" t="n">
        <v>46268</v>
      </c>
      <c r="G16" s="218" t="inlineStr">
        <is>
          <t>Marko Aurélio</t>
        </is>
      </c>
      <c r="H16" s="218" t="inlineStr">
        <is>
          <t>ABERTA</t>
        </is>
      </c>
      <c r="I16" s="220" t="n"/>
      <c r="J16" s="269" t="inlineStr">
        <is>
          <t>META DE COMPRA REV01, pacote PROJ</t>
        </is>
      </c>
      <c r="K16" s="221">
        <f>IF(OR($B16="",$H16="RESOLVIDA",$M16="RISCO",AND($F16="",$U16="")),"",IF($U16&lt;&gt;"",$U16,$F16)-DATA_GESTAO)</f>
        <v>-43</v>
      </c>
      <c r="L16" s="222" t="str">
        <f>IF($B16="","",IF($H16="RESOLVIDA","RESOLVIDA",IF($M16="RISCO","RISCO",IF($K16="","SEM PRAZO",IF($K16&lt;0,"VENCIDA",IF($G16="","SEM DONO",IF($K16&lt;=7,"ESTA SEMANA",IF($K16&lt;=42,"PRÓXIMAS 6 SEMANAS","NO PRAZO"))))))))</f>
        <v>VENCIDA</v>
      </c>
      <c r="M16" s="218" t="inlineStr">
        <is>
          <t>RESTRIÇÃO</t>
        </is>
      </c>
      <c r="N16" s="235" t="n"/>
      <c r="O16" s="271" t="n"/>
      <c r="P16" s="235" t="n"/>
      <c r="Q16" s="267">
        <f>IF($B16="","",IF(AND($N16="",$O16=""),IF($M16="RISCO","SEM BASE",""),IF(AND(ISNUMBER($N16),ISNUMBER($O16)),ROUND($N16*$O16/5,0),"SEM BASE")))</f>
      </c>
      <c r="R16" s="298" t="inlineStr">
        <is>
          <t>Contratar os projetos (cotação de R$ 20 mil com as built, R78); sem projeto final o FoFo não fecha (R08)</t>
        </is>
      </c>
      <c r="S16" s="298" t="n"/>
      <c r="T16" s="218" t="inlineStr">
        <is>
          <t>PLANEJAMENTO</t>
        </is>
      </c>
      <c r="U16" s="220" t="n"/>
      <c r="V16" s="235" t="n"/>
      <c r="W16" s="221">
        <f>IF(AND(ISNUMBER($Q16),$H16&lt;&gt;"RESOLVIDA"),COUNTIFS($Q$5:$Q$204,"&gt;"&amp;$Q16,$H$5:$H$204,"&lt;&gt;RESOLVIDA")+COUNTIFS($Q$5:$Q16,$Q16,$H$5:$H16,"&lt;&gt;RESOLVIDA"),"")</f>
      </c>
    </row>
    <row r="17">
      <c r="A17" s="218" t="inlineStr">
        <is>
          <t>R13</t>
        </is>
      </c>
      <c r="B17" s="218" t="inlineStr">
        <is>
          <t>342</t>
        </is>
      </c>
      <c r="C17" s="218" t="inlineStr">
        <is>
          <t>3.1.1</t>
        </is>
      </c>
      <c r="D17" s="298" t="inlineStr">
        <is>
          <t>Montagem e assentamento de tubos contratado (pacote MONT)</t>
        </is>
      </c>
      <c r="E17" s="218" t="inlineStr">
        <is>
          <t>INTERNA</t>
        </is>
      </c>
      <c r="F17" s="220" t="n">
        <v>46284</v>
      </c>
      <c r="G17" s="218" t="inlineStr">
        <is>
          <t>Marko Aurélio</t>
        </is>
      </c>
      <c r="H17" s="218" t="inlineStr">
        <is>
          <t>ABERTA</t>
        </is>
      </c>
      <c r="I17" s="220" t="n"/>
      <c r="J17" s="269" t="inlineStr">
        <is>
          <t>META DE COMPRA REV01, pacote MONT</t>
        </is>
      </c>
      <c r="K17" s="221">
        <f>IF(OR($B17="",$H17="RESOLVIDA",$M17="RISCO",AND($F17="",$U17="")),"",IF($U17&lt;&gt;"",$U17,$F17)-DATA_GESTAO)</f>
        <v>-27</v>
      </c>
      <c r="L17" s="222" t="str">
        <f>IF($B17="","",IF($H17="RESOLVIDA","RESOLVIDA",IF($M17="RISCO","RISCO",IF($K17="","SEM PRAZO",IF($K17&lt;0,"VENCIDA",IF($G17="","SEM DONO",IF($K17&lt;=7,"ESTA SEMANA",IF($K17&lt;=42,"PRÓXIMAS 6 SEMANAS","NO PRAZO"))))))))</f>
        <v>VENCIDA</v>
      </c>
      <c r="M17" s="218" t="inlineStr">
        <is>
          <t>RESTRIÇÃO</t>
        </is>
      </c>
      <c r="N17" s="235" t="n"/>
      <c r="O17" s="271" t="n"/>
      <c r="P17" s="235" t="n"/>
      <c r="Q17" s="267">
        <f>IF($B17="","",IF(AND($N17="",$O17=""),IF($M17="RISCO","SEM BASE",""),IF(AND(ISNUMBER($N17),ISNUMBER($O17)),ROUND($N17*$O17/5,0),"SEM BASE")))</f>
      </c>
      <c r="R17" s="298" t="inlineStr">
        <is>
          <t>Proposta da auditoria: nova data 21/12/2026 (o dono decide). MONT decidido junto com TERRA (R05)</t>
        </is>
      </c>
      <c r="S17" s="298" t="n"/>
      <c r="T17" s="218" t="inlineStr">
        <is>
          <t>PLANEJAMENTO</t>
        </is>
      </c>
      <c r="U17" s="220" t="n"/>
      <c r="V17" s="235" t="n"/>
      <c r="W17" s="221">
        <f>IF(AND(ISNUMBER($Q17),$H17&lt;&gt;"RESOLVIDA"),COUNTIFS($Q$5:$Q$204,"&gt;"&amp;$Q17,$H$5:$H$204,"&lt;&gt;RESOLVIDA")+COUNTIFS($Q$5:$Q17,$Q17,$H$5:$H17,"&lt;&gt;RESOLVIDA"),"")</f>
      </c>
    </row>
    <row r="18">
      <c r="A18" s="218" t="inlineStr">
        <is>
          <t>R14</t>
        </is>
      </c>
      <c r="B18" s="218" t="inlineStr">
        <is>
          <t>342</t>
        </is>
      </c>
      <c r="C18" s="218" t="inlineStr">
        <is>
          <t>3.1.1</t>
        </is>
      </c>
      <c r="D18" s="298" t="inlineStr">
        <is>
          <t>Topografia do traçado feita e protocolada na fiscalização antes de cortar (pacote TOPO, com cadastro e ensaios): a máquina entra no dia útil seguinte ao protocolo</t>
        </is>
      </c>
      <c r="E18" s="218" t="inlineStr">
        <is>
          <t>INTERNA</t>
        </is>
      </c>
      <c r="F18" s="220" t="n">
        <v>46311</v>
      </c>
      <c r="G18" s="218" t="inlineStr">
        <is>
          <t>Marko Aurélio</t>
        </is>
      </c>
      <c r="H18" s="218" t="inlineStr">
        <is>
          <t>ABERTA</t>
        </is>
      </c>
      <c r="I18" s="220" t="n"/>
      <c r="J18" s="269" t="inlineStr">
        <is>
          <t>META DE COMPRA REV01, pacote TOPO (fechar até 04/10/26); contrato semi-integrado: a topografia vem antes do corte e o traçado novo vai para ata como decisão da SANEAGO (conferência do roteiro, 15/10); P01 diz que a faixa e a locação já foram levantadas: confirmar se o pacote está fechado</t>
        </is>
      </c>
      <c r="K18" s="221">
        <f>IF(OR($B18="",$H18="RESOLVIDA",$M18="RISCO",AND($F18="",$U18="")),"",IF($U18&lt;&gt;"",$U18,$F18)-DATA_GESTAO)</f>
        <v>0</v>
      </c>
      <c r="L18" s="222" t="str">
        <f>IF($B18="","",IF($H18="RESOLVIDA","RESOLVIDA",IF($M18="RISCO","RISCO",IF($K18="","SEM PRAZO",IF($K18&lt;0,"VENCIDA",IF($G18="","SEM DONO",IF($K18&lt;=7,"ESTA SEMANA",IF($K18&lt;=42,"PRÓXIMAS 6 SEMANAS","NO PRAZO"))))))))</f>
        <v>ESTA SEMANA</v>
      </c>
      <c r="M18" s="218" t="inlineStr">
        <is>
          <t>RESTRIÇÃO</t>
        </is>
      </c>
      <c r="N18" s="235" t="n"/>
      <c r="O18" s="271" t="n"/>
      <c r="P18" s="235" t="n"/>
      <c r="Q18" s="267">
        <f>IF($B18="","",IF(AND($N18="",$O18=""),IF($M18="RISCO","SEM BASE",""),IF(AND(ISNUMBER($N18),ISNUMBER($O18)),ROUND($N18*$O18/5,0),"SEM BASE")))</f>
      </c>
      <c r="R18" s="298" t="n"/>
      <c r="S18" s="298" t="n"/>
      <c r="T18" s="218" t="n"/>
      <c r="U18" s="220" t="n"/>
      <c r="V18" s="235" t="n"/>
      <c r="W18" s="221">
        <f>IF(AND(ISNUMBER($Q18),$H18&lt;&gt;"RESOLVIDA"),COUNTIFS($Q$5:$Q$204,"&gt;"&amp;$Q18,$H$5:$H$204,"&lt;&gt;RESOLVIDA")+COUNTIFS($Q$5:$Q18,$Q18,$H$5:$H18,"&lt;&gt;RESOLVIDA"),"")</f>
      </c>
    </row>
    <row r="19">
      <c r="A19" s="218" t="inlineStr">
        <is>
          <t>R15</t>
        </is>
      </c>
      <c r="B19" s="218" t="inlineStr">
        <is>
          <t>342</t>
        </is>
      </c>
      <c r="C19" s="218" t="inlineStr">
        <is>
          <t>3.4.1</t>
        </is>
      </c>
      <c r="D19" s="298" t="inlineStr">
        <is>
          <t>Registros, válvulas e ventosas comprados (pacote VALV, junto com o FoFo)</t>
        </is>
      </c>
      <c r="E19" s="218" t="inlineStr">
        <is>
          <t>FORNECEDOR</t>
        </is>
      </c>
      <c r="F19" s="220" t="n">
        <v>46289</v>
      </c>
      <c r="G19" s="218" t="inlineStr">
        <is>
          <t>Compras</t>
        </is>
      </c>
      <c r="H19" s="218" t="inlineStr">
        <is>
          <t>ABERTA</t>
        </is>
      </c>
      <c r="I19" s="220" t="n"/>
      <c r="J19" s="269" t="inlineStr">
        <is>
          <t>META DE COMPRA REV01, pacote VALV</t>
        </is>
      </c>
      <c r="K19" s="221">
        <f>IF(OR($B19="",$H19="RESOLVIDA",$M19="RISCO",AND($F19="",$U19="")),"",IF($U19&lt;&gt;"",$U19,$F19)-DATA_GESTAO)</f>
        <v>-22</v>
      </c>
      <c r="L19" s="222" t="str">
        <f>IF($B19="","",IF($H19="RESOLVIDA","RESOLVIDA",IF($M19="RISCO","RISCO",IF($K19="","SEM PRAZO",IF($K19&lt;0,"VENCIDA",IF($G19="","SEM DONO",IF($K19&lt;=7,"ESTA SEMANA",IF($K19&lt;=42,"PRÓXIMAS 6 SEMANAS","NO PRAZO"))))))))</f>
        <v>VENCIDA</v>
      </c>
      <c r="M19" s="218" t="inlineStr">
        <is>
          <t>RESTRIÇÃO</t>
        </is>
      </c>
      <c r="N19" s="235" t="n"/>
      <c r="O19" s="271" t="n"/>
      <c r="P19" s="235" t="n"/>
      <c r="Q19" s="267">
        <f>IF($B19="","",IF(AND($N19="",$O19=""),IF($M19="RISCO","SEM BASE",""),IF(AND(ISNUMBER($N19),ISNUMBER($O19)),ROUND($N19*$O19/5,0),"SEM BASE")))</f>
      </c>
      <c r="R19" s="298" t="inlineStr">
        <is>
          <t>Vai no mesmo pedido do FoFo (R08), que espera o traçado (R09)</t>
        </is>
      </c>
      <c r="S19" s="298" t="n"/>
      <c r="T19" s="218" t="inlineStr">
        <is>
          <t>PROJETO</t>
        </is>
      </c>
      <c r="U19" s="220" t="n"/>
      <c r="V19" s="235" t="n"/>
      <c r="W19" s="221">
        <f>IF(AND(ISNUMBER($Q19),$H19&lt;&gt;"RESOLVIDA"),COUNTIFS($Q$5:$Q$204,"&gt;"&amp;$Q19,$H$5:$H$204,"&lt;&gt;RESOLVIDA")+COUNTIFS($Q$5:$Q19,$Q19,$H$5:$H19,"&lt;&gt;RESOLVIDA"),"")</f>
      </c>
    </row>
    <row r="20">
      <c r="A20" s="218" t="inlineStr">
        <is>
          <t>R16</t>
        </is>
      </c>
      <c r="B20" s="218" t="inlineStr">
        <is>
          <t>342</t>
        </is>
      </c>
      <c r="C20" s="218" t="inlineStr">
        <is>
          <t>3.4.1</t>
        </is>
      </c>
      <c r="D20" s="298" t="inlineStr">
        <is>
          <t>Parafusos, juntas e acessórios no pedido do FoFo (pacote PARAF)</t>
        </is>
      </c>
      <c r="E20" s="218" t="inlineStr">
        <is>
          <t>FORNECEDOR</t>
        </is>
      </c>
      <c r="F20" s="220" t="n">
        <v>46319</v>
      </c>
      <c r="G20" s="218" t="inlineStr">
        <is>
          <t>Compras</t>
        </is>
      </c>
      <c r="H20" s="218" t="inlineStr">
        <is>
          <t>ABERTA</t>
        </is>
      </c>
      <c r="I20" s="220" t="n"/>
      <c r="J20" s="269" t="inlineStr">
        <is>
          <t>META DE COMPRA REV01, pacote PARAF</t>
        </is>
      </c>
      <c r="K20" s="221">
        <f>IF(OR($B20="",$H20="RESOLVIDA",$M20="RISCO",AND($F20="",$U20="")),"",IF($U20&lt;&gt;"",$U20,$F20)-DATA_GESTAO)</f>
        <v>8</v>
      </c>
      <c r="L20" s="222" t="str">
        <f>IF($B20="","",IF($H20="RESOLVIDA","RESOLVIDA",IF($M20="RISCO","RISCO",IF($K20="","SEM PRAZO",IF($K20&lt;0,"VENCIDA",IF($G20="","SEM DONO",IF($K20&lt;=7,"ESTA SEMANA",IF($K20&lt;=42,"PRÓXIMAS 6 SEMANAS","NO PRAZO"))))))))</f>
        <v>PRÓXIMAS 6 SEMANAS</v>
      </c>
      <c r="M20" s="218" t="inlineStr">
        <is>
          <t>RESTRIÇÃO</t>
        </is>
      </c>
      <c r="N20" s="235" t="n"/>
      <c r="O20" s="271" t="n"/>
      <c r="P20" s="235" t="n"/>
      <c r="Q20" s="267">
        <f>IF($B20="","",IF(AND($N20="",$O20=""),IF($M20="RISCO","SEM BASE",""),IF(AND(ISNUMBER($N20),ISNUMBER($O20)),ROUND($N20*$O20/5,0),"SEM BASE")))</f>
      </c>
      <c r="R20" s="298" t="n"/>
      <c r="S20" s="298" t="n"/>
      <c r="T20" s="218" t="n"/>
      <c r="U20" s="220" t="n"/>
      <c r="V20" s="235" t="n"/>
      <c r="W20" s="221">
        <f>IF(AND(ISNUMBER($Q20),$H20&lt;&gt;"RESOLVIDA"),COUNTIFS($Q$5:$Q$204,"&gt;"&amp;$Q20,$H$5:$H$204,"&lt;&gt;RESOLVIDA")+COUNTIFS($Q$5:$Q20,$Q20,$H$5:$H20,"&lt;&gt;RESOLVIDA"),"")</f>
      </c>
    </row>
    <row r="21">
      <c r="A21" s="218" t="inlineStr">
        <is>
          <t>R17</t>
        </is>
      </c>
      <c r="B21" s="218" t="inlineStr">
        <is>
          <t>342</t>
        </is>
      </c>
      <c r="C21" s="218" t="inlineStr">
        <is>
          <t>3.3.1</t>
        </is>
      </c>
      <c r="D21" s="298" t="inlineStr">
        <is>
          <t>Tubos de PVC e PEAD comprados (pacote PVC)</t>
        </is>
      </c>
      <c r="E21" s="218" t="inlineStr">
        <is>
          <t>FORNECEDOR</t>
        </is>
      </c>
      <c r="F21" s="220" t="n">
        <v>46329</v>
      </c>
      <c r="G21" s="218" t="inlineStr">
        <is>
          <t>Compras</t>
        </is>
      </c>
      <c r="H21" s="218" t="inlineStr">
        <is>
          <t>ABERTA</t>
        </is>
      </c>
      <c r="I21" s="220" t="n"/>
      <c r="J21" s="269" t="inlineStr">
        <is>
          <t>META DE COMPRA REV01, pacote PVC</t>
        </is>
      </c>
      <c r="K21" s="221">
        <f>IF(OR($B21="",$H21="RESOLVIDA",$M21="RISCO",AND($F21="",$U21="")),"",IF($U21&lt;&gt;"",$U21,$F21)-DATA_GESTAO)</f>
        <v>18</v>
      </c>
      <c r="L21" s="222" t="str">
        <f>IF($B21="","",IF($H21="RESOLVIDA","RESOLVIDA",IF($M21="RISCO","RISCO",IF($K21="","SEM PRAZO",IF($K21&lt;0,"VENCIDA",IF($G21="","SEM DONO",IF($K21&lt;=7,"ESTA SEMANA",IF($K21&lt;=42,"PRÓXIMAS 6 SEMANAS","NO PRAZO"))))))))</f>
        <v>PRÓXIMAS 6 SEMANAS</v>
      </c>
      <c r="M21" s="218" t="inlineStr">
        <is>
          <t>RESTRIÇÃO</t>
        </is>
      </c>
      <c r="N21" s="235" t="n"/>
      <c r="O21" s="271" t="n"/>
      <c r="P21" s="235" t="n"/>
      <c r="Q21" s="267">
        <f>IF($B21="","",IF(AND($N21="",$O21=""),IF($M21="RISCO","SEM BASE",""),IF(AND(ISNUMBER($N21),ISNUMBER($O21)),ROUND($N21*$O21/5,0),"SEM BASE")))</f>
      </c>
      <c r="R21" s="298" t="n"/>
      <c r="S21" s="298" t="n"/>
      <c r="T21" s="218" t="n"/>
      <c r="U21" s="220" t="n"/>
      <c r="V21" s="235" t="n"/>
      <c r="W21" s="221">
        <f>IF(AND(ISNUMBER($Q21),$H21&lt;&gt;"RESOLVIDA"),COUNTIFS($Q$5:$Q$204,"&gt;"&amp;$Q21,$H$5:$H$204,"&lt;&gt;RESOLVIDA")+COUNTIFS($Q$5:$Q21,$Q21,$H$5:$H21,"&lt;&gt;RESOLVIDA"),"")</f>
      </c>
    </row>
    <row r="22">
      <c r="A22" s="218" t="inlineStr">
        <is>
          <t>R18</t>
        </is>
      </c>
      <c r="B22" s="218" t="inlineStr">
        <is>
          <t>342</t>
        </is>
      </c>
      <c r="C22" s="218" t="inlineStr">
        <is>
          <t>3.4.1</t>
        </is>
      </c>
      <c r="D22" s="298" t="inlineStr">
        <is>
          <t>Tubos de concreto da drenagem comprados (pacote TCONC)</t>
        </is>
      </c>
      <c r="E22" s="218" t="inlineStr">
        <is>
          <t>FORNECEDOR</t>
        </is>
      </c>
      <c r="F22" s="220" t="n">
        <v>46329</v>
      </c>
      <c r="G22" s="218" t="inlineStr">
        <is>
          <t>Compras</t>
        </is>
      </c>
      <c r="H22" s="218" t="inlineStr">
        <is>
          <t>ABERTA</t>
        </is>
      </c>
      <c r="I22" s="220" t="n"/>
      <c r="J22" s="269" t="inlineStr">
        <is>
          <t>META DE COMPRA REV01, pacote TCONC</t>
        </is>
      </c>
      <c r="K22" s="221">
        <f>IF(OR($B22="",$H22="RESOLVIDA",$M22="RISCO",AND($F22="",$U22="")),"",IF($U22&lt;&gt;"",$U22,$F22)-DATA_GESTAO)</f>
        <v>18</v>
      </c>
      <c r="L22" s="222" t="str">
        <f>IF($B22="","",IF($H22="RESOLVIDA","RESOLVIDA",IF($M22="RISCO","RISCO",IF($K22="","SEM PRAZO",IF($K22&lt;0,"VENCIDA",IF($G22="","SEM DONO",IF($K22&lt;=7,"ESTA SEMANA",IF($K22&lt;=42,"PRÓXIMAS 6 SEMANAS","NO PRAZO"))))))))</f>
        <v>PRÓXIMAS 6 SEMANAS</v>
      </c>
      <c r="M22" s="218" t="inlineStr">
        <is>
          <t>RESTRIÇÃO</t>
        </is>
      </c>
      <c r="N22" s="235" t="n"/>
      <c r="O22" s="271" t="n"/>
      <c r="P22" s="235" t="n"/>
      <c r="Q22" s="267">
        <f>IF($B22="","",IF(AND($N22="",$O22=""),IF($M22="RISCO","SEM BASE",""),IF(AND(ISNUMBER($N22),ISNUMBER($O22)),ROUND($N22*$O22/5,0),"SEM BASE")))</f>
      </c>
      <c r="R22" s="298" t="n"/>
      <c r="S22" s="298" t="n"/>
      <c r="T22" s="218" t="n"/>
      <c r="U22" s="220" t="n"/>
      <c r="V22" s="235" t="n"/>
      <c r="W22" s="221">
        <f>IF(AND(ISNUMBER($Q22),$H22&lt;&gt;"RESOLVIDA"),COUNTIFS($Q$5:$Q$204,"&gt;"&amp;$Q22,$H$5:$H$204,"&lt;&gt;RESOLVIDA")+COUNTIFS($Q$5:$Q22,$Q22,$H$5:$H22,"&lt;&gt;RESOLVIDA"),"")</f>
      </c>
    </row>
    <row r="23">
      <c r="A23" s="218" t="inlineStr">
        <is>
          <t>R19</t>
        </is>
      </c>
      <c r="B23" s="218" t="inlineStr">
        <is>
          <t>342</t>
        </is>
      </c>
      <c r="C23" s="218" t="inlineStr">
        <is>
          <t>3.2.1</t>
        </is>
      </c>
      <c r="D23" s="298" t="inlineStr">
        <is>
          <t>Serviços civis contratados: poços, caixas, alvenaria (pacote CIVIL)</t>
        </is>
      </c>
      <c r="E23" s="218" t="inlineStr">
        <is>
          <t>INTERNA</t>
        </is>
      </c>
      <c r="F23" s="220" t="n">
        <v>46329</v>
      </c>
      <c r="G23" s="218" t="inlineStr">
        <is>
          <t>Marko Aurélio</t>
        </is>
      </c>
      <c r="H23" s="218" t="inlineStr">
        <is>
          <t>ABERTA</t>
        </is>
      </c>
      <c r="I23" s="220" t="n"/>
      <c r="J23" s="269" t="inlineStr">
        <is>
          <t>META DE COMPRA REV01, pacote CIVIL</t>
        </is>
      </c>
      <c r="K23" s="221">
        <f>IF(OR($B23="",$H23="RESOLVIDA",$M23="RISCO",AND($F23="",$U23="")),"",IF($U23&lt;&gt;"",$U23,$F23)-DATA_GESTAO)</f>
        <v>18</v>
      </c>
      <c r="L23" s="222" t="str">
        <f>IF($B23="","",IF($H23="RESOLVIDA","RESOLVIDA",IF($M23="RISCO","RISCO",IF($K23="","SEM PRAZO",IF($K23&lt;0,"VENCIDA",IF($G23="","SEM DONO",IF($K23&lt;=7,"ESTA SEMANA",IF($K23&lt;=42,"PRÓXIMAS 6 SEMANAS","NO PRAZO"))))))))</f>
        <v>PRÓXIMAS 6 SEMANAS</v>
      </c>
      <c r="M23" s="218" t="inlineStr">
        <is>
          <t>RESTRIÇÃO</t>
        </is>
      </c>
      <c r="N23" s="235" t="n"/>
      <c r="O23" s="271" t="n"/>
      <c r="P23" s="235" t="n"/>
      <c r="Q23" s="267">
        <f>IF($B23="","",IF(AND($N23="",$O23=""),IF($M23="RISCO","SEM BASE",""),IF(AND(ISNUMBER($N23),ISNUMBER($O23)),ROUND($N23*$O23/5,0),"SEM BASE")))</f>
      </c>
      <c r="R23" s="298" t="n"/>
      <c r="S23" s="298" t="n"/>
      <c r="T23" s="218" t="n"/>
      <c r="U23" s="220" t="n"/>
      <c r="V23" s="235" t="n"/>
      <c r="W23" s="221">
        <f>IF(AND(ISNUMBER($Q23),$H23&lt;&gt;"RESOLVIDA"),COUNTIFS($Q$5:$Q$204,"&gt;"&amp;$Q23,$H$5:$H$204,"&lt;&gt;RESOLVIDA")+COUNTIFS($Q$5:$Q23,$Q23,$H$5:$H23,"&lt;&gt;RESOLVIDA"),"")</f>
      </c>
    </row>
    <row r="24">
      <c r="A24" s="218" t="inlineStr">
        <is>
          <t>R20</t>
        </is>
      </c>
      <c r="B24" s="218" t="inlineStr">
        <is>
          <t>342</t>
        </is>
      </c>
      <c r="C24" s="218" t="inlineStr">
        <is>
          <t>3.5.2</t>
        </is>
      </c>
      <c r="D24" s="298" t="inlineStr">
        <is>
          <t>Aço cortado e dobrado contratado (pacote ACO)</t>
        </is>
      </c>
      <c r="E24" s="218" t="inlineStr">
        <is>
          <t>FORNECEDOR</t>
        </is>
      </c>
      <c r="F24" s="220" t="n">
        <v>46338</v>
      </c>
      <c r="G24" s="218" t="inlineStr">
        <is>
          <t>Compras</t>
        </is>
      </c>
      <c r="H24" s="218" t="inlineStr">
        <is>
          <t>ABERTA</t>
        </is>
      </c>
      <c r="I24" s="220" t="n"/>
      <c r="J24" s="269" t="inlineStr">
        <is>
          <t>META DE COMPRA REV01, pacote ACO</t>
        </is>
      </c>
      <c r="K24" s="221">
        <f>IF(OR($B24="",$H24="RESOLVIDA",$M24="RISCO",AND($F24="",$U24="")),"",IF($U24&lt;&gt;"",$U24,$F24)-DATA_GESTAO)</f>
        <v>27</v>
      </c>
      <c r="L24" s="222" t="str">
        <f>IF($B24="","",IF($H24="RESOLVIDA","RESOLVIDA",IF($M24="RISCO","RISCO",IF($K24="","SEM PRAZO",IF($K24&lt;0,"VENCIDA",IF($G24="","SEM DONO",IF($K24&lt;=7,"ESTA SEMANA",IF($K24&lt;=42,"PRÓXIMAS 6 SEMANAS","NO PRAZO"))))))))</f>
        <v>PRÓXIMAS 6 SEMANAS</v>
      </c>
      <c r="M24" s="218" t="inlineStr">
        <is>
          <t>RESTRIÇÃO</t>
        </is>
      </c>
      <c r="N24" s="235" t="n"/>
      <c r="O24" s="271" t="n"/>
      <c r="P24" s="235" t="n"/>
      <c r="Q24" s="267">
        <f>IF($B24="","",IF(AND($N24="",$O24=""),IF($M24="RISCO","SEM BASE",""),IF(AND(ISNUMBER($N24),ISNUMBER($O24)),ROUND($N24*$O24/5,0),"SEM BASE")))</f>
      </c>
      <c r="R24" s="298" t="n"/>
      <c r="S24" s="298" t="n"/>
      <c r="T24" s="218" t="n"/>
      <c r="U24" s="220" t="n"/>
      <c r="V24" s="235" t="n"/>
      <c r="W24" s="221">
        <f>IF(AND(ISNUMBER($Q24),$H24&lt;&gt;"RESOLVIDA"),COUNTIFS($Q$5:$Q$204,"&gt;"&amp;$Q24,$H$5:$H$204,"&lt;&gt;RESOLVIDA")+COUNTIFS($Q$5:$Q24,$Q24,$H$5:$H24,"&lt;&gt;RESOLVIDA"),"")</f>
      </c>
    </row>
    <row r="25">
      <c r="A25" s="218" t="inlineStr">
        <is>
          <t>R21</t>
        </is>
      </c>
      <c r="B25" s="218" t="inlineStr">
        <is>
          <t>342</t>
        </is>
      </c>
      <c r="C25" s="218" t="inlineStr">
        <is>
          <t>3.5.2</t>
        </is>
      </c>
      <c r="D25" s="298" t="inlineStr">
        <is>
          <t>Concreto usinado bombeado contratado por volume (pacote CONC)</t>
        </is>
      </c>
      <c r="E25" s="218" t="inlineStr">
        <is>
          <t>FORNECEDOR</t>
        </is>
      </c>
      <c r="F25" s="220" t="n">
        <v>46343</v>
      </c>
      <c r="G25" s="218" t="inlineStr">
        <is>
          <t>Compras</t>
        </is>
      </c>
      <c r="H25" s="218" t="inlineStr">
        <is>
          <t>ABERTA</t>
        </is>
      </c>
      <c r="I25" s="220" t="n"/>
      <c r="J25" s="269" t="inlineStr">
        <is>
          <t>META DE COMPRA REV01, pacote CONC</t>
        </is>
      </c>
      <c r="K25" s="221">
        <f>IF(OR($B25="",$H25="RESOLVIDA",$M25="RISCO",AND($F25="",$U25="")),"",IF($U25&lt;&gt;"",$U25,$F25)-DATA_GESTAO)</f>
        <v>32</v>
      </c>
      <c r="L25" s="222" t="str">
        <f>IF($B25="","",IF($H25="RESOLVIDA","RESOLVIDA",IF($M25="RISCO","RISCO",IF($K25="","SEM PRAZO",IF($K25&lt;0,"VENCIDA",IF($G25="","SEM DONO",IF($K25&lt;=7,"ESTA SEMANA",IF($K25&lt;=42,"PRÓXIMAS 6 SEMANAS","NO PRAZO"))))))))</f>
        <v>PRÓXIMAS 6 SEMANAS</v>
      </c>
      <c r="M25" s="218" t="inlineStr">
        <is>
          <t>RESTRIÇÃO</t>
        </is>
      </c>
      <c r="N25" s="235" t="n"/>
      <c r="O25" s="271" t="n"/>
      <c r="P25" s="235" t="n"/>
      <c r="Q25" s="267">
        <f>IF($B25="","",IF(AND($N25="",$O25=""),IF($M25="RISCO","SEM BASE",""),IF(AND(ISNUMBER($N25),ISNUMBER($O25)),ROUND($N25*$O25/5,0),"SEM BASE")))</f>
      </c>
      <c r="R25" s="298" t="n"/>
      <c r="S25" s="298" t="n"/>
      <c r="T25" s="218" t="n"/>
      <c r="U25" s="220" t="n"/>
      <c r="V25" s="235" t="n"/>
      <c r="W25" s="221">
        <f>IF(AND(ISNUMBER($Q25),$H25&lt;&gt;"RESOLVIDA"),COUNTIFS($Q$5:$Q$204,"&gt;"&amp;$Q25,$H$5:$H$204,"&lt;&gt;RESOLVIDA")+COUNTIFS($Q$5:$Q25,$Q25,$H$5:$H25,"&lt;&gt;RESOLVIDA"),"")</f>
      </c>
    </row>
    <row r="26">
      <c r="A26" s="218" t="inlineStr">
        <is>
          <t>R22</t>
        </is>
      </c>
      <c r="B26" s="218" t="inlineStr">
        <is>
          <t>342</t>
        </is>
      </c>
      <c r="C26" s="218" t="inlineStr">
        <is>
          <t>3.5.2</t>
        </is>
      </c>
      <c r="D26" s="298" t="inlineStr">
        <is>
          <t>Formas e escoramento contratados (pacote FORMA)</t>
        </is>
      </c>
      <c r="E26" s="218" t="inlineStr">
        <is>
          <t>FORNECEDOR</t>
        </is>
      </c>
      <c r="F26" s="220" t="n">
        <v>46343</v>
      </c>
      <c r="G26" s="218" t="inlineStr">
        <is>
          <t>Compras</t>
        </is>
      </c>
      <c r="H26" s="218" t="inlineStr">
        <is>
          <t>ABERTA</t>
        </is>
      </c>
      <c r="I26" s="220" t="n"/>
      <c r="J26" s="269" t="inlineStr">
        <is>
          <t>META DE COMPRA REV01, pacote FORMA</t>
        </is>
      </c>
      <c r="K26" s="221">
        <f>IF(OR($B26="",$H26="RESOLVIDA",$M26="RISCO",AND($F26="",$U26="")),"",IF($U26&lt;&gt;"",$U26,$F26)-DATA_GESTAO)</f>
        <v>32</v>
      </c>
      <c r="L26" s="222" t="str">
        <f>IF($B26="","",IF($H26="RESOLVIDA","RESOLVIDA",IF($M26="RISCO","RISCO",IF($K26="","SEM PRAZO",IF($K26&lt;0,"VENCIDA",IF($G26="","SEM DONO",IF($K26&lt;=7,"ESTA SEMANA",IF($K26&lt;=42,"PRÓXIMAS 6 SEMANAS","NO PRAZO"))))))))</f>
        <v>PRÓXIMAS 6 SEMANAS</v>
      </c>
      <c r="M26" s="218" t="inlineStr">
        <is>
          <t>RESTRIÇÃO</t>
        </is>
      </c>
      <c r="N26" s="235" t="n"/>
      <c r="O26" s="271" t="n"/>
      <c r="P26" s="235" t="n"/>
      <c r="Q26" s="267">
        <f>IF($B26="","",IF(AND($N26="",$O26=""),IF($M26="RISCO","SEM BASE",""),IF(AND(ISNUMBER($N26),ISNUMBER($O26)),ROUND($N26*$O26/5,0),"SEM BASE")))</f>
      </c>
      <c r="R26" s="298" t="n"/>
      <c r="S26" s="298" t="n"/>
      <c r="T26" s="218" t="n"/>
      <c r="U26" s="220" t="n"/>
      <c r="V26" s="235" t="n"/>
      <c r="W26" s="221">
        <f>IF(AND(ISNUMBER($Q26),$H26&lt;&gt;"RESOLVIDA"),COUNTIFS($Q$5:$Q$204,"&gt;"&amp;$Q26,$H$5:$H$204,"&lt;&gt;RESOLVIDA")+COUNTIFS($Q$5:$Q26,$Q26,$H$5:$H26,"&lt;&gt;RESOLVIDA"),"")</f>
      </c>
    </row>
    <row r="27">
      <c r="A27" s="218" t="inlineStr">
        <is>
          <t>R23</t>
        </is>
      </c>
      <c r="B27" s="218" t="inlineStr">
        <is>
          <t>342</t>
        </is>
      </c>
      <c r="C27" s="218" t="inlineStr">
        <is>
          <t>3.5.2</t>
        </is>
      </c>
      <c r="D27" s="298" t="inlineStr">
        <is>
          <t>Volume de concreto por etapa do tanque definido para medir o evento em percentual</t>
        </is>
      </c>
      <c r="E27" s="218" t="inlineStr">
        <is>
          <t>INTERNA</t>
        </is>
      </c>
      <c r="F27" s="220" t="n">
        <v>46376</v>
      </c>
      <c r="G27" s="218" t="inlineStr">
        <is>
          <t>Marko Aurélio</t>
        </is>
      </c>
      <c r="H27" s="218" t="inlineStr">
        <is>
          <t>ABERTA</t>
        </is>
      </c>
      <c r="I27" s="220" t="n"/>
      <c r="J27" s="269" t="inlineStr">
        <is>
          <t>ACOMPANHAMENTO P27; prazo = primeiro corte com concreto do tanque (BM4 do Plano de Trabalho, Anexo 4: 21/11 a 20/12/26)</t>
        </is>
      </c>
      <c r="K27" s="221">
        <f>IF(OR($B27="",$H27="RESOLVIDA",$M27="RISCO",AND($F27="",$U27="")),"",IF($U27&lt;&gt;"",$U27,$F27)-DATA_GESTAO)</f>
        <v>65</v>
      </c>
      <c r="L27" s="222" t="str">
        <f>IF($B27="","",IF($H27="RESOLVIDA","RESOLVIDA",IF($M27="RISCO","RISCO",IF($K27="","SEM PRAZO",IF($K27&lt;0,"VENCIDA",IF($G27="","SEM DONO",IF($K27&lt;=7,"ESTA SEMANA",IF($K27&lt;=42,"PRÓXIMAS 6 SEMANAS","NO PRAZO"))))))))</f>
        <v>NO PRAZO</v>
      </c>
      <c r="M27" s="218" t="inlineStr">
        <is>
          <t>RESTRIÇÃO</t>
        </is>
      </c>
      <c r="N27" s="235" t="n"/>
      <c r="O27" s="271" t="n"/>
      <c r="P27" s="235" t="n"/>
      <c r="Q27" s="267">
        <f>IF($B27="","",IF(AND($N27="",$O27=""),IF($M27="RISCO","SEM BASE",""),IF(AND(ISNUMBER($N27),ISNUMBER($O27)),ROUND($N27*$O27/5,0),"SEM BASE")))</f>
      </c>
      <c r="R27" s="298" t="n"/>
      <c r="S27" s="298" t="n"/>
      <c r="T27" s="218" t="n"/>
      <c r="U27" s="220" t="n"/>
      <c r="V27" s="235" t="n"/>
      <c r="W27" s="221">
        <f>IF(AND(ISNUMBER($Q27),$H27&lt;&gt;"RESOLVIDA"),COUNTIFS($Q$5:$Q$204,"&gt;"&amp;$Q27,$H$5:$H$204,"&lt;&gt;RESOLVIDA")+COUNTIFS($Q$5:$Q27,$Q27,$H$5:$H27,"&lt;&gt;RESOLVIDA"),"")</f>
      </c>
    </row>
    <row r="28">
      <c r="A28" s="218" t="inlineStr">
        <is>
          <t>R24</t>
        </is>
      </c>
      <c r="B28" s="218" t="inlineStr">
        <is>
          <t>342</t>
        </is>
      </c>
      <c r="C28" s="218" t="inlineStr">
        <is>
          <t>3.8.1</t>
        </is>
      </c>
      <c r="D28" s="298" t="inlineStr">
        <is>
          <t>Elétrica e automação compradas (pacote ELET)</t>
        </is>
      </c>
      <c r="E28" s="218" t="inlineStr">
        <is>
          <t>FORNECEDOR</t>
        </is>
      </c>
      <c r="F28" s="220" t="n">
        <v>46373</v>
      </c>
      <c r="G28" s="218" t="inlineStr">
        <is>
          <t>Compras</t>
        </is>
      </c>
      <c r="H28" s="218" t="inlineStr">
        <is>
          <t>ABERTA</t>
        </is>
      </c>
      <c r="I28" s="220" t="n"/>
      <c r="J28" s="269" t="inlineStr">
        <is>
          <t>META DE COMPRA REV01, pacote ELET</t>
        </is>
      </c>
      <c r="K28" s="221">
        <f>IF(OR($B28="",$H28="RESOLVIDA",$M28="RISCO",AND($F28="",$U28="")),"",IF($U28&lt;&gt;"",$U28,$F28)-DATA_GESTAO)</f>
        <v>62</v>
      </c>
      <c r="L28" s="222" t="str">
        <f>IF($B28="","",IF($H28="RESOLVIDA","RESOLVIDA",IF($M28="RISCO","RISCO",IF($K28="","SEM PRAZO",IF($K28&lt;0,"VENCIDA",IF($G28="","SEM DONO",IF($K28&lt;=7,"ESTA SEMANA",IF($K28&lt;=42,"PRÓXIMAS 6 SEMANAS","NO PRAZO"))))))))</f>
        <v>NO PRAZO</v>
      </c>
      <c r="M28" s="218" t="inlineStr">
        <is>
          <t>RESTRIÇÃO</t>
        </is>
      </c>
      <c r="N28" s="235" t="n"/>
      <c r="O28" s="271" t="n"/>
      <c r="P28" s="235" t="n"/>
      <c r="Q28" s="267">
        <f>IF($B28="","",IF(AND($N28="",$O28=""),IF($M28="RISCO","SEM BASE",""),IF(AND(ISNUMBER($N28),ISNUMBER($O28)),ROUND($N28*$O28/5,0),"SEM BASE")))</f>
      </c>
      <c r="R28" s="298" t="n"/>
      <c r="S28" s="298" t="n"/>
      <c r="T28" s="218" t="n"/>
      <c r="U28" s="220" t="n"/>
      <c r="V28" s="235" t="n"/>
      <c r="W28" s="221">
        <f>IF(AND(ISNUMBER($Q28),$H28&lt;&gt;"RESOLVIDA"),COUNTIFS($Q$5:$Q$204,"&gt;"&amp;$Q28,$H$5:$H$204,"&lt;&gt;RESOLVIDA")+COUNTIFS($Q$5:$Q28,$Q28,$H$5:$H28,"&lt;&gt;RESOLVIDA"),"")</f>
      </c>
    </row>
    <row r="29">
      <c r="A29" s="218" t="inlineStr">
        <is>
          <t>R25</t>
        </is>
      </c>
      <c r="B29" s="218" t="inlineStr">
        <is>
          <t>342</t>
        </is>
      </c>
      <c r="C29" s="218" t="inlineStr">
        <is>
          <t>3.8.1</t>
        </is>
      </c>
      <c r="D29" s="298" t="inlineStr">
        <is>
          <t>Instalação elétrica contratada (pacote ELETS), incluindo ensaios a frio, laudo de aterramento com ART, parametrização dos inversores e comissionamento do QCM</t>
        </is>
      </c>
      <c r="E29" s="218" t="inlineStr">
        <is>
          <t>INTERNA</t>
        </is>
      </c>
      <c r="F29" s="220" t="n">
        <v>46403</v>
      </c>
      <c r="G29" s="218" t="inlineStr">
        <is>
          <t>Marko Aurélio</t>
        </is>
      </c>
      <c r="H29" s="218" t="inlineStr">
        <is>
          <t>ABERTA</t>
        </is>
      </c>
      <c r="I29" s="220" t="n"/>
      <c r="J29" s="269" t="inlineStr">
        <is>
          <t>META DE COMPRA REV01, pacote ELETS; escopo do contrato: estudo 342 REV13, aba 17</t>
        </is>
      </c>
      <c r="K29" s="221">
        <f>IF(OR($B29="",$H29="RESOLVIDA",$M29="RISCO",AND($F29="",$U29="")),"",IF($U29&lt;&gt;"",$U29,$F29)-DATA_GESTAO)</f>
        <v>92</v>
      </c>
      <c r="L29" s="222" t="str">
        <f>IF($B29="","",IF($H29="RESOLVIDA","RESOLVIDA",IF($M29="RISCO","RISCO",IF($K29="","SEM PRAZO",IF($K29&lt;0,"VENCIDA",IF($G29="","SEM DONO",IF($K29&lt;=7,"ESTA SEMANA",IF($K29&lt;=42,"PRÓXIMAS 6 SEMANAS","NO PRAZO"))))))))</f>
        <v>NO PRAZO</v>
      </c>
      <c r="M29" s="218" t="inlineStr">
        <is>
          <t>RESTRIÇÃO</t>
        </is>
      </c>
      <c r="N29" s="235" t="n"/>
      <c r="O29" s="271" t="n"/>
      <c r="P29" s="235" t="n"/>
      <c r="Q29" s="267">
        <f>IF($B29="","",IF(AND($N29="",$O29=""),IF($M29="RISCO","SEM BASE",""),IF(AND(ISNUMBER($N29),ISNUMBER($O29)),ROUND($N29*$O29/5,0),"SEM BASE")))</f>
      </c>
      <c r="R29" s="298" t="n"/>
      <c r="S29" s="298" t="n"/>
      <c r="T29" s="218" t="n"/>
      <c r="U29" s="220" t="n"/>
      <c r="V29" s="235" t="n"/>
      <c r="W29" s="221">
        <f>IF(AND(ISNUMBER($Q29),$H29&lt;&gt;"RESOLVIDA"),COUNTIFS($Q$5:$Q$204,"&gt;"&amp;$Q29,$H$5:$H$204,"&lt;&gt;RESOLVIDA")+COUNTIFS($Q$5:$Q29,$Q29,$H$5:$H29,"&lt;&gt;RESOLVIDA"),"")</f>
      </c>
    </row>
    <row r="30">
      <c r="A30" s="218" t="inlineStr">
        <is>
          <t>R26</t>
        </is>
      </c>
      <c r="B30" s="218" t="inlineStr">
        <is>
          <t>342</t>
        </is>
      </c>
      <c r="C30" s="218" t="inlineStr">
        <is>
          <t>3.5.3</t>
        </is>
      </c>
      <c r="D30" s="298" t="inlineStr">
        <is>
          <t>Impermeabilização, tela e manta contratadas (pacote IMPER)</t>
        </is>
      </c>
      <c r="E30" s="218" t="inlineStr">
        <is>
          <t>INTERNA</t>
        </is>
      </c>
      <c r="F30" s="220" t="n">
        <v>46432</v>
      </c>
      <c r="G30" s="218" t="inlineStr">
        <is>
          <t>Marko Aurélio</t>
        </is>
      </c>
      <c r="H30" s="218" t="inlineStr">
        <is>
          <t>ABERTA</t>
        </is>
      </c>
      <c r="I30" s="220" t="n"/>
      <c r="J30" s="269" t="inlineStr">
        <is>
          <t>META DE COMPRA REV01, pacote IMPER</t>
        </is>
      </c>
      <c r="K30" s="221">
        <f>IF(OR($B30="",$H30="RESOLVIDA",$M30="RISCO",AND($F30="",$U30="")),"",IF($U30&lt;&gt;"",$U30,$F30)-DATA_GESTAO)</f>
        <v>121</v>
      </c>
      <c r="L30" s="222" t="str">
        <f>IF($B30="","",IF($H30="RESOLVIDA","RESOLVIDA",IF($M30="RISCO","RISCO",IF($K30="","SEM PRAZO",IF($K30&lt;0,"VENCIDA",IF($G30="","SEM DONO",IF($K30&lt;=7,"ESTA SEMANA",IF($K30&lt;=42,"PRÓXIMAS 6 SEMANAS","NO PRAZO"))))))))</f>
        <v>NO PRAZO</v>
      </c>
      <c r="M30" s="218" t="inlineStr">
        <is>
          <t>RESTRIÇÃO</t>
        </is>
      </c>
      <c r="N30" s="235" t="n"/>
      <c r="O30" s="271" t="n"/>
      <c r="P30" s="235" t="n"/>
      <c r="Q30" s="267">
        <f>IF($B30="","",IF(AND($N30="",$O30=""),IF($M30="RISCO","SEM BASE",""),IF(AND(ISNUMBER($N30),ISNUMBER($O30)),ROUND($N30*$O30/5,0),"SEM BASE")))</f>
      </c>
      <c r="R30" s="298" t="n"/>
      <c r="S30" s="298" t="n"/>
      <c r="T30" s="218" t="n"/>
      <c r="U30" s="220" t="n"/>
      <c r="V30" s="235" t="n"/>
      <c r="W30" s="221">
        <f>IF(AND(ISNUMBER($Q30),$H30&lt;&gt;"RESOLVIDA"),COUNTIFS($Q$5:$Q$204,"&gt;"&amp;$Q30,$H$5:$H$204,"&lt;&gt;RESOLVIDA")+COUNTIFS($Q$5:$Q30,$Q30,$H$5:$H30,"&lt;&gt;RESOLVIDA"),"")</f>
      </c>
    </row>
    <row r="31">
      <c r="A31" s="218" t="inlineStr">
        <is>
          <t>R27</t>
        </is>
      </c>
      <c r="B31" s="218" t="inlineStr">
        <is>
          <t>342</t>
        </is>
      </c>
      <c r="C31" s="218" t="inlineStr">
        <is>
          <t>3.6.6</t>
        </is>
      </c>
      <c r="D31" s="298" t="inlineStr">
        <is>
          <t>Guindaste de coluna giratório comprado (pacote GUIND)</t>
        </is>
      </c>
      <c r="E31" s="218" t="inlineStr">
        <is>
          <t>FORNECEDOR</t>
        </is>
      </c>
      <c r="F31" s="220" t="n">
        <v>46435</v>
      </c>
      <c r="G31" s="218" t="inlineStr">
        <is>
          <t>Compras</t>
        </is>
      </c>
      <c r="H31" s="218" t="inlineStr">
        <is>
          <t>ABERTA</t>
        </is>
      </c>
      <c r="I31" s="220" t="n"/>
      <c r="J31" s="269" t="inlineStr">
        <is>
          <t>META DE COMPRA REV01, pacote GUIND</t>
        </is>
      </c>
      <c r="K31" s="221">
        <f>IF(OR($B31="",$H31="RESOLVIDA",$M31="RISCO",AND($F31="",$U31="")),"",IF($U31&lt;&gt;"",$U31,$F31)-DATA_GESTAO)</f>
        <v>124</v>
      </c>
      <c r="L31" s="222" t="str">
        <f>IF($B31="","",IF($H31="RESOLVIDA","RESOLVIDA",IF($M31="RISCO","RISCO",IF($K31="","SEM PRAZO",IF($K31&lt;0,"VENCIDA",IF($G31="","SEM DONO",IF($K31&lt;=7,"ESTA SEMANA",IF($K31&lt;=42,"PRÓXIMAS 6 SEMANAS","NO PRAZO"))))))))</f>
        <v>NO PRAZO</v>
      </c>
      <c r="M31" s="218" t="inlineStr">
        <is>
          <t>RESTRIÇÃO</t>
        </is>
      </c>
      <c r="N31" s="235" t="n"/>
      <c r="O31" s="271" t="n"/>
      <c r="P31" s="235" t="n"/>
      <c r="Q31" s="267">
        <f>IF($B31="","",IF(AND($N31="",$O31=""),IF($M31="RISCO","SEM BASE",""),IF(AND(ISNUMBER($N31),ISNUMBER($O31)),ROUND($N31*$O31/5,0),"SEM BASE")))</f>
      </c>
      <c r="R31" s="298" t="n"/>
      <c r="S31" s="298" t="n"/>
      <c r="T31" s="218" t="n"/>
      <c r="U31" s="220" t="n"/>
      <c r="V31" s="235" t="n"/>
      <c r="W31" s="221">
        <f>IF(AND(ISNUMBER($Q31),$H31&lt;&gt;"RESOLVIDA"),COUNTIFS($Q$5:$Q$204,"&gt;"&amp;$Q31,$H$5:$H$204,"&lt;&gt;RESOLVIDA")+COUNTIFS($Q$5:$Q31,$Q31,$H$5:$H31,"&lt;&gt;RESOLVIDA"),"")</f>
      </c>
    </row>
    <row r="32">
      <c r="A32" s="218" t="inlineStr">
        <is>
          <t>R28</t>
        </is>
      </c>
      <c r="B32" s="218" t="inlineStr">
        <is>
          <t>342</t>
        </is>
      </c>
      <c r="C32" s="218" t="inlineStr">
        <is>
          <t>3.6.7</t>
        </is>
      </c>
      <c r="D32" s="298" t="inlineStr">
        <is>
          <t>Conjuntos motor-bomba comprados (pacote BOMBA; fabricação longa), com supervisão de montagem, partida pelo fabricante, manuais e data book na cotação</t>
        </is>
      </c>
      <c r="E32" s="218" t="inlineStr">
        <is>
          <t>FORNECEDOR</t>
        </is>
      </c>
      <c r="F32" s="220" t="n">
        <v>46438</v>
      </c>
      <c r="G32" s="218" t="inlineStr">
        <is>
          <t>Compras</t>
        </is>
      </c>
      <c r="H32" s="218" t="inlineStr">
        <is>
          <t>ABERTA</t>
        </is>
      </c>
      <c r="I32" s="220" t="n"/>
      <c r="J32" s="269" t="inlineStr">
        <is>
          <t>META DE COMPRA REV01, pacote BOMBA; escopo da cotação: estudo 342 REV13, aba 17</t>
        </is>
      </c>
      <c r="K32" s="221">
        <f>IF(OR($B32="",$H32="RESOLVIDA",$M32="RISCO",AND($F32="",$U32="")),"",IF($U32&lt;&gt;"",$U32,$F32)-DATA_GESTAO)</f>
        <v>127</v>
      </c>
      <c r="L32" s="222" t="str">
        <f>IF($B32="","",IF($H32="RESOLVIDA","RESOLVIDA",IF($M32="RISCO","RISCO",IF($K32="","SEM PRAZO",IF($K32&lt;0,"VENCIDA",IF($G32="","SEM DONO",IF($K32&lt;=7,"ESTA SEMANA",IF($K32&lt;=42,"PRÓXIMAS 6 SEMANAS","NO PRAZO"))))))))</f>
        <v>NO PRAZO</v>
      </c>
      <c r="M32" s="218" t="inlineStr">
        <is>
          <t>RESTRIÇÃO</t>
        </is>
      </c>
      <c r="N32" s="235" t="n"/>
      <c r="O32" s="271" t="n"/>
      <c r="P32" s="235" t="n"/>
      <c r="Q32" s="267">
        <f>IF($B32="","",IF(AND($N32="",$O32=""),IF($M32="RISCO","SEM BASE",""),IF(AND(ISNUMBER($N32),ISNUMBER($O32)),ROUND($N32*$O32/5,0),"SEM BASE")))</f>
      </c>
      <c r="R32" s="298" t="n"/>
      <c r="S32" s="298" t="n"/>
      <c r="T32" s="218" t="n"/>
      <c r="U32" s="220" t="n"/>
      <c r="V32" s="235" t="n"/>
      <c r="W32" s="221">
        <f>IF(AND(ISNUMBER($Q32),$H32&lt;&gt;"RESOLVIDA"),COUNTIFS($Q$5:$Q$204,"&gt;"&amp;$Q32,$H$5:$H$204,"&lt;&gt;RESOLVIDA")+COUNTIFS($Q$5:$Q32,$Q32,$H$5:$H32,"&lt;&gt;RESOLVIDA"),"")</f>
      </c>
    </row>
    <row r="33">
      <c r="A33" s="218" t="inlineStr">
        <is>
          <t>R29</t>
        </is>
      </c>
      <c r="B33" s="218" t="inlineStr">
        <is>
          <t>342</t>
        </is>
      </c>
      <c r="C33" s="218" t="inlineStr">
        <is>
          <t>3.7.2</t>
        </is>
      </c>
      <c r="D33" s="298" t="inlineStr">
        <is>
          <t>Urbanização contratada: bloquete, meio-fio, cerca, portão (pacote URB)</t>
        </is>
      </c>
      <c r="E33" s="218" t="inlineStr">
        <is>
          <t>INTERNA</t>
        </is>
      </c>
      <c r="F33" s="220" t="n">
        <v>46496</v>
      </c>
      <c r="G33" s="218" t="inlineStr">
        <is>
          <t>Marko Aurélio</t>
        </is>
      </c>
      <c r="H33" s="218" t="inlineStr">
        <is>
          <t>ABERTA</t>
        </is>
      </c>
      <c r="I33" s="220" t="n"/>
      <c r="J33" s="269" t="inlineStr">
        <is>
          <t>META DE COMPRA REV01, pacote URB</t>
        </is>
      </c>
      <c r="K33" s="221">
        <f>IF(OR($B33="",$H33="RESOLVIDA",$M33="RISCO",AND($F33="",$U33="")),"",IF($U33&lt;&gt;"",$U33,$F33)-DATA_GESTAO)</f>
        <v>185</v>
      </c>
      <c r="L33" s="222" t="str">
        <f>IF($B33="","",IF($H33="RESOLVIDA","RESOLVIDA",IF($M33="RISCO","RISCO",IF($K33="","SEM PRAZO",IF($K33&lt;0,"VENCIDA",IF($G33="","SEM DONO",IF($K33&lt;=7,"ESTA SEMANA",IF($K33&lt;=42,"PRÓXIMAS 6 SEMANAS","NO PRAZO"))))))))</f>
        <v>NO PRAZO</v>
      </c>
      <c r="M33" s="218" t="inlineStr">
        <is>
          <t>RESTRIÇÃO</t>
        </is>
      </c>
      <c r="N33" s="235" t="n"/>
      <c r="O33" s="271" t="n"/>
      <c r="P33" s="235" t="n"/>
      <c r="Q33" s="267">
        <f>IF($B33="","",IF(AND($N33="",$O33=""),IF($M33="RISCO","SEM BASE",""),IF(AND(ISNUMBER($N33),ISNUMBER($O33)),ROUND($N33*$O33/5,0),"SEM BASE")))</f>
      </c>
      <c r="R33" s="298" t="n"/>
      <c r="S33" s="298" t="n"/>
      <c r="T33" s="218" t="n"/>
      <c r="U33" s="220" t="n"/>
      <c r="V33" s="235" t="n"/>
      <c r="W33" s="221">
        <f>IF(AND(ISNUMBER($Q33),$H33&lt;&gt;"RESOLVIDA"),COUNTIFS($Q$5:$Q$204,"&gt;"&amp;$Q33,$H$5:$H$204,"&lt;&gt;RESOLVIDA")+COUNTIFS($Q$5:$Q33,$Q33,$H$5:$H33,"&lt;&gt;RESOLVIDA"),"")</f>
      </c>
    </row>
    <row r="34">
      <c r="A34" s="218" t="inlineStr">
        <is>
          <t>R30</t>
        </is>
      </c>
      <c r="B34" s="218" t="inlineStr">
        <is>
          <t>342</t>
        </is>
      </c>
      <c r="C34" s="218" t="inlineStr">
        <is>
          <t>BM</t>
        </is>
      </c>
      <c r="D34" s="298" t="inlineStr">
        <is>
          <t>Regra de medição aceita pela fiscalização: período de 21 a 20, BM2 no corte de 20/10 (numeração do Plano de Trabalho, Anexo 4) e divisão dos eventos por trechos, instalação e testes (proposta de eventograma)</t>
        </is>
      </c>
      <c r="E34" s="218" t="inlineStr">
        <is>
          <t>CLIENTE</t>
        </is>
      </c>
      <c r="F34" s="220" t="n">
        <v>46311</v>
      </c>
      <c r="G34" s="218" t="inlineStr">
        <is>
          <t>Alecio, Thadeu e Felipe</t>
        </is>
      </c>
      <c r="H34" s="218" t="inlineStr">
        <is>
          <t>ABERTA</t>
        </is>
      </c>
      <c r="I34" s="220" t="n"/>
      <c r="J34" s="269" t="inlineStr">
        <is>
          <t>ACOMPANHAMENTO P25 e P28; reunião com Raimundo e Dantas; donos pela lista do Felipe (15/10: resolver eventograma). A P24 diz o contrário desta linha: nada é medido antes de 03/11 e o 1º BM vai de 21/11 a 20/12. O estudo REV13 e esta aba usam BM2 no corte de 20/10. Thadeu e Felipe fixam uma posição escrita antes da reunião, com base no Anexo VII, Seção 3, último parágrafo (auditoria 15/10, CC-01). Proposta: panorama/EVENTOGRAMA 49-2024 REV04 - PROPOSTA - CT 30000196-2026 (15/10, 13:08): só a divisão dos eventos, sem pedido de material em canteiro (o edital não prevê, R80). Esta aba segue os códigos do Anexo VII até a SANEAGO aprovar</t>
        </is>
      </c>
      <c r="K34" s="221">
        <f>IF(OR($B34="",$H34="RESOLVIDA",$M34="RISCO",AND($F34="",$U34="")),"",IF($U34&lt;&gt;"",$U34,$F34)-DATA_GESTAO)</f>
        <v>0</v>
      </c>
      <c r="L34" s="222" t="str">
        <f>IF($B34="","",IF($H34="RESOLVIDA","RESOLVIDA",IF($M34="RISCO","RISCO",IF($K34="","SEM PRAZO",IF($K34&lt;0,"VENCIDA",IF($G34="","SEM DONO",IF($K34&lt;=7,"ESTA SEMANA",IF($K34&lt;=42,"PRÓXIMAS 6 SEMANAS","NO PRAZO"))))))))</f>
        <v>ESTA SEMANA</v>
      </c>
      <c r="M34" s="218" t="inlineStr">
        <is>
          <t>RESTRIÇÃO</t>
        </is>
      </c>
      <c r="N34" s="235" t="n"/>
      <c r="O34" s="271" t="n"/>
      <c r="P34" s="235" t="n"/>
      <c r="Q34" s="267">
        <f>IF($B34="","",IF(AND($N34="",$O34=""),IF($M34="RISCO","SEM BASE",""),IF(AND(ISNUMBER($N34),ISNUMBER($O34)),ROUND($N34*$O34/5,0),"SEM BASE")))</f>
      </c>
      <c r="R34" s="298" t="inlineStr">
        <is>
          <t>Posição escrita de Thadeu e Felipe antes da reunião. A fiscalização recebe só o pdf da Rev04 e a lista de marcos (auditoria, R3R-02). Sem parcela mensal fixa: o contrato veda (Cláusula Quinta, Parágrafo Vigésimo Terceiro; lista A, A09)</t>
        </is>
      </c>
      <c r="S34" s="298" t="n"/>
      <c r="T34" s="218" t="n"/>
      <c r="U34" s="220" t="n"/>
      <c r="V34" s="235" t="n"/>
      <c r="W34" s="221">
        <f>IF(AND(ISNUMBER($Q34),$H34&lt;&gt;"RESOLVIDA"),COUNTIFS($Q$5:$Q$204,"&gt;"&amp;$Q34,$H$5:$H$204,"&lt;&gt;RESOLVIDA")+COUNTIFS($Q$5:$Q34,$Q34,$H$5:$H34,"&lt;&gt;RESOLVIDA"),"")</f>
      </c>
    </row>
    <row r="35">
      <c r="A35" s="218" t="inlineStr">
        <is>
          <t>R31</t>
        </is>
      </c>
      <c r="B35" s="218" t="inlineStr">
        <is>
          <t>342</t>
        </is>
      </c>
      <c r="C35" s="218" t="inlineStr">
        <is>
          <t>BM</t>
        </is>
      </c>
      <c r="D35" s="298" t="inlineStr">
        <is>
          <t>Pedido de reajuste da 342 (Cláusula Sétima, data-base out/2023): abrir o documento da pasta 02 - Legal e Regulatório/Aditivo antes de 20/10 e registrar número e data do protocolo, ou não protocolado, na 03. CONTRATOS (bloco REAJUSTE POR OBRA)</t>
        </is>
      </c>
      <c r="E35" s="218" t="inlineStr">
        <is>
          <t>INTERNA</t>
        </is>
      </c>
      <c r="F35" s="220" t="n">
        <v>46315</v>
      </c>
      <c r="G35" s="218" t="inlineStr">
        <is>
          <t>Tiago Marinho e Financeiro TAF</t>
        </is>
      </c>
      <c r="H35" s="218" t="inlineStr">
        <is>
          <t>ABERTA</t>
        </is>
      </c>
      <c r="I35" s="220" t="n"/>
      <c r="J35" s="269" t="inlineStr">
        <is>
          <t>Estudo REV13, aba 23. Os arquivos se contradizem: 03 B19 e ACOMPANHAMENTO B21 dizem em tramitação; o REV13 17 G7 manda pedir antes do BM01 (auditoria 15/10, item 7). O estudo interno estima R$ 412.721 de reajuste (REV13 00 E38). Prazo: junto com o BM2 (corte de 20/10)</t>
        </is>
      </c>
      <c r="K35" s="221">
        <f>IF(OR($B35="",$H35="RESOLVIDA",$M35="RISCO",AND($F35="",$U35="")),"",IF($U35&lt;&gt;"",$U35,$F35)-DATA_GESTAO)</f>
        <v>4</v>
      </c>
      <c r="L35" s="222" t="str">
        <f>IF($B35="","",IF($H35="RESOLVIDA","RESOLVIDA",IF($M35="RISCO","RISCO",IF($K35="","SEM PRAZO",IF($K35&lt;0,"VENCIDA",IF($G35="","SEM DONO",IF($K35&lt;=7,"ESTA SEMANA",IF($K35&lt;=42,"PRÓXIMAS 6 SEMANAS","NO PRAZO"))))))))</f>
        <v>ESTA SEMANA</v>
      </c>
      <c r="M35" s="218" t="inlineStr">
        <is>
          <t>RESTRIÇÃO</t>
        </is>
      </c>
      <c r="N35" s="235" t="n"/>
      <c r="O35" s="271" t="n"/>
      <c r="P35" s="235" t="n"/>
      <c r="Q35" s="267">
        <f>IF($B35="","",IF(AND($N35="",$O35=""),IF($M35="RISCO","SEM BASE",""),IF(AND(ISNUMBER($N35),ISNUMBER($O35)),ROUND($N35*$O35/5,0),"SEM BASE")))</f>
      </c>
      <c r="R35" s="298" t="n"/>
      <c r="S35" s="298" t="n"/>
      <c r="T35" s="218" t="n"/>
      <c r="U35" s="220" t="n"/>
      <c r="V35" s="235" t="n"/>
      <c r="W35" s="221">
        <f>IF(AND(ISNUMBER($Q35),$H35&lt;&gt;"RESOLVIDA"),COUNTIFS($Q$5:$Q$204,"&gt;"&amp;$Q35,$H$5:$H$204,"&lt;&gt;RESOLVIDA")+COUNTIFS($Q$5:$Q35,$Q35,$H$5:$H35,"&lt;&gt;RESOLVIDA"),"")</f>
      </c>
    </row>
    <row r="36">
      <c r="A36" s="218" t="inlineStr">
        <is>
          <t>R32</t>
        </is>
      </c>
      <c r="B36" s="218" t="inlineStr">
        <is>
          <t>342</t>
        </is>
      </c>
      <c r="C36" s="218" t="inlineStr">
        <is>
          <t>APONT</t>
        </is>
      </c>
      <c r="D36" s="298" t="inlineStr">
        <is>
          <t>Apontador da 342 nomeado (presença diária por nome, função e frente)</t>
        </is>
      </c>
      <c r="E36" s="218" t="inlineStr">
        <is>
          <t>INTERNA</t>
        </is>
      </c>
      <c r="F36" s="220" t="n">
        <v>46311</v>
      </c>
      <c r="G36" s="218" t="inlineStr">
        <is>
          <t>Felipe</t>
        </is>
      </c>
      <c r="H36" s="218" t="inlineStr">
        <is>
          <t>ABERTA</t>
        </is>
      </c>
      <c r="I36" s="220" t="n"/>
      <c r="J36" s="269" t="inlineStr">
        <is>
          <t>ACOMPANHAMENTO P37</t>
        </is>
      </c>
      <c r="K36" s="221">
        <f>IF(OR($B36="",$H36="RESOLVIDA",$M36="RISCO",AND($F36="",$U36="")),"",IF($U36&lt;&gt;"",$U36,$F36)-DATA_GESTAO)</f>
        <v>0</v>
      </c>
      <c r="L36" s="222" t="str">
        <f>IF($B36="","",IF($H36="RESOLVIDA","RESOLVIDA",IF($M36="RISCO","RISCO",IF($K36="","SEM PRAZO",IF($K36&lt;0,"VENCIDA",IF($G36="","SEM DONO",IF($K36&lt;=7,"ESTA SEMANA",IF($K36&lt;=42,"PRÓXIMAS 6 SEMANAS","NO PRAZO"))))))))</f>
        <v>ESTA SEMANA</v>
      </c>
      <c r="M36" s="218" t="inlineStr">
        <is>
          <t>RESTRIÇÃO</t>
        </is>
      </c>
      <c r="N36" s="235" t="n"/>
      <c r="O36" s="271" t="n"/>
      <c r="P36" s="235" t="n"/>
      <c r="Q36" s="267">
        <f>IF($B36="","",IF(AND($N36="",$O36=""),IF($M36="RISCO","SEM BASE",""),IF(AND(ISNUMBER($N36),ISNUMBER($O36)),ROUND($N36*$O36/5,0),"SEM BASE")))</f>
      </c>
      <c r="R36" s="298" t="n"/>
      <c r="S36" s="298" t="n"/>
      <c r="T36" s="218" t="n"/>
      <c r="U36" s="220" t="n"/>
      <c r="V36" s="235" t="n"/>
      <c r="W36" s="221">
        <f>IF(AND(ISNUMBER($Q36),$H36&lt;&gt;"RESOLVIDA"),COUNTIFS($Q$5:$Q$204,"&gt;"&amp;$Q36,$H$5:$H$204,"&lt;&gt;RESOLVIDA")+COUNTIFS($Q$5:$Q36,$Q36,$H$5:$H36,"&lt;&gt;RESOLVIDA"),"")</f>
      </c>
    </row>
    <row r="37">
      <c r="A37" s="218" t="inlineStr">
        <is>
          <t>R33</t>
        </is>
      </c>
      <c r="B37" s="218" t="inlineStr">
        <is>
          <t>342</t>
        </is>
      </c>
      <c r="C37" s="218" t="inlineStr">
        <is>
          <t>APONT</t>
        </is>
      </c>
      <c r="D37" s="298" t="inlineStr">
        <is>
          <t>Quem lança os custos pagos da 342 na 08, com obra e conta, definido</t>
        </is>
      </c>
      <c r="E37" s="218" t="inlineStr">
        <is>
          <t>INTERNA</t>
        </is>
      </c>
      <c r="F37" s="220" t="n">
        <v>46311</v>
      </c>
      <c r="G37" s="218" t="inlineStr">
        <is>
          <t>Felipe</t>
        </is>
      </c>
      <c r="H37" s="218" t="inlineStr">
        <is>
          <t>ABERTA</t>
        </is>
      </c>
      <c r="I37" s="220" t="n"/>
      <c r="J37" s="269" t="inlineStr">
        <is>
          <t>ACOMPANHAMENTO P40</t>
        </is>
      </c>
      <c r="K37" s="221">
        <f>IF(OR($B37="",$H37="RESOLVIDA",$M37="RISCO",AND($F37="",$U37="")),"",IF($U37&lt;&gt;"",$U37,$F37)-DATA_GESTAO)</f>
        <v>0</v>
      </c>
      <c r="L37" s="222" t="str">
        <f>IF($B37="","",IF($H37="RESOLVIDA","RESOLVIDA",IF($M37="RISCO","RISCO",IF($K37="","SEM PRAZO",IF($K37&lt;0,"VENCIDA",IF($G37="","SEM DONO",IF($K37&lt;=7,"ESTA SEMANA",IF($K37&lt;=42,"PRÓXIMAS 6 SEMANAS","NO PRAZO"))))))))</f>
        <v>ESTA SEMANA</v>
      </c>
      <c r="M37" s="218" t="inlineStr">
        <is>
          <t>RESTRIÇÃO</t>
        </is>
      </c>
      <c r="N37" s="235" t="n"/>
      <c r="O37" s="271" t="n"/>
      <c r="P37" s="235" t="n"/>
      <c r="Q37" s="267">
        <f>IF($B37="","",IF(AND($N37="",$O37=""),IF($M37="RISCO","SEM BASE",""),IF(AND(ISNUMBER($N37),ISNUMBER($O37)),ROUND($N37*$O37/5,0),"SEM BASE")))</f>
      </c>
      <c r="R37" s="298" t="n"/>
      <c r="S37" s="298" t="n"/>
      <c r="T37" s="218" t="n"/>
      <c r="U37" s="220" t="n"/>
      <c r="V37" s="235" t="n"/>
      <c r="W37" s="221">
        <f>IF(AND(ISNUMBER($Q37),$H37&lt;&gt;"RESOLVIDA"),COUNTIFS($Q$5:$Q$204,"&gt;"&amp;$Q37,$H$5:$H$204,"&lt;&gt;RESOLVIDA")+COUNTIFS($Q$5:$Q37,$Q37,$H$5:$H37,"&lt;&gt;RESOLVIDA"),"")</f>
      </c>
    </row>
    <row r="38">
      <c r="A38" s="218" t="inlineStr">
        <is>
          <t>R34</t>
        </is>
      </c>
      <c r="B38" s="218" t="inlineStr">
        <is>
          <t>342</t>
        </is>
      </c>
      <c r="C38" s="218" t="inlineStr">
        <is>
          <t>3.1.1</t>
        </is>
      </c>
      <c r="D38" s="298" t="inlineStr">
        <is>
          <t>Jornada definida (7 dias ou segunda a sexta): muda as durações do plano</t>
        </is>
      </c>
      <c r="E38" s="218" t="inlineStr">
        <is>
          <t>INTERNA</t>
        </is>
      </c>
      <c r="F38" s="220" t="n">
        <v>46311</v>
      </c>
      <c r="G38" s="218" t="inlineStr">
        <is>
          <t>Thadeu</t>
        </is>
      </c>
      <c r="H38" s="218" t="inlineStr">
        <is>
          <t>ABERTA</t>
        </is>
      </c>
      <c r="I38" s="220" t="n"/>
      <c r="J38" s="269" t="inlineStr">
        <is>
          <t>ACOMPANHAMENTO P20</t>
        </is>
      </c>
      <c r="K38" s="221">
        <f>IF(OR($B38="",$H38="RESOLVIDA",$M38="RISCO",AND($F38="",$U38="")),"",IF($U38&lt;&gt;"",$U38,$F38)-DATA_GESTAO)</f>
        <v>0</v>
      </c>
      <c r="L38" s="222" t="str">
        <f>IF($B38="","",IF($H38="RESOLVIDA","RESOLVIDA",IF($M38="RISCO","RISCO",IF($K38="","SEM PRAZO",IF($K38&lt;0,"VENCIDA",IF($G38="","SEM DONO",IF($K38&lt;=7,"ESTA SEMANA",IF($K38&lt;=42,"PRÓXIMAS 6 SEMANAS","NO PRAZO"))))))))</f>
        <v>ESTA SEMANA</v>
      </c>
      <c r="M38" s="218" t="inlineStr">
        <is>
          <t>RESTRIÇÃO</t>
        </is>
      </c>
      <c r="N38" s="235" t="n"/>
      <c r="O38" s="271" t="n"/>
      <c r="P38" s="235" t="n"/>
      <c r="Q38" s="267">
        <f>IF($B38="","",IF(AND($N38="",$O38=""),IF($M38="RISCO","SEM BASE",""),IF(AND(ISNUMBER($N38),ISNUMBER($O38)),ROUND($N38*$O38/5,0),"SEM BASE")))</f>
      </c>
      <c r="R38" s="298" t="n"/>
      <c r="S38" s="298" t="n"/>
      <c r="T38" s="218" t="n"/>
      <c r="U38" s="220" t="n"/>
      <c r="V38" s="235" t="n"/>
      <c r="W38" s="221">
        <f>IF(AND(ISNUMBER($Q38),$H38&lt;&gt;"RESOLVIDA"),COUNTIFS($Q$5:$Q$204,"&gt;"&amp;$Q38,$H$5:$H$204,"&lt;&gt;RESOLVIDA")+COUNTIFS($Q$5:$Q38,$Q38,$H$5:$H38,"&lt;&gt;RESOLVIDA"),"")</f>
      </c>
    </row>
    <row r="39">
      <c r="A39" s="218" t="inlineStr">
        <is>
          <t>R35</t>
        </is>
      </c>
      <c r="B39" s="218" t="inlineStr">
        <is>
          <t>342</t>
        </is>
      </c>
      <c r="C39" s="218" t="inlineStr">
        <is>
          <t>APONT</t>
        </is>
      </c>
      <c r="D39" s="298" t="inlineStr">
        <is>
          <t>Reunião semanal de obra fixada (dia, hora e participantes)</t>
        </is>
      </c>
      <c r="E39" s="218" t="inlineStr">
        <is>
          <t>INTERNA</t>
        </is>
      </c>
      <c r="F39" s="220" t="n">
        <v>46314</v>
      </c>
      <c r="G39" s="218" t="inlineStr">
        <is>
          <t>Tiago Marinho</t>
        </is>
      </c>
      <c r="H39" s="218" t="inlineStr">
        <is>
          <t>ABERTA</t>
        </is>
      </c>
      <c r="I39" s="220" t="n"/>
      <c r="J39" s="269" t="inlineStr">
        <is>
          <t>ACOMPANHAMENTO P39</t>
        </is>
      </c>
      <c r="K39" s="221">
        <f>IF(OR($B39="",$H39="RESOLVIDA",$M39="RISCO",AND($F39="",$U39="")),"",IF($U39&lt;&gt;"",$U39,$F39)-DATA_GESTAO)</f>
        <v>3</v>
      </c>
      <c r="L39" s="222" t="str">
        <f>IF($B39="","",IF($H39="RESOLVIDA","RESOLVIDA",IF($M39="RISCO","RISCO",IF($K39="","SEM PRAZO",IF($K39&lt;0,"VENCIDA",IF($G39="","SEM DONO",IF($K39&lt;=7,"ESTA SEMANA",IF($K39&lt;=42,"PRÓXIMAS 6 SEMANAS","NO PRAZO"))))))))</f>
        <v>ESTA SEMANA</v>
      </c>
      <c r="M39" s="218" t="inlineStr">
        <is>
          <t>RESTRIÇÃO</t>
        </is>
      </c>
      <c r="N39" s="235" t="n"/>
      <c r="O39" s="271" t="n"/>
      <c r="P39" s="235" t="n"/>
      <c r="Q39" s="267">
        <f>IF($B39="","",IF(AND($N39="",$O39=""),IF($M39="RISCO","SEM BASE",""),IF(AND(ISNUMBER($N39),ISNUMBER($O39)),ROUND($N39*$O39/5,0),"SEM BASE")))</f>
      </c>
      <c r="R39" s="298" t="n"/>
      <c r="S39" s="298" t="n"/>
      <c r="T39" s="218" t="n"/>
      <c r="U39" s="220" t="n"/>
      <c r="V39" s="235" t="n"/>
      <c r="W39" s="221">
        <f>IF(AND(ISNUMBER($Q39),$H39&lt;&gt;"RESOLVIDA"),COUNTIFS($Q$5:$Q$204,"&gt;"&amp;$Q39,$H$5:$H$204,"&lt;&gt;RESOLVIDA")+COUNTIFS($Q$5:$Q39,$Q39,$H$5:$H39,"&lt;&gt;RESOLVIDA"),"")</f>
      </c>
    </row>
    <row r="40">
      <c r="A40" s="218" t="inlineStr">
        <is>
          <t>R36</t>
        </is>
      </c>
      <c r="B40" s="218" t="inlineStr">
        <is>
          <t>343</t>
        </is>
      </c>
      <c r="C40" s="218" t="inlineStr">
        <is>
          <t>PEAD</t>
        </is>
      </c>
      <c r="D40" s="298" t="inlineStr">
        <is>
          <t>Metros de PEAD executados desde o início lançados no apontamento, para medir o ritmo real contra 80 m/dia</t>
        </is>
      </c>
      <c r="E40" s="218" t="inlineStr">
        <is>
          <t>INTERNA</t>
        </is>
      </c>
      <c r="F40" s="220" t="n">
        <v>46314</v>
      </c>
      <c r="G40" s="218" t="inlineStr">
        <is>
          <t>Gerente da 343</t>
        </is>
      </c>
      <c r="H40" s="218" t="inlineStr">
        <is>
          <t>ABERTA</t>
        </is>
      </c>
      <c r="I40" s="220" t="n"/>
      <c r="J40" s="269" t="inlineStr">
        <is>
          <t>KIT DE ROTINA - SUBSTITUÍDO; caderno de apontamento da 343 vazio desde 28/09</t>
        </is>
      </c>
      <c r="K40" s="221">
        <f>IF(OR($B40="",$H40="RESOLVIDA",$M40="RISCO",AND($F40="",$U40="")),"",IF($U40&lt;&gt;"",$U40,$F40)-DATA_GESTAO)</f>
        <v>3</v>
      </c>
      <c r="L40" s="222" t="str">
        <f>IF($B40="","",IF($H40="RESOLVIDA","RESOLVIDA",IF($M40="RISCO","RISCO",IF($K40="","SEM PRAZO",IF($K40&lt;0,"VENCIDA",IF($G40="","SEM DONO",IF($K40&lt;=7,"ESTA SEMANA",IF($K40&lt;=42,"PRÓXIMAS 6 SEMANAS","NO PRAZO"))))))))</f>
        <v>ESTA SEMANA</v>
      </c>
      <c r="M40" s="218" t="inlineStr">
        <is>
          <t>RESTRIÇÃO</t>
        </is>
      </c>
      <c r="N40" s="235" t="n"/>
      <c r="O40" s="271" t="n"/>
      <c r="P40" s="235" t="n"/>
      <c r="Q40" s="267">
        <f>IF($B40="","",IF(AND($N40="",$O40=""),IF($M40="RISCO","SEM BASE",""),IF(AND(ISNUMBER($N40),ISNUMBER($O40)),ROUND($N40*$O40/5,0),"SEM BASE")))</f>
      </c>
      <c r="R40" s="298" t="n"/>
      <c r="S40" s="298" t="n"/>
      <c r="T40" s="218" t="n"/>
      <c r="U40" s="220" t="n"/>
      <c r="V40" s="235" t="n"/>
      <c r="W40" s="221">
        <f>IF(AND(ISNUMBER($Q40),$H40&lt;&gt;"RESOLVIDA"),COUNTIFS($Q$5:$Q$204,"&gt;"&amp;$Q40,$H$5:$H$204,"&lt;&gt;RESOLVIDA")+COUNTIFS($Q$5:$Q40,$Q40,$H$5:$H40,"&lt;&gt;RESOLVIDA"),"")</f>
      </c>
    </row>
    <row r="41">
      <c r="A41" s="218" t="inlineStr">
        <is>
          <t>R37</t>
        </is>
      </c>
      <c r="B41" s="218" t="inlineStr">
        <is>
          <t>343</t>
        </is>
      </c>
      <c r="C41" s="218" t="inlineStr">
        <is>
          <t>BM</t>
        </is>
      </c>
      <c r="D41" s="298" t="inlineStr">
        <is>
          <t>Valor que mede confirmado com a fiscalização: contrato (R$ 5.226.634,03) ou cronograma CAESB (R$ 5.279.428,34)</t>
        </is>
      </c>
      <c r="E41" s="218" t="inlineStr">
        <is>
          <t>CLIENTE</t>
        </is>
      </c>
      <c r="F41" s="220" t="n">
        <v>46325</v>
      </c>
      <c r="G41" s="218" t="inlineStr">
        <is>
          <t>Gerente da 343</t>
        </is>
      </c>
      <c r="H41" s="218" t="inlineStr">
        <is>
          <t>ABERTA</t>
        </is>
      </c>
      <c r="I41" s="220" t="n"/>
      <c r="J41" s="269" t="inlineStr">
        <is>
          <t>CHECKS DA OPERAÇÃO O10; prazo proposto: antes do BM de outubro</t>
        </is>
      </c>
      <c r="K41" s="221">
        <f>IF(OR($B41="",$H41="RESOLVIDA",$M41="RISCO",AND($F41="",$U41="")),"",IF($U41&lt;&gt;"",$U41,$F41)-DATA_GESTAO)</f>
        <v>14</v>
      </c>
      <c r="L41" s="222" t="str">
        <f>IF($B41="","",IF($H41="RESOLVIDA","RESOLVIDA",IF($M41="RISCO","RISCO",IF($K41="","SEM PRAZO",IF($K41&lt;0,"VENCIDA",IF($G41="","SEM DONO",IF($K41&lt;=7,"ESTA SEMANA",IF($K41&lt;=42,"PRÓXIMAS 6 SEMANAS","NO PRAZO"))))))))</f>
        <v>PRÓXIMAS 6 SEMANAS</v>
      </c>
      <c r="M41" s="218" t="inlineStr">
        <is>
          <t>RESTRIÇÃO</t>
        </is>
      </c>
      <c r="N41" s="235" t="n"/>
      <c r="O41" s="271" t="n"/>
      <c r="P41" s="235" t="n"/>
      <c r="Q41" s="267">
        <f>IF($B41="","",IF(AND($N41="",$O41=""),IF($M41="RISCO","SEM BASE",""),IF(AND(ISNUMBER($N41),ISNUMBER($O41)),ROUND($N41*$O41/5,0),"SEM BASE")))</f>
      </c>
      <c r="R41" s="298" t="n"/>
      <c r="S41" s="298" t="n"/>
      <c r="T41" s="218" t="n"/>
      <c r="U41" s="220" t="n"/>
      <c r="V41" s="235" t="n"/>
      <c r="W41" s="221">
        <f>IF(AND(ISNUMBER($Q41),$H41&lt;&gt;"RESOLVIDA"),COUNTIFS($Q$5:$Q$204,"&gt;"&amp;$Q41,$H$5:$H$204,"&lt;&gt;RESOLVIDA")+COUNTIFS($Q$5:$Q41,$Q41,$H$5:$H41,"&lt;&gt;RESOLVIDA"),"")</f>
      </c>
    </row>
    <row r="42">
      <c r="A42" s="218" t="inlineStr">
        <is>
          <t>R38</t>
        </is>
      </c>
      <c r="B42" s="218" t="inlineStr">
        <is>
          <t>343</t>
        </is>
      </c>
      <c r="C42" s="218" t="inlineStr">
        <is>
          <t>BM</t>
        </is>
      </c>
      <c r="D42" s="298" t="inlineStr">
        <is>
          <t>BM de outubro fechado com o fiscal (Rodolfo Siqueira de Brito) e NF protocolada no 1º dia útil de novembro</t>
        </is>
      </c>
      <c r="E42" s="218" t="inlineStr">
        <is>
          <t>CLIENTE</t>
        </is>
      </c>
      <c r="F42" s="220" t="n">
        <v>46329</v>
      </c>
      <c r="G42" s="218" t="inlineStr">
        <is>
          <t>Gerente da 343</t>
        </is>
      </c>
      <c r="H42" s="218" t="inlineStr">
        <is>
          <t>ABERTA</t>
        </is>
      </c>
      <c r="I42" s="220" t="n"/>
      <c r="J42" s="269" t="inlineStr">
        <is>
          <t>03. CONTRATOS (343, prazo de pagamento); 04. PLANO DAS OBRAS linha 18 (out/26)</t>
        </is>
      </c>
      <c r="K42" s="221">
        <f>IF(OR($B42="",$H42="RESOLVIDA",$M42="RISCO",AND($F42="",$U42="")),"",IF($U42&lt;&gt;"",$U42,$F42)-DATA_GESTAO)</f>
        <v>18</v>
      </c>
      <c r="L42" s="222" t="str">
        <f>IF($B42="","",IF($H42="RESOLVIDA","RESOLVIDA",IF($M42="RISCO","RISCO",IF($K42="","SEM PRAZO",IF($K42&lt;0,"VENCIDA",IF($G42="","SEM DONO",IF($K42&lt;=7,"ESTA SEMANA",IF($K42&lt;=42,"PRÓXIMAS 6 SEMANAS","NO PRAZO"))))))))</f>
        <v>PRÓXIMAS 6 SEMANAS</v>
      </c>
      <c r="M42" s="218" t="inlineStr">
        <is>
          <t>RESTRIÇÃO</t>
        </is>
      </c>
      <c r="N42" s="235" t="n"/>
      <c r="O42" s="271" t="n"/>
      <c r="P42" s="235" t="n"/>
      <c r="Q42" s="267">
        <f>IF($B42="","",IF(AND($N42="",$O42=""),IF($M42="RISCO","SEM BASE",""),IF(AND(ISNUMBER($N42),ISNUMBER($O42)),ROUND($N42*$O42/5,0),"SEM BASE")))</f>
      </c>
      <c r="R42" s="298" t="n"/>
      <c r="S42" s="298" t="n"/>
      <c r="T42" s="218" t="n"/>
      <c r="U42" s="220" t="n"/>
      <c r="V42" s="235" t="n"/>
      <c r="W42" s="221">
        <f>IF(AND(ISNUMBER($Q42),$H42&lt;&gt;"RESOLVIDA"),COUNTIFS($Q$5:$Q$204,"&gt;"&amp;$Q42,$H$5:$H$204,"&lt;&gt;RESOLVIDA")+COUNTIFS($Q$5:$Q42,$Q42,$H$5:$H42,"&lt;&gt;RESOLVIDA"),"")</f>
      </c>
    </row>
    <row r="43">
      <c r="A43" s="218" t="inlineStr">
        <is>
          <t>R39</t>
        </is>
      </c>
      <c r="B43" s="218" t="inlineStr">
        <is>
          <t>343</t>
        </is>
      </c>
      <c r="C43" s="218" t="inlineStr">
        <is>
          <t>PEAD</t>
        </is>
      </c>
      <c r="D43" s="298" t="inlineStr">
        <is>
          <t>Ofício ao fiscal Rodolfo Siqueira de Brito antes da próxima junta, pedindo item novo de junta por termofusão DN 560 (a planilha de itens só tem 52 juntas por eletrofusão, B229 e B231); cada junta registrada no diário. Valor (estimativa da auditoria): 184 juntas, R$ 155 a 217 mil de custo e R$ 183 a 256 mil de receita com aditivo</t>
        </is>
      </c>
      <c r="E43" s="218" t="inlineStr">
        <is>
          <t>CLIENTE</t>
        </is>
      </c>
      <c r="F43" s="220" t="n">
        <v>46314</v>
      </c>
      <c r="G43" s="218" t="inlineStr">
        <is>
          <t>Felipe</t>
        </is>
      </c>
      <c r="H43" s="218" t="inlineStr">
        <is>
          <t>ABERTA</t>
        </is>
      </c>
      <c r="I43" s="220" t="n"/>
      <c r="J43" s="269" t="inlineStr">
        <is>
          <t>Viabilidade 343, RESUMO G26 e A24 (aditivo a ser feito); auditoria 15/10, item 6. Prazo proposto: antes da próxima junta</t>
        </is>
      </c>
      <c r="K43" s="221">
        <f>IF(OR($B43="",$H43="RESOLVIDA",$M43="RISCO",AND($F43="",$U43="")),"",IF($U43&lt;&gt;"",$U43,$F43)-DATA_GESTAO)</f>
        <v>3</v>
      </c>
      <c r="L43" s="222" t="str">
        <f>IF($B43="","",IF($H43="RESOLVIDA","RESOLVIDA",IF($M43="RISCO","RISCO",IF($K43="","SEM PRAZO",IF($K43&lt;0,"VENCIDA",IF($G43="","SEM DONO",IF($K43&lt;=7,"ESTA SEMANA",IF($K43&lt;=42,"PRÓXIMAS 6 SEMANAS","NO PRAZO"))))))))</f>
        <v>ESTA SEMANA</v>
      </c>
      <c r="M43" s="218" t="inlineStr">
        <is>
          <t>RESTRIÇÃO</t>
        </is>
      </c>
      <c r="N43" s="235" t="n"/>
      <c r="O43" s="271" t="n"/>
      <c r="P43" s="235" t="n"/>
      <c r="Q43" s="267">
        <f>IF($B43="","",IF(AND($N43="",$O43=""),IF($M43="RISCO","SEM BASE",""),IF(AND(ISNUMBER($N43),ISNUMBER($O43)),ROUND($N43*$O43/5,0),"SEM BASE")))</f>
      </c>
      <c r="R43" s="298" t="n"/>
      <c r="S43" s="298" t="n"/>
      <c r="T43" s="218" t="n"/>
      <c r="U43" s="220" t="n"/>
      <c r="V43" s="235" t="n"/>
      <c r="W43" s="221">
        <f>IF(AND(ISNUMBER($Q43),$H43&lt;&gt;"RESOLVIDA"),COUNTIFS($Q$5:$Q$204,"&gt;"&amp;$Q43,$H$5:$H$204,"&lt;&gt;RESOLVIDA")+COUNTIFS($Q$5:$Q43,$Q43,$H$5:$H43,"&lt;&gt;RESOLVIDA"),"")</f>
      </c>
    </row>
    <row r="44">
      <c r="A44" s="218" t="inlineStr">
        <is>
          <t>R40</t>
        </is>
      </c>
      <c r="B44" s="218" t="inlineStr">
        <is>
          <t>343</t>
        </is>
      </c>
      <c r="C44" s="218" t="inlineStr">
        <is>
          <t>FOFO</t>
        </is>
      </c>
      <c r="D44" s="298" t="inlineStr">
        <is>
          <t>FoFo da 343 na obra para começar o trecho em FoFo em 17/11 (10 m/dia)</t>
        </is>
      </c>
      <c r="E44" s="218" t="inlineStr">
        <is>
          <t>FORNECEDOR</t>
        </is>
      </c>
      <c r="F44" s="220" t="n">
        <v>46343</v>
      </c>
      <c r="G44" s="218" t="inlineStr">
        <is>
          <t>Compras</t>
        </is>
      </c>
      <c r="H44" s="218" t="inlineStr">
        <is>
          <t>ABERTA</t>
        </is>
      </c>
      <c r="I44" s="220" t="n"/>
      <c r="J44" s="269" t="inlineStr">
        <is>
          <t>KIT DE ROTINA - SUBSTITUÍDO (343: PEAD até 17/11, depois FoFo)</t>
        </is>
      </c>
      <c r="K44" s="221">
        <f>IF(OR($B44="",$H44="RESOLVIDA",$M44="RISCO",AND($F44="",$U44="")),"",IF($U44&lt;&gt;"",$U44,$F44)-DATA_GESTAO)</f>
        <v>32</v>
      </c>
      <c r="L44" s="222" t="str">
        <f>IF($B44="","",IF($H44="RESOLVIDA","RESOLVIDA",IF($M44="RISCO","RISCO",IF($K44="","SEM PRAZO",IF($K44&lt;0,"VENCIDA",IF($G44="","SEM DONO",IF($K44&lt;=7,"ESTA SEMANA",IF($K44&lt;=42,"PRÓXIMAS 6 SEMANAS","NO PRAZO"))))))))</f>
        <v>PRÓXIMAS 6 SEMANAS</v>
      </c>
      <c r="M44" s="218" t="inlineStr">
        <is>
          <t>RESTRIÇÃO</t>
        </is>
      </c>
      <c r="N44" s="235" t="n"/>
      <c r="O44" s="271" t="n"/>
      <c r="P44" s="235" t="n"/>
      <c r="Q44" s="267">
        <f>IF($B44="","",IF(AND($N44="",$O44=""),IF($M44="RISCO","SEM BASE",""),IF(AND(ISNUMBER($N44),ISNUMBER($O44)),ROUND($N44*$O44/5,0),"SEM BASE")))</f>
      </c>
      <c r="R44" s="298" t="n"/>
      <c r="S44" s="298" t="n"/>
      <c r="T44" s="218" t="n"/>
      <c r="U44" s="220" t="n"/>
      <c r="V44" s="235" t="n"/>
      <c r="W44" s="221">
        <f>IF(AND(ISNUMBER($Q44),$H44&lt;&gt;"RESOLVIDA"),COUNTIFS($Q$5:$Q$204,"&gt;"&amp;$Q44,$H$5:$H$204,"&lt;&gt;RESOLVIDA")+COUNTIFS($Q$5:$Q44,$Q44,$H$5:$H44,"&lt;&gt;RESOLVIDA"),"")</f>
      </c>
    </row>
    <row r="45">
      <c r="A45" s="218" t="inlineStr">
        <is>
          <t>R41</t>
        </is>
      </c>
      <c r="B45" s="218" t="inlineStr">
        <is>
          <t>343</t>
        </is>
      </c>
      <c r="C45" s="218" t="inlineStr">
        <is>
          <t>ADM</t>
        </is>
      </c>
      <c r="D45" s="298" t="inlineStr">
        <is>
          <t>Prêmio do seguro-garantia (apólice 03-0775-0430794) lido no boleto</t>
        </is>
      </c>
      <c r="E45" s="218" t="inlineStr">
        <is>
          <t>INTERNA</t>
        </is>
      </c>
      <c r="F45" s="220" t="n">
        <v>46325</v>
      </c>
      <c r="G45" s="218" t="inlineStr">
        <is>
          <t>Administrativo</t>
        </is>
      </c>
      <c r="H45" s="218" t="inlineStr">
        <is>
          <t>ABERTA</t>
        </is>
      </c>
      <c r="I45" s="220" t="n"/>
      <c r="J45" s="269" t="inlineStr">
        <is>
          <t>03. CONTRATOS D16; 13. CHECKS item 11</t>
        </is>
      </c>
      <c r="K45" s="221">
        <f>IF(OR($B45="",$H45="RESOLVIDA",$M45="RISCO",AND($F45="",$U45="")),"",IF($U45&lt;&gt;"",$U45,$F45)-DATA_GESTAO)</f>
        <v>14</v>
      </c>
      <c r="L45" s="222" t="str">
        <f>IF($B45="","",IF($H45="RESOLVIDA","RESOLVIDA",IF($M45="RISCO","RISCO",IF($K45="","SEM PRAZO",IF($K45&lt;0,"VENCIDA",IF($G45="","SEM DONO",IF($K45&lt;=7,"ESTA SEMANA",IF($K45&lt;=42,"PRÓXIMAS 6 SEMANAS","NO PRAZO"))))))))</f>
        <v>PRÓXIMAS 6 SEMANAS</v>
      </c>
      <c r="M45" s="218" t="inlineStr">
        <is>
          <t>RESTRIÇÃO</t>
        </is>
      </c>
      <c r="N45" s="235" t="n"/>
      <c r="O45" s="271" t="n"/>
      <c r="P45" s="235" t="n"/>
      <c r="Q45" s="267">
        <f>IF($B45="","",IF(AND($N45="",$O45=""),IF($M45="RISCO","SEM BASE",""),IF(AND(ISNUMBER($N45),ISNUMBER($O45)),ROUND($N45*$O45/5,0),"SEM BASE")))</f>
      </c>
      <c r="R45" s="298" t="n"/>
      <c r="S45" s="298" t="n"/>
      <c r="T45" s="218" t="n"/>
      <c r="U45" s="220" t="n"/>
      <c r="V45" s="235" t="n"/>
      <c r="W45" s="221">
        <f>IF(AND(ISNUMBER($Q45),$H45&lt;&gt;"RESOLVIDA"),COUNTIFS($Q$5:$Q$204,"&gt;"&amp;$Q45,$H$5:$H$204,"&lt;&gt;RESOLVIDA")+COUNTIFS($Q$5:$Q45,$Q45,$H$5:$H45,"&lt;&gt;RESOLVIDA"),"")</f>
      </c>
    </row>
    <row r="46">
      <c r="A46" s="218" t="inlineStr">
        <is>
          <t>R42</t>
        </is>
      </c>
      <c r="B46" s="218" t="inlineStr">
        <is>
          <t>343</t>
        </is>
      </c>
      <c r="C46" s="218" t="inlineStr">
        <is>
          <t>APONT</t>
        </is>
      </c>
      <c r="D46" s="298" t="inlineStr">
        <is>
          <t>Gerente de contrato e apontador da 343 nomeados com nome (a obra roda desde 01/09 sem gerente; R36 a R38 e R99 esperam um nome)</t>
        </is>
      </c>
      <c r="E46" s="218" t="inlineStr">
        <is>
          <t>INTERNA</t>
        </is>
      </c>
      <c r="F46" s="220" t="n">
        <v>46314</v>
      </c>
      <c r="G46" s="218" t="inlineStr">
        <is>
          <t>Thadeu</t>
        </is>
      </c>
      <c r="H46" s="218" t="inlineStr">
        <is>
          <t>ABERTA</t>
        </is>
      </c>
      <c r="I46" s="220" t="n"/>
      <c r="J46" s="269" t="inlineStr">
        <is>
          <t>Papéis da 343 indefinidos (KIT DE ROTINA - SUBSTITUÍDO); auditoria 15/10, item 6 (nomear até 19/10; PAUTA A70)</t>
        </is>
      </c>
      <c r="K46" s="221">
        <f>IF(OR($B46="",$H46="RESOLVIDA",$M46="RISCO",AND($F46="",$U46="")),"",IF($U46&lt;&gt;"",$U46,$F46)-DATA_GESTAO)</f>
        <v>3</v>
      </c>
      <c r="L46" s="222" t="str">
        <f>IF($B46="","",IF($H46="RESOLVIDA","RESOLVIDA",IF($M46="RISCO","RISCO",IF($K46="","SEM PRAZO",IF($K46&lt;0,"VENCIDA",IF($G46="","SEM DONO",IF($K46&lt;=7,"ESTA SEMANA",IF($K46&lt;=42,"PRÓXIMAS 6 SEMANAS","NO PRAZO"))))))))</f>
        <v>ESTA SEMANA</v>
      </c>
      <c r="M46" s="218" t="inlineStr">
        <is>
          <t>RESTRIÇÃO</t>
        </is>
      </c>
      <c r="N46" s="235" t="n"/>
      <c r="O46" s="271" t="n"/>
      <c r="P46" s="235" t="n"/>
      <c r="Q46" s="267">
        <f>IF($B46="","",IF(AND($N46="",$O46=""),IF($M46="RISCO","SEM BASE",""),IF(AND(ISNUMBER($N46),ISNUMBER($O46)),ROUND($N46*$O46/5,0),"SEM BASE")))</f>
      </c>
      <c r="R46" s="298" t="n"/>
      <c r="S46" s="298" t="n"/>
      <c r="T46" s="218" t="n"/>
      <c r="U46" s="220" t="n"/>
      <c r="V46" s="235" t="n"/>
      <c r="W46" s="221">
        <f>IF(AND(ISNUMBER($Q46),$H46&lt;&gt;"RESOLVIDA"),COUNTIFS($Q$5:$Q$204,"&gt;"&amp;$Q46,$H$5:$H$204,"&lt;&gt;RESOLVIDA")+COUNTIFS($Q$5:$Q46,$Q46,$H$5:$H46,"&lt;&gt;RESOLVIDA"),"")</f>
      </c>
    </row>
    <row r="47">
      <c r="A47" s="218" t="inlineStr">
        <is>
          <t>R43</t>
        </is>
      </c>
      <c r="B47" s="218" t="inlineStr">
        <is>
          <t>343</t>
        </is>
      </c>
      <c r="C47" s="218" t="inlineStr">
        <is>
          <t>APONT</t>
        </is>
      </c>
      <c r="D47" s="298" t="inlineStr">
        <is>
          <t>Quem lança os custos pagos da 343 na 08, com obra e conta, definido</t>
        </is>
      </c>
      <c r="E47" s="218" t="inlineStr">
        <is>
          <t>INTERNA</t>
        </is>
      </c>
      <c r="F47" s="220" t="n">
        <v>46311</v>
      </c>
      <c r="G47" s="218" t="inlineStr">
        <is>
          <t>Felipe</t>
        </is>
      </c>
      <c r="H47" s="218" t="inlineStr">
        <is>
          <t>ABERTA</t>
        </is>
      </c>
      <c r="I47" s="220" t="n"/>
      <c r="J47" s="269" t="inlineStr">
        <is>
          <t>Mesma pendência da 342 (P40)</t>
        </is>
      </c>
      <c r="K47" s="221">
        <f>IF(OR($B47="",$H47="RESOLVIDA",$M47="RISCO",AND($F47="",$U47="")),"",IF($U47&lt;&gt;"",$U47,$F47)-DATA_GESTAO)</f>
        <v>0</v>
      </c>
      <c r="L47" s="222" t="str">
        <f>IF($B47="","",IF($H47="RESOLVIDA","RESOLVIDA",IF($M47="RISCO","RISCO",IF($K47="","SEM PRAZO",IF($K47&lt;0,"VENCIDA",IF($G47="","SEM DONO",IF($K47&lt;=7,"ESTA SEMANA",IF($K47&lt;=42,"PRÓXIMAS 6 SEMANAS","NO PRAZO"))))))))</f>
        <v>ESTA SEMANA</v>
      </c>
      <c r="M47" s="218" t="inlineStr">
        <is>
          <t>RESTRIÇÃO</t>
        </is>
      </c>
      <c r="N47" s="235" t="n"/>
      <c r="O47" s="271" t="n"/>
      <c r="P47" s="235" t="n"/>
      <c r="Q47" s="267">
        <f>IF($B47="","",IF(AND($N47="",$O47=""),IF($M47="RISCO","SEM BASE",""),IF(AND(ISNUMBER($N47),ISNUMBER($O47)),ROUND($N47*$O47/5,0),"SEM BASE")))</f>
      </c>
      <c r="R47" s="298" t="n"/>
      <c r="S47" s="298" t="n"/>
      <c r="T47" s="218" t="n"/>
      <c r="U47" s="220" t="n"/>
      <c r="V47" s="235" t="n"/>
      <c r="W47" s="221">
        <f>IF(AND(ISNUMBER($Q47),$H47&lt;&gt;"RESOLVIDA"),COUNTIFS($Q$5:$Q$204,"&gt;"&amp;$Q47,$H$5:$H$204,"&lt;&gt;RESOLVIDA")+COUNTIFS($Q$5:$Q47,$Q47,$H$5:$H47,"&lt;&gt;RESOLVIDA"),"")</f>
      </c>
    </row>
    <row r="48">
      <c r="A48" s="218" t="inlineStr">
        <is>
          <t>R44</t>
        </is>
      </c>
      <c r="B48" s="218" t="inlineStr">
        <is>
          <t>281</t>
        </is>
      </c>
      <c r="C48" s="218" t="inlineStr">
        <is>
          <t>281-7.1</t>
        </is>
      </c>
      <c r="D48" s="298" t="inlineStr">
        <is>
          <t>Projeto executivo da ETA (radier, caixa de chegada em sapata) e memoriais aprovados na SANEAGO; sem isso a antecipação da ETA (7.1.4, R$ 408.555,88, prevista no BM06) não mede; Data limite para projeto aprovado e OC: 20/12/2026, para a ETA (7.1.4 a 7.1.8, 11 BMs) terminar até 11/11/2027</t>
        </is>
      </c>
      <c r="E48" s="218" t="inlineStr">
        <is>
          <t>PROJETO</t>
        </is>
      </c>
      <c r="F48" s="220" t="n">
        <v>46310</v>
      </c>
      <c r="G48" s="218" t="inlineStr">
        <is>
          <t>Thadeu</t>
        </is>
      </c>
      <c r="H48" s="218" t="inlineStr">
        <is>
          <t>ABERTA</t>
        </is>
      </c>
      <c r="I48" s="220" t="n"/>
      <c r="J48" s="269" t="inlineStr">
        <is>
          <t>chat Projetos 06/10 11:10 ('se não medir esse mês to morto') e 14/10 16:46-21:30; Cronograma FF linha 387; Anexo VII, 7.1.4; auditoria 15/10, item 4 (data limite)</t>
        </is>
      </c>
      <c r="K48" s="221">
        <f>IF(OR($B48="",$H48="RESOLVIDA",$M48="RISCO",AND($F48="",$U48="")),"",IF($U48&lt;&gt;"",$U48,$F48)-DATA_GESTAO)</f>
        <v>-1</v>
      </c>
      <c r="L48" s="222" t="str">
        <f>IF($B48="","",IF($H48="RESOLVIDA","RESOLVIDA",IF($M48="RISCO","RISCO",IF($K48="","SEM PRAZO",IF($K48&lt;0,"VENCIDA",IF($G48="","SEM DONO",IF($K48&lt;=7,"ESTA SEMANA",IF($K48&lt;=42,"PRÓXIMAS 6 SEMANAS","NO PRAZO"))))))))</f>
        <v>VENCIDA</v>
      </c>
      <c r="M48" s="218" t="inlineStr">
        <is>
          <t>RESTRIÇÃO</t>
        </is>
      </c>
      <c r="N48" s="235" t="n"/>
      <c r="O48" s="271" t="n"/>
      <c r="P48" s="235" t="n"/>
      <c r="Q48" s="267">
        <f>IF($B48="","",IF(AND($N48="",$O48=""),IF($M48="RISCO","SEM BASE",""),IF(AND(ISNUMBER($N48),ISNUMBER($O48)),ROUND($N48*$O48/5,0),"SEM BASE")))</f>
      </c>
      <c r="R48" s="298" t="inlineStr">
        <is>
          <t>Falta o memorial que a SANEAGO pediu (R45). Contar as revisões do projeto da ETA: mais de 3 viram sanção (Parecer 982/2026)</t>
        </is>
      </c>
      <c r="S48" s="298" t="inlineStr">
        <is>
          <t>Projeto e OC depois de 20/12/2026: a ETA não termina até 11/11/2027 (R100)</t>
        </is>
      </c>
      <c r="T48" s="218" t="inlineStr">
        <is>
          <t>PROJETO</t>
        </is>
      </c>
      <c r="U48" s="220" t="n"/>
      <c r="V48" s="235" t="n"/>
      <c r="W48" s="221">
        <f>IF(AND(ISNUMBER($Q48),$H48&lt;&gt;"RESOLVIDA"),COUNTIFS($Q$5:$Q$204,"&gt;"&amp;$Q48,$H$5:$H$204,"&lt;&gt;RESOLVIDA")+COUNTIFS($Q$5:$Q48,$Q48,$H$5:$H48,"&lt;&gt;RESOLVIDA"),"")</f>
      </c>
    </row>
    <row r="49">
      <c r="A49" s="218" t="inlineStr">
        <is>
          <t>R45</t>
        </is>
      </c>
      <c r="B49" s="218" t="inlineStr">
        <is>
          <t>281</t>
        </is>
      </c>
      <c r="C49" s="218" t="inlineStr">
        <is>
          <t>281-7.1</t>
        </is>
      </c>
      <c r="D49" s="298" t="inlineStr">
        <is>
          <t>Dimensionamento da lavagem dos filtros (Gratt) entregue ao Luciano para fechar o memorial que a SANEAGO pediu</t>
        </is>
      </c>
      <c r="E49" s="218" t="inlineStr">
        <is>
          <t>FORNECEDOR</t>
        </is>
      </c>
      <c r="F49" s="220" t="n">
        <v>46310</v>
      </c>
      <c r="G49" s="218" t="inlineStr">
        <is>
          <t>Luciano de Sá</t>
        </is>
      </c>
      <c r="H49" s="218" t="inlineStr">
        <is>
          <t>ABERTA</t>
        </is>
      </c>
      <c r="I49" s="220" t="n"/>
      <c r="J49" s="269" t="inlineStr">
        <is>
          <t>chat Projetos 06/10 12:18; 13/10 12:22-17:31</t>
        </is>
      </c>
      <c r="K49" s="221">
        <f>IF(OR($B49="",$H49="RESOLVIDA",$M49="RISCO",AND($F49="",$U49="")),"",IF($U49&lt;&gt;"",$U49,$F49)-DATA_GESTAO)</f>
        <v>-1</v>
      </c>
      <c r="L49" s="222" t="str">
        <f>IF($B49="","",IF($H49="RESOLVIDA","RESOLVIDA",IF($M49="RISCO","RISCO",IF($K49="","SEM PRAZO",IF($K49&lt;0,"VENCIDA",IF($G49="","SEM DONO",IF($K49&lt;=7,"ESTA SEMANA",IF($K49&lt;=42,"PRÓXIMAS 6 SEMANAS","NO PRAZO"))))))))</f>
        <v>VENCIDA</v>
      </c>
      <c r="M49" s="218" t="inlineStr">
        <is>
          <t>RESTRIÇÃO</t>
        </is>
      </c>
      <c r="N49" s="235" t="n"/>
      <c r="O49" s="271" t="n"/>
      <c r="P49" s="235" t="n"/>
      <c r="Q49" s="267">
        <f>IF($B49="","",IF(AND($N49="",$O49=""),IF($M49="RISCO","SEM BASE",""),IF(AND(ISNUMBER($N49),ISNUMBER($O49)),ROUND($N49*$O49/5,0),"SEM BASE")))</f>
      </c>
      <c r="R49" s="298" t="inlineStr">
        <is>
          <t>Cobrar da Gratt o dimensionamento com data escrita; sem ele o memorial da ETA não fecha (R44)</t>
        </is>
      </c>
      <c r="S49" s="298" t="n"/>
      <c r="T49" s="218" t="inlineStr">
        <is>
          <t>PROJETO</t>
        </is>
      </c>
      <c r="U49" s="220" t="n"/>
      <c r="V49" s="235" t="n"/>
      <c r="W49" s="221">
        <f>IF(AND(ISNUMBER($Q49),$H49&lt;&gt;"RESOLVIDA"),COUNTIFS($Q$5:$Q$204,"&gt;"&amp;$Q49,$H$5:$H$204,"&lt;&gt;RESOLVIDA")+COUNTIFS($Q$5:$Q49,$Q49,$H$5:$H49,"&lt;&gt;RESOLVIDA"),"")</f>
      </c>
    </row>
    <row r="50">
      <c r="A50" s="218" t="inlineStr">
        <is>
          <t>R46</t>
        </is>
      </c>
      <c r="B50" s="218" t="inlineStr">
        <is>
          <t>281</t>
        </is>
      </c>
      <c r="C50" s="218" t="inlineStr">
        <is>
          <t>281-7.1</t>
        </is>
      </c>
      <c r="D50" s="298" t="inlineStr">
        <is>
          <t>Ordem de compra da ETA PF e garantia de 100% do valor antecipado apresentadas à fiscalização (exigências do 7.1.4 além do projeto aprovado)</t>
        </is>
      </c>
      <c r="E50" s="218" t="inlineStr">
        <is>
          <t>PARCEIRO</t>
        </is>
      </c>
      <c r="F50" s="220" t="n">
        <v>46315</v>
      </c>
      <c r="G50" s="218" t="inlineStr">
        <is>
          <t>Rafael Santa Cruz</t>
        </is>
      </c>
      <c r="H50" s="218" t="inlineStr">
        <is>
          <t>ABERTA</t>
        </is>
      </c>
      <c r="I50" s="220" t="n"/>
      <c r="J50" s="269" t="inlineStr">
        <is>
          <t>Anexo VII Eventograma 19/2025, Seção 1 item b (p.3 a 5) e evento 7.1.4</t>
        </is>
      </c>
      <c r="K50" s="221">
        <f>IF(OR($B50="",$H50="RESOLVIDA",$M50="RISCO",AND($F50="",$U50="")),"",IF($U50&lt;&gt;"",$U50,$F50)-DATA_GESTAO)</f>
        <v>4</v>
      </c>
      <c r="L50" s="222" t="str">
        <f>IF($B50="","",IF($H50="RESOLVIDA","RESOLVIDA",IF($M50="RISCO","RISCO",IF($K50="","SEM PRAZO",IF($K50&lt;0,"VENCIDA",IF($G50="","SEM DONO",IF($K50&lt;=7,"ESTA SEMANA",IF($K50&lt;=42,"PRÓXIMAS 6 SEMANAS","NO PRAZO"))))))))</f>
        <v>ESTA SEMANA</v>
      </c>
      <c r="M50" s="218" t="inlineStr">
        <is>
          <t>RESTRIÇÃO</t>
        </is>
      </c>
      <c r="N50" s="235" t="n"/>
      <c r="O50" s="271" t="n"/>
      <c r="P50" s="235" t="n"/>
      <c r="Q50" s="267">
        <f>IF($B50="","",IF(AND($N50="",$O50=""),IF($M50="RISCO","SEM BASE",""),IF(AND(ISNUMBER($N50),ISNUMBER($O50)),ROUND($N50*$O50/5,0),"SEM BASE")))</f>
      </c>
      <c r="R50" s="298" t="n"/>
      <c r="S50" s="298" t="n"/>
      <c r="T50" s="218" t="n"/>
      <c r="U50" s="220" t="n"/>
      <c r="V50" s="235" t="n"/>
      <c r="W50" s="221">
        <f>IF(AND(ISNUMBER($Q50),$H50&lt;&gt;"RESOLVIDA"),COUNTIFS($Q$5:$Q$204,"&gt;"&amp;$Q50,$H$5:$H$204,"&lt;&gt;RESOLVIDA")+COUNTIFS($Q$5:$Q50,$Q50,$H$5:$H50,"&lt;&gt;RESOLVIDA"),"")</f>
      </c>
    </row>
    <row r="51">
      <c r="A51" s="218" t="inlineStr">
        <is>
          <t>R47</t>
        </is>
      </c>
      <c r="B51" s="218" t="inlineStr">
        <is>
          <t>281</t>
        </is>
      </c>
      <c r="C51" s="218" t="inlineStr">
        <is>
          <t>281-7.7</t>
        </is>
      </c>
      <c r="D51" s="298" t="inlineStr">
        <is>
          <t>Reservatório taça 100 m³ (TAP METAL) entregue, içado, fixado e com os chumbadores grauteados até 19/10 para medir o 7.7.5 (R$ 271.325,16) no BM08. A entrega já foi remarcada três vezes. A TAP METAL diz que corrigiu os pés na fábrica em 13/10 (eram 6 pés para 8 nichos); conferir o encaixe nos nichos no içamento</t>
        </is>
      </c>
      <c r="E51" s="218" t="inlineStr">
        <is>
          <t>FORNECEDOR</t>
        </is>
      </c>
      <c r="F51" s="220" t="n">
        <v>46314</v>
      </c>
      <c r="G51" s="218" t="inlineStr">
        <is>
          <t>Ricarlos</t>
        </is>
      </c>
      <c r="H51" s="218" t="inlineStr">
        <is>
          <t>ABERTA</t>
        </is>
      </c>
      <c r="I51" s="220" t="n"/>
      <c r="J51" s="269" t="inlineStr">
        <is>
          <t>chat Reservatório 09/10 a 14/10; Cronograma FF linha 643 (previsto BM08); chat Reservatório 13/10 11:08-11:22 e 14/10 9:42 (pés)</t>
        </is>
      </c>
      <c r="K51" s="221">
        <f>IF(OR($B51="",$H51="RESOLVIDA",$M51="RISCO",AND($F51="",$U51="")),"",IF($U51&lt;&gt;"",$U51,$F51)-DATA_GESTAO)</f>
        <v>3</v>
      </c>
      <c r="L51" s="222" t="str">
        <f>IF($B51="","",IF($H51="RESOLVIDA","RESOLVIDA",IF($M51="RISCO","RISCO",IF($K51="","SEM PRAZO",IF($K51&lt;0,"VENCIDA",IF($G51="","SEM DONO",IF($K51&lt;=7,"ESTA SEMANA",IF($K51&lt;=42,"PRÓXIMAS 6 SEMANAS","NO PRAZO"))))))))</f>
        <v>ESTA SEMANA</v>
      </c>
      <c r="M51" s="218" t="inlineStr">
        <is>
          <t>RESTRIÇÃO</t>
        </is>
      </c>
      <c r="N51" s="235" t="n"/>
      <c r="O51" s="271" t="n"/>
      <c r="P51" s="235" t="n"/>
      <c r="Q51" s="267">
        <f>IF($B51="","",IF(AND($N51="",$O51=""),IF($M51="RISCO","SEM BASE",""),IF(AND(ISNUMBER($N51),ISNUMBER($O51)),ROUND($N51*$O51/5,0),"SEM BASE")))</f>
      </c>
      <c r="R51" s="298" t="n"/>
      <c r="S51" s="298" t="n"/>
      <c r="T51" s="218" t="n"/>
      <c r="U51" s="220" t="n"/>
      <c r="V51" s="235" t="n">
        <v>3</v>
      </c>
      <c r="W51" s="221">
        <f>IF(AND(ISNUMBER($Q51),$H51&lt;&gt;"RESOLVIDA"),COUNTIFS($Q$5:$Q$204,"&gt;"&amp;$Q51,$H$5:$H$204,"&lt;&gt;RESOLVIDA")+COUNTIFS($Q$5:$Q51,$Q51,$H$5:$H51,"&lt;&gt;RESOLVIDA"),"")</f>
      </c>
    </row>
    <row r="52">
      <c r="A52" s="218" t="inlineStr">
        <is>
          <t>R48</t>
        </is>
      </c>
      <c r="B52" s="218" t="inlineStr">
        <is>
          <t>281</t>
        </is>
      </c>
      <c r="C52" s="218" t="inlineStr">
        <is>
          <t>281-7.7</t>
        </is>
      </c>
      <c r="D52" s="298" t="inlineStr">
        <is>
          <t>Saldo do reservatório (vence 19/10) e frete do CT-e 00001625 pagos; a TECNOBOMBAS disse que não tem dinheiro para o frete e o Thadeu ofereceu pagar pela TAF</t>
        </is>
      </c>
      <c r="E52" s="218" t="inlineStr">
        <is>
          <t>PARCEIRO</t>
        </is>
      </c>
      <c r="F52" s="220" t="n">
        <v>46314</v>
      </c>
      <c r="G52" s="218" t="inlineStr">
        <is>
          <t>Thadeu</t>
        </is>
      </c>
      <c r="H52" s="218" t="inlineStr">
        <is>
          <t>ABERTA</t>
        </is>
      </c>
      <c r="I52" s="220" t="n"/>
      <c r="J52" s="269" t="inlineStr">
        <is>
          <t>chat Reservatório 10/10 8:07 e 8:18; 13/10 15:07 e 15:29</t>
        </is>
      </c>
      <c r="K52" s="221">
        <f>IF(OR($B52="",$H52="RESOLVIDA",$M52="RISCO",AND($F52="",$U52="")),"",IF($U52&lt;&gt;"",$U52,$F52)-DATA_GESTAO)</f>
        <v>3</v>
      </c>
      <c r="L52" s="222" t="str">
        <f>IF($B52="","",IF($H52="RESOLVIDA","RESOLVIDA",IF($M52="RISCO","RISCO",IF($K52="","SEM PRAZO",IF($K52&lt;0,"VENCIDA",IF($G52="","SEM DONO",IF($K52&lt;=7,"ESTA SEMANA",IF($K52&lt;=42,"PRÓXIMAS 6 SEMANAS","NO PRAZO"))))))))</f>
        <v>ESTA SEMANA</v>
      </c>
      <c r="M52" s="218" t="inlineStr">
        <is>
          <t>RESTRIÇÃO</t>
        </is>
      </c>
      <c r="N52" s="235" t="n"/>
      <c r="O52" s="271" t="n"/>
      <c r="P52" s="235" t="n"/>
      <c r="Q52" s="267">
        <f>IF($B52="","",IF(AND($N52="",$O52=""),IF($M52="RISCO","SEM BASE",""),IF(AND(ISNUMBER($N52),ISNUMBER($O52)),ROUND($N52*$O52/5,0),"SEM BASE")))</f>
      </c>
      <c r="R52" s="298" t="n"/>
      <c r="S52" s="298" t="n"/>
      <c r="T52" s="218" t="n"/>
      <c r="U52" s="220" t="n"/>
      <c r="V52" s="235" t="n"/>
      <c r="W52" s="221">
        <f>IF(AND(ISNUMBER($Q52),$H52&lt;&gt;"RESOLVIDA"),COUNTIFS($Q$5:$Q$204,"&gt;"&amp;$Q52,$H$5:$H$204,"&lt;&gt;RESOLVIDA")+COUNTIFS($Q$5:$Q52,$Q52,$H$5:$H52,"&lt;&gt;RESOLVIDA"),"")</f>
      </c>
    </row>
    <row r="53">
      <c r="A53" s="218" t="inlineStr">
        <is>
          <t>R49</t>
        </is>
      </c>
      <c r="B53" s="218" t="inlineStr">
        <is>
          <t>281</t>
        </is>
      </c>
      <c r="C53" s="218" t="inlineStr">
        <is>
          <t>281-7.4</t>
        </is>
      </c>
      <c r="D53" s="298" t="inlineStr">
        <is>
          <t>Montagem do gerador de cloro (hidrogerox) concluída pela oficina da TECNOBOMBAS para medir o 7.4.13 (R$ 126.587,72) no BM08; a equipe desceu em 13/10</t>
        </is>
      </c>
      <c r="E53" s="218" t="inlineStr">
        <is>
          <t>PARCEIRO</t>
        </is>
      </c>
      <c r="F53" s="220" t="n">
        <v>46315</v>
      </c>
      <c r="G53" s="218" t="inlineStr">
        <is>
          <t>Rafael Santa Cruz</t>
        </is>
      </c>
      <c r="H53" s="218" t="inlineStr">
        <is>
          <t>ABERTA</t>
        </is>
      </c>
      <c r="I53" s="220" t="n"/>
      <c r="J53" s="269" t="inlineStr">
        <is>
          <t>chat Compras 06/10 6:34-7:52; chat CCM 13/10 11:32-11:44; Cronograma FF linha 527</t>
        </is>
      </c>
      <c r="K53" s="221">
        <f>IF(OR($B53="",$H53="RESOLVIDA",$M53="RISCO",AND($F53="",$U53="")),"",IF($U53&lt;&gt;"",$U53,$F53)-DATA_GESTAO)</f>
        <v>4</v>
      </c>
      <c r="L53" s="222" t="str">
        <f>IF($B53="","",IF($H53="RESOLVIDA","RESOLVIDA",IF($M53="RISCO","RISCO",IF($K53="","SEM PRAZO",IF($K53&lt;0,"VENCIDA",IF($G53="","SEM DONO",IF($K53&lt;=7,"ESTA SEMANA",IF($K53&lt;=42,"PRÓXIMAS 6 SEMANAS","NO PRAZO"))))))))</f>
        <v>ESTA SEMANA</v>
      </c>
      <c r="M53" s="218" t="inlineStr">
        <is>
          <t>RESTRIÇÃO</t>
        </is>
      </c>
      <c r="N53" s="235" t="n"/>
      <c r="O53" s="271" t="n"/>
      <c r="P53" s="235" t="n"/>
      <c r="Q53" s="267">
        <f>IF($B53="","",IF(AND($N53="",$O53=""),IF($M53="RISCO","SEM BASE",""),IF(AND(ISNUMBER($N53),ISNUMBER($O53)),ROUND($N53*$O53/5,0),"SEM BASE")))</f>
      </c>
      <c r="R53" s="298" t="n"/>
      <c r="S53" s="298" t="n"/>
      <c r="T53" s="218" t="n"/>
      <c r="U53" s="220" t="n"/>
      <c r="V53" s="235" t="n"/>
      <c r="W53" s="221">
        <f>IF(AND(ISNUMBER($Q53),$H53&lt;&gt;"RESOLVIDA"),COUNTIFS($Q$5:$Q$204,"&gt;"&amp;$Q53,$H$5:$H$204,"&lt;&gt;RESOLVIDA")+COUNTIFS($Q$5:$Q53,$Q53,$H$5:$H53,"&lt;&gt;RESOLVIDA"),"")</f>
      </c>
    </row>
    <row r="54">
      <c r="A54" s="218" t="inlineStr">
        <is>
          <t>R50</t>
        </is>
      </c>
      <c r="B54" s="218" t="inlineStr">
        <is>
          <t>281</t>
        </is>
      </c>
      <c r="C54" s="218" t="inlineStr">
        <is>
          <t>281-7.1</t>
        </is>
      </c>
      <c r="D54" s="298" t="inlineStr">
        <is>
          <t>Subestação da ETA e entrada de energia já montada levadas à fiscal para medir no BM08 (a fiscal disse que a da ETA pode medir antes da energização)</t>
        </is>
      </c>
      <c r="E54" s="218" t="inlineStr">
        <is>
          <t>CLIENTE</t>
        </is>
      </c>
      <c r="F54" s="220" t="n">
        <v>46315</v>
      </c>
      <c r="G54" s="218" t="inlineStr">
        <is>
          <t>Ricarlos</t>
        </is>
      </c>
      <c r="H54" s="218" t="inlineStr">
        <is>
          <t>ABERTA</t>
        </is>
      </c>
      <c r="I54" s="220" t="n"/>
      <c r="J54" s="269" t="inlineStr">
        <is>
          <t>chat Compras 29/09 7:40 e 8:15; PLANEJAMENTO OBRA par.18-20</t>
        </is>
      </c>
      <c r="K54" s="221">
        <f>IF(OR($B54="",$H54="RESOLVIDA",$M54="RISCO",AND($F54="",$U54="")),"",IF($U54&lt;&gt;"",$U54,$F54)-DATA_GESTAO)</f>
        <v>4</v>
      </c>
      <c r="L54" s="222" t="str">
        <f>IF($B54="","",IF($H54="RESOLVIDA","RESOLVIDA",IF($M54="RISCO","RISCO",IF($K54="","SEM PRAZO",IF($K54&lt;0,"VENCIDA",IF($G54="","SEM DONO",IF($K54&lt;=7,"ESTA SEMANA",IF($K54&lt;=42,"PRÓXIMAS 6 SEMANAS","NO PRAZO"))))))))</f>
        <v>ESTA SEMANA</v>
      </c>
      <c r="M54" s="218" t="inlineStr">
        <is>
          <t>RESTRIÇÃO</t>
        </is>
      </c>
      <c r="N54" s="235" t="n"/>
      <c r="O54" s="271" t="n"/>
      <c r="P54" s="235" t="n"/>
      <c r="Q54" s="267">
        <f>IF($B54="","",IF(AND($N54="",$O54=""),IF($M54="RISCO","SEM BASE",""),IF(AND(ISNUMBER($N54),ISNUMBER($O54)),ROUND($N54*$O54/5,0),"SEM BASE")))</f>
      </c>
      <c r="R54" s="298" t="n"/>
      <c r="S54" s="298" t="n"/>
      <c r="T54" s="218" t="n"/>
      <c r="U54" s="220" t="n"/>
      <c r="V54" s="235" t="n"/>
      <c r="W54" s="221">
        <f>IF(AND(ISNUMBER($Q54),$H54&lt;&gt;"RESOLVIDA"),COUNTIFS($Q$5:$Q$204,"&gt;"&amp;$Q54,$H$5:$H$204,"&lt;&gt;RESOLVIDA")+COUNTIFS($Q$5:$Q54,$Q54,$H$5:$H54,"&lt;&gt;RESOLVIDA"),"")</f>
      </c>
    </row>
    <row r="55">
      <c r="A55" s="218" t="inlineStr">
        <is>
          <t>R51</t>
        </is>
      </c>
      <c r="B55" s="218" t="inlineStr">
        <is>
          <t>281</t>
        </is>
      </c>
      <c r="C55" s="218" t="inlineStr">
        <is>
          <t>281-5.1</t>
        </is>
      </c>
      <c r="D55" s="298" t="inlineStr">
        <is>
          <t>Energização da subestação da EAB02 e derivação de 200 m para a EEAB1: definir com a SANEAGO de quem é (a fiscal só mede depois de energizada; a Equatorial só chega até a EEAB2). Data limite: energizar até 14/02/2027 (MIT 390) menos o prazo da Equatorial; data do pedido do orçamento de conexão: PENDENTE</t>
        </is>
      </c>
      <c r="E55" s="218" t="inlineStr">
        <is>
          <t>CLIENTE</t>
        </is>
      </c>
      <c r="F55" s="220" t="n">
        <v>46318</v>
      </c>
      <c r="G55" s="218" t="inlineStr">
        <is>
          <t>Thadeu</t>
        </is>
      </c>
      <c r="H55" s="218" t="inlineStr">
        <is>
          <t>ABERTA</t>
        </is>
      </c>
      <c r="I55" s="220" t="n"/>
      <c r="J55" s="269" t="inlineStr">
        <is>
          <t>chat Compras 29/09 7:40-7:59; chat CCM 05/10 10:11-10:22; auditoria 15/10, item 4 (subestação da EAB02 no BM13, depois do MIT 390)</t>
        </is>
      </c>
      <c r="K55" s="221">
        <f>IF(OR($B55="",$H55="RESOLVIDA",$M55="RISCO",AND($F55="",$U55="")),"",IF($U55&lt;&gt;"",$U55,$F55)-DATA_GESTAO)</f>
        <v>7</v>
      </c>
      <c r="L55" s="222" t="str">
        <f>IF($B55="","",IF($H55="RESOLVIDA","RESOLVIDA",IF($M55="RISCO","RISCO",IF($K55="","SEM PRAZO",IF($K55&lt;0,"VENCIDA",IF($G55="","SEM DONO",IF($K55&lt;=7,"ESTA SEMANA",IF($K55&lt;=42,"PRÓXIMAS 6 SEMANAS","NO PRAZO"))))))))</f>
        <v>ESTA SEMANA</v>
      </c>
      <c r="M55" s="218" t="inlineStr">
        <is>
          <t>RESTRIÇÃO</t>
        </is>
      </c>
      <c r="N55" s="235" t="n"/>
      <c r="O55" s="271" t="n"/>
      <c r="P55" s="235" t="n"/>
      <c r="Q55" s="267">
        <f>IF($B55="","",IF(AND($N55="",$O55=""),IF($M55="RISCO","SEM BASE",""),IF(AND(ISNUMBER($N55),ISNUMBER($O55)),ROUND($N55*$O55/5,0),"SEM BASE")))</f>
      </c>
      <c r="R55" s="234" t="str">
        <f>"Pelos prazos da R69 (158 dias com obra em média tensão, 98 só em baixa tensão), o pedido sairia até "&amp;TEXT(DATE(2027,2,14)-158,"dd/mm")&amp;"/"&amp;YEAR(DATE(2027,2,14)-158)&amp;" ou "&amp;TEXT(DATE(2027,2,14)-98,"dd/mm")&amp;"/"&amp;YEAR(DATE(2027,2,14)-98)&amp;". Thadeu confirma o prazo com a Equatorial."</f>
        <v>Pelos prazos da R69 (158 dias com obra em média tensão, 98 só em baixa tensão), o pedido sairia até 09/09/2026 ou 08/11/2026. Thadeu confirma o prazo com a Equatorial.</v>
      </c>
      <c r="S55" s="298" t="n"/>
      <c r="T55" s="218" t="n"/>
      <c r="U55" s="220" t="n"/>
      <c r="V55" s="235" t="n"/>
      <c r="W55" s="221">
        <f>IF(AND(ISNUMBER($Q55),$H55&lt;&gt;"RESOLVIDA"),COUNTIFS($Q$5:$Q$204,"&gt;"&amp;$Q55,$H$5:$H$204,"&lt;&gt;RESOLVIDA")+COUNTIFS($Q$5:$Q55,$Q55,$H$5:$H55,"&lt;&gt;RESOLVIDA"),"")</f>
      </c>
    </row>
    <row r="56">
      <c r="A56" s="218" t="inlineStr">
        <is>
          <t>R52</t>
        </is>
      </c>
      <c r="B56" s="218" t="inlineStr">
        <is>
          <t>281</t>
        </is>
      </c>
      <c r="C56" s="218" t="inlineStr">
        <is>
          <t>281-7.8</t>
        </is>
      </c>
      <c r="D56" s="298" t="inlineStr">
        <is>
          <t>Projeto da base da UTR (Gratt) aprovado pela SANEAGO (na E-SCI desde 06/10; a SUESP costuma responder em 5 dias úteis); a instalação 7.8.7 (R$ 486.489,29) depende dele</t>
        </is>
      </c>
      <c r="E56" s="218" t="inlineStr">
        <is>
          <t>CLIENTE</t>
        </is>
      </c>
      <c r="F56" s="220" t="n">
        <v>46308</v>
      </c>
      <c r="G56" s="218" t="inlineStr">
        <is>
          <t>Thadeu</t>
        </is>
      </c>
      <c r="H56" s="218" t="inlineStr">
        <is>
          <t>ABERTA</t>
        </is>
      </c>
      <c r="I56" s="220" t="n"/>
      <c r="J56" s="269" t="inlineStr">
        <is>
          <t>chat CCM 13/10 11:45-11:52; PLANEJAMENTO OBRA par.21-22</t>
        </is>
      </c>
      <c r="K56" s="221">
        <f>IF(OR($B56="",$H56="RESOLVIDA",$M56="RISCO",AND($F56="",$U56="")),"",IF($U56&lt;&gt;"",$U56,$F56)-DATA_GESTAO)</f>
        <v>-3</v>
      </c>
      <c r="L56" s="222" t="str">
        <f>IF($B56="","",IF($H56="RESOLVIDA","RESOLVIDA",IF($M56="RISCO","RISCO",IF($K56="","SEM PRAZO",IF($K56&lt;0,"VENCIDA",IF($G56="","SEM DONO",IF($K56&lt;=7,"ESTA SEMANA",IF($K56&lt;=42,"PRÓXIMAS 6 SEMANAS","NO PRAZO"))))))))</f>
        <v>VENCIDA</v>
      </c>
      <c r="M56" s="218" t="inlineStr">
        <is>
          <t>RESTRIÇÃO</t>
        </is>
      </c>
      <c r="N56" s="235" t="n"/>
      <c r="O56" s="271" t="n"/>
      <c r="P56" s="235" t="n"/>
      <c r="Q56" s="267">
        <f>IF($B56="","",IF(AND($N56="",$O56=""),IF($M56="RISCO","SEM BASE",""),IF(AND(ISNUMBER($N56),ISNUMBER($O56)),ROUND($N56*$O56/5,0),"SEM BASE")))</f>
      </c>
      <c r="R56" s="298" t="inlineStr">
        <is>
          <t>Cobrar a SUESP por escrito: na E-SCI desde 06/10, passou dos 5 dias úteis</t>
        </is>
      </c>
      <c r="S56" s="298" t="n"/>
      <c r="T56" s="218" t="inlineStr">
        <is>
          <t>CLIENTE / FISCAL</t>
        </is>
      </c>
      <c r="U56" s="220" t="n"/>
      <c r="V56" s="235" t="n"/>
      <c r="W56" s="221">
        <f>IF(AND(ISNUMBER($Q56),$H56&lt;&gt;"RESOLVIDA"),COUNTIFS($Q$5:$Q$204,"&gt;"&amp;$Q56,$H$5:$H$204,"&lt;&gt;RESOLVIDA")+COUNTIFS($Q$5:$Q56,$Q56,$H$5:$H56,"&lt;&gt;RESOLVIDA"),"")</f>
      </c>
    </row>
    <row r="57">
      <c r="A57" s="218" t="inlineStr">
        <is>
          <t>R53</t>
        </is>
      </c>
      <c r="B57" s="218" t="inlineStr">
        <is>
          <t>281</t>
        </is>
      </c>
      <c r="C57" s="218" t="inlineStr">
        <is>
          <t>281-7.2</t>
        </is>
      </c>
      <c r="D57" s="298" t="inlineStr">
        <is>
          <t>EEAT: bombas, hidráulico, monovia e válvulas de recalque (verificar com a AVK); eventos 7.2.8 a 7.2.19 (R$ 334.540,25) previstos no BM06 e no BM07 e não medidos</t>
        </is>
      </c>
      <c r="E57" s="218" t="inlineStr">
        <is>
          <t>FORNECEDOR</t>
        </is>
      </c>
      <c r="F57" s="220" t="n">
        <v>46285</v>
      </c>
      <c r="G57" s="218" t="inlineStr">
        <is>
          <t>Rafael Santa Cruz</t>
        </is>
      </c>
      <c r="H57" s="218" t="inlineStr">
        <is>
          <t>ABERTA</t>
        </is>
      </c>
      <c r="I57" s="220" t="n"/>
      <c r="J57" s="269" t="inlineStr">
        <is>
          <t>PLANEJAMENTO OBRA par.6-10; Cronograma FF, eventos 7.2.8 a 7.2.19; chat CCM 13/10 12:34 ('agora é medir bomba monovia')</t>
        </is>
      </c>
      <c r="K57" s="221">
        <f>IF(OR($B57="",$H57="RESOLVIDA",$M57="RISCO",AND($F57="",$U57="")),"",IF($U57&lt;&gt;"",$U57,$F57)-DATA_GESTAO)</f>
        <v>-26</v>
      </c>
      <c r="L57" s="222" t="str">
        <f>IF($B57="","",IF($H57="RESOLVIDA","RESOLVIDA",IF($M57="RISCO","RISCO",IF($K57="","SEM PRAZO",IF($K57&lt;0,"VENCIDA",IF($G57="","SEM DONO",IF($K57&lt;=7,"ESTA SEMANA",IF($K57&lt;=42,"PRÓXIMAS 6 SEMANAS","NO PRAZO"))))))))</f>
        <v>VENCIDA</v>
      </c>
      <c r="M57" s="218" t="inlineStr">
        <is>
          <t>RESTRIÇÃO</t>
        </is>
      </c>
      <c r="N57" s="235" t="n"/>
      <c r="O57" s="271" t="n"/>
      <c r="P57" s="235" t="n"/>
      <c r="Q57" s="267">
        <f>IF($B57="","",IF(AND($N57="",$O57=""),IF($M57="RISCO","SEM BASE",""),IF(AND(ISNUMBER($N57),ISNUMBER($O57)),ROUND($N57*$O57/5,0),"SEM BASE")))</f>
      </c>
      <c r="R57" s="298" t="inlineStr">
        <is>
          <t>Rafael Santa Cruz confirma com a AVK as válvulas e dá a data de chegada de cada item; o atraso entra na lista da R63</t>
        </is>
      </c>
      <c r="S57" s="298" t="n"/>
      <c r="T57" s="218" t="inlineStr">
        <is>
          <t>MATERIAL</t>
        </is>
      </c>
      <c r="U57" s="220" t="n"/>
      <c r="V57" s="235" t="n"/>
      <c r="W57" s="221">
        <f>IF(AND(ISNUMBER($Q57),$H57&lt;&gt;"RESOLVIDA"),COUNTIFS($Q$5:$Q$204,"&gt;"&amp;$Q57,$H$5:$H$204,"&lt;&gt;RESOLVIDA")+COUNTIFS($Q$5:$Q57,$Q57,$H$5:$H57,"&lt;&gt;RESOLVIDA"),"")</f>
      </c>
    </row>
    <row r="58">
      <c r="A58" s="218" t="inlineStr">
        <is>
          <t>R54</t>
        </is>
      </c>
      <c r="B58" s="218" t="inlineStr">
        <is>
          <t>281</t>
        </is>
      </c>
      <c r="C58" s="218" t="inlineStr">
        <is>
          <t>281-3.3</t>
        </is>
      </c>
      <c r="D58" s="298" t="inlineStr">
        <is>
          <t>EEAB1: comportas (fechadas com a FKB), bombas, hidráulico e monovia (já liberada para montar) para medir 3.3.5 a 3.3.8 (R$ 157.056,28, BM08 e BM09)</t>
        </is>
      </c>
      <c r="E58" s="218" t="inlineStr">
        <is>
          <t>FORNECEDOR</t>
        </is>
      </c>
      <c r="F58" s="220" t="n">
        <v>46346</v>
      </c>
      <c r="G58" s="218" t="inlineStr">
        <is>
          <t>Rafael Santa Cruz</t>
        </is>
      </c>
      <c r="H58" s="218" t="inlineStr">
        <is>
          <t>ABERTA</t>
        </is>
      </c>
      <c r="I58" s="220" t="n"/>
      <c r="J58" s="269" t="inlineStr">
        <is>
          <t>PLANEJAMENTO OBRA par.0-5; chat Compras 06/10 10:11; chat CCM 05/10 10:29-10:58; Cronograma FF linhas 105 a 111</t>
        </is>
      </c>
      <c r="K58" s="221">
        <f>IF(OR($B58="",$H58="RESOLVIDA",$M58="RISCO",AND($F58="",$U58="")),"",IF($U58&lt;&gt;"",$U58,$F58)-DATA_GESTAO)</f>
        <v>35</v>
      </c>
      <c r="L58" s="222" t="str">
        <f>IF($B58="","",IF($H58="RESOLVIDA","RESOLVIDA",IF($M58="RISCO","RISCO",IF($K58="","SEM PRAZO",IF($K58&lt;0,"VENCIDA",IF($G58="","SEM DONO",IF($K58&lt;=7,"ESTA SEMANA",IF($K58&lt;=42,"PRÓXIMAS 6 SEMANAS","NO PRAZO"))))))))</f>
        <v>PRÓXIMAS 6 SEMANAS</v>
      </c>
      <c r="M58" s="218" t="inlineStr">
        <is>
          <t>RESTRIÇÃO</t>
        </is>
      </c>
      <c r="N58" s="235" t="n"/>
      <c r="O58" s="271" t="n"/>
      <c r="P58" s="235" t="n"/>
      <c r="Q58" s="267">
        <f>IF($B58="","",IF(AND($N58="",$O58=""),IF($M58="RISCO","SEM BASE",""),IF(AND(ISNUMBER($N58),ISNUMBER($O58)),ROUND($N58*$O58/5,0),"SEM BASE")))</f>
      </c>
      <c r="R58" s="298" t="n"/>
      <c r="S58" s="298" t="n"/>
      <c r="T58" s="218" t="n"/>
      <c r="U58" s="220" t="n"/>
      <c r="V58" s="235" t="n"/>
      <c r="W58" s="221">
        <f>IF(AND(ISNUMBER($Q58),$H58&lt;&gt;"RESOLVIDA"),COUNTIFS($Q$5:$Q$204,"&gt;"&amp;$Q58,$H$5:$H$204,"&lt;&gt;RESOLVIDA")+COUNTIFS($Q$5:$Q58,$Q58,$H$5:$H58,"&lt;&gt;RESOLVIDA"),"")</f>
      </c>
    </row>
    <row r="59">
      <c r="A59" s="218" t="inlineStr">
        <is>
          <t>R55</t>
        </is>
      </c>
      <c r="B59" s="218" t="inlineStr">
        <is>
          <t>281</t>
        </is>
      </c>
      <c r="C59" s="218" t="inlineStr">
        <is>
          <t>281-5.4</t>
        </is>
      </c>
      <c r="D59" s="298" t="inlineStr">
        <is>
          <t>Liberação do RHO (5.4.2 fornecimento R$ 174.074,47 no BM09; 5.4.3 instalação R$ 139.259,57 no BM10); quem libera não está nos arquivos</t>
        </is>
      </c>
      <c r="E59" s="218" t="inlineStr">
        <is>
          <t>CLIENTE</t>
        </is>
      </c>
      <c r="F59" s="220" t="n">
        <v>46346</v>
      </c>
      <c r="G59" s="218" t="inlineStr"/>
      <c r="H59" s="218" t="inlineStr">
        <is>
          <t>ABERTA</t>
        </is>
      </c>
      <c r="I59" s="220" t="n"/>
      <c r="J59" s="269" t="inlineStr">
        <is>
          <t>PLANEJAMENTO OBRA par.23-24; Cronograma FF linhas 247 e 249</t>
        </is>
      </c>
      <c r="K59" s="221">
        <f>IF(OR($B59="",$H59="RESOLVIDA",$M59="RISCO",AND($F59="",$U59="")),"",IF($U59&lt;&gt;"",$U59,$F59)-DATA_GESTAO)</f>
        <v>35</v>
      </c>
      <c r="L59" s="222" t="str">
        <f>IF($B59="","",IF($H59="RESOLVIDA","RESOLVIDA",IF($M59="RISCO","RISCO",IF($K59="","SEM PRAZO",IF($K59&lt;0,"VENCIDA",IF($G59="","SEM DONO",IF($K59&lt;=7,"ESTA SEMANA",IF($K59&lt;=42,"PRÓXIMAS 6 SEMANAS","NO PRAZO"))))))))</f>
        <v>SEM DONO</v>
      </c>
      <c r="M59" s="218" t="inlineStr">
        <is>
          <t>RESTRIÇÃO</t>
        </is>
      </c>
      <c r="N59" s="235" t="n"/>
      <c r="O59" s="271" t="n"/>
      <c r="P59" s="235" t="n"/>
      <c r="Q59" s="267">
        <f>IF($B59="","",IF(AND($N59="",$O59=""),IF($M59="RISCO","SEM BASE",""),IF(AND(ISNUMBER($N59),ISNUMBER($O59)),ROUND($N59*$O59/5,0),"SEM BASE")))</f>
      </c>
      <c r="R59" s="298" t="n"/>
      <c r="S59" s="298" t="n"/>
      <c r="T59" s="218" t="n"/>
      <c r="U59" s="220" t="n"/>
      <c r="V59" s="235" t="n"/>
      <c r="W59" s="221">
        <f>IF(AND(ISNUMBER($Q59),$H59&lt;&gt;"RESOLVIDA"),COUNTIFS($Q$5:$Q$204,"&gt;"&amp;$Q59,$H$5:$H$204,"&lt;&gt;RESOLVIDA")+COUNTIFS($Q$5:$Q59,$Q59,$H$5:$H59,"&lt;&gt;RESOLVIDA"),"")</f>
      </c>
    </row>
    <row r="60">
      <c r="A60" s="218" t="inlineStr">
        <is>
          <t>R56</t>
        </is>
      </c>
      <c r="B60" s="218" t="inlineStr">
        <is>
          <t>281</t>
        </is>
      </c>
      <c r="C60" s="218" t="inlineStr">
        <is>
          <t>281-7.5</t>
        </is>
      </c>
      <c r="D60" s="298" t="inlineStr">
        <is>
          <t>Analisadores (Digimed) comprados e medição na chegada ao canteiro confirmada com a fiscal (eventos 7.5.21 a 7.5.26, cerca de R$ 500 mil, previstos no BM11)</t>
        </is>
      </c>
      <c r="E60" s="218" t="inlineStr">
        <is>
          <t>CLIENTE</t>
        </is>
      </c>
      <c r="F60" s="220" t="n">
        <v>46325</v>
      </c>
      <c r="G60" s="218" t="inlineStr">
        <is>
          <t>Thadeu</t>
        </is>
      </c>
      <c r="H60" s="218" t="inlineStr">
        <is>
          <t>ABERTA</t>
        </is>
      </c>
      <c r="I60" s="220" t="n"/>
      <c r="J60" s="269" t="inlineStr">
        <is>
          <t>chat Compras 29/09 7:26-8:34; chat CCM 14/10 8:38-9:00; Cronograma FF linhas 581 a 591</t>
        </is>
      </c>
      <c r="K60" s="221">
        <f>IF(OR($B60="",$H60="RESOLVIDA",$M60="RISCO",AND($F60="",$U60="")),"",IF($U60&lt;&gt;"",$U60,$F60)-DATA_GESTAO)</f>
        <v>14</v>
      </c>
      <c r="L60" s="222" t="str">
        <f>IF($B60="","",IF($H60="RESOLVIDA","RESOLVIDA",IF($M60="RISCO","RISCO",IF($K60="","SEM PRAZO",IF($K60&lt;0,"VENCIDA",IF($G60="","SEM DONO",IF($K60&lt;=7,"ESTA SEMANA",IF($K60&lt;=42,"PRÓXIMAS 6 SEMANAS","NO PRAZO"))))))))</f>
        <v>PRÓXIMAS 6 SEMANAS</v>
      </c>
      <c r="M60" s="218" t="inlineStr">
        <is>
          <t>RESTRIÇÃO</t>
        </is>
      </c>
      <c r="N60" s="235" t="n"/>
      <c r="O60" s="271" t="n"/>
      <c r="P60" s="235" t="n"/>
      <c r="Q60" s="267">
        <f>IF($B60="","",IF(AND($N60="",$O60=""),IF($M60="RISCO","SEM BASE",""),IF(AND(ISNUMBER($N60),ISNUMBER($O60)),ROUND($N60*$O60/5,0),"SEM BASE")))</f>
      </c>
      <c r="R60" s="298" t="n"/>
      <c r="S60" s="298" t="n"/>
      <c r="T60" s="218" t="n"/>
      <c r="U60" s="220" t="n"/>
      <c r="V60" s="235" t="n"/>
      <c r="W60" s="221">
        <f>IF(AND(ISNUMBER($Q60),$H60&lt;&gt;"RESOLVIDA"),COUNTIFS($Q$5:$Q$204,"&gt;"&amp;$Q60,$H$5:$H$204,"&lt;&gt;RESOLVIDA")+COUNTIFS($Q$5:$Q60,$Q60,$H$5:$H60,"&lt;&gt;RESOLVIDA"),"")</f>
      </c>
    </row>
    <row r="61">
      <c r="A61" s="218" t="inlineStr">
        <is>
          <t>R57</t>
        </is>
      </c>
      <c r="B61" s="218" t="inlineStr">
        <is>
          <t>281</t>
        </is>
      </c>
      <c r="C61" s="218" t="inlineStr">
        <is>
          <t>281-7.1</t>
        </is>
      </c>
      <c r="D61" s="298" t="inlineStr">
        <is>
          <t>Quadro pneumático (dois, um por linha) e compressor: o fornecedor do painel diz que o compressor não é dele; definir quem fornece</t>
        </is>
      </c>
      <c r="E61" s="218" t="inlineStr">
        <is>
          <t>FORNECEDOR</t>
        </is>
      </c>
      <c r="F61" s="220" t="n">
        <v>46325</v>
      </c>
      <c r="G61" s="218" t="inlineStr">
        <is>
          <t>Rafael Santa Cruz</t>
        </is>
      </c>
      <c r="H61" s="218" t="inlineStr">
        <is>
          <t>ABERTA</t>
        </is>
      </c>
      <c r="I61" s="220" t="n"/>
      <c r="J61" s="269" t="inlineStr">
        <is>
          <t>chat CCM 14/10 13:42-16:01</t>
        </is>
      </c>
      <c r="K61" s="221">
        <f>IF(OR($B61="",$H61="RESOLVIDA",$M61="RISCO",AND($F61="",$U61="")),"",IF($U61&lt;&gt;"",$U61,$F61)-DATA_GESTAO)</f>
        <v>14</v>
      </c>
      <c r="L61" s="222" t="str">
        <f>IF($B61="","",IF($H61="RESOLVIDA","RESOLVIDA",IF($M61="RISCO","RISCO",IF($K61="","SEM PRAZO",IF($K61&lt;0,"VENCIDA",IF($G61="","SEM DONO",IF($K61&lt;=7,"ESTA SEMANA",IF($K61&lt;=42,"PRÓXIMAS 6 SEMANAS","NO PRAZO"))))))))</f>
        <v>PRÓXIMAS 6 SEMANAS</v>
      </c>
      <c r="M61" s="218" t="inlineStr">
        <is>
          <t>RESTRIÇÃO</t>
        </is>
      </c>
      <c r="N61" s="235" t="n"/>
      <c r="O61" s="271" t="n"/>
      <c r="P61" s="235" t="n"/>
      <c r="Q61" s="267">
        <f>IF($B61="","",IF(AND($N61="",$O61=""),IF($M61="RISCO","SEM BASE",""),IF(AND(ISNUMBER($N61),ISNUMBER($O61)),ROUND($N61*$O61/5,0),"SEM BASE")))</f>
      </c>
      <c r="R61" s="298" t="n"/>
      <c r="S61" s="298" t="n"/>
      <c r="T61" s="218" t="n"/>
      <c r="U61" s="220" t="n"/>
      <c r="V61" s="235" t="n"/>
      <c r="W61" s="221">
        <f>IF(AND(ISNUMBER($Q61),$H61&lt;&gt;"RESOLVIDA"),COUNTIFS($Q$5:$Q$204,"&gt;"&amp;$Q61,$H$5:$H$204,"&lt;&gt;RESOLVIDA")+COUNTIFS($Q$5:$Q61,$Q61,$H$5:$H61,"&lt;&gt;RESOLVIDA"),"")</f>
      </c>
    </row>
    <row r="62">
      <c r="A62" s="218" t="inlineStr">
        <is>
          <t>R58</t>
        </is>
      </c>
      <c r="B62" s="218" t="inlineStr">
        <is>
          <t>281</t>
        </is>
      </c>
      <c r="C62" s="218" t="inlineStr">
        <is>
          <t>BM</t>
        </is>
      </c>
      <c r="D62" s="298" t="inlineStr">
        <is>
          <t>CNDs da TECNOBOMBAS vencidas (FGTS 11/05, Municipal 06/06, Federal 14/06, Estadual cerca de 27/08) e CNDT vencendo em 26/10: renovar antes da NF do BM08</t>
        </is>
      </c>
      <c r="E62" s="218" t="inlineStr">
        <is>
          <t>PARCEIRO</t>
        </is>
      </c>
      <c r="F62" s="220" t="n">
        <v>46315</v>
      </c>
      <c r="G62" s="218" t="inlineStr">
        <is>
          <t>Rafael Santa Cruz</t>
        </is>
      </c>
      <c r="H62" s="218" t="inlineStr">
        <is>
          <t>ABERTA</t>
        </is>
      </c>
      <c r="I62" s="220" t="n"/>
      <c r="J62" s="269" t="inlineStr">
        <is>
          <t>Medição 02: CNDs da TECNOBOMBAS</t>
        </is>
      </c>
      <c r="K62" s="221">
        <f>IF(OR($B62="",$H62="RESOLVIDA",$M62="RISCO",AND($F62="",$U62="")),"",IF($U62&lt;&gt;"",$U62,$F62)-DATA_GESTAO)</f>
        <v>4</v>
      </c>
      <c r="L62" s="222" t="str">
        <f>IF($B62="","",IF($H62="RESOLVIDA","RESOLVIDA",IF($M62="RISCO","RISCO",IF($K62="","SEM PRAZO",IF($K62&lt;0,"VENCIDA",IF($G62="","SEM DONO",IF($K62&lt;=7,"ESTA SEMANA",IF($K62&lt;=42,"PRÓXIMAS 6 SEMANAS","NO PRAZO"))))))))</f>
        <v>ESTA SEMANA</v>
      </c>
      <c r="M62" s="218" t="inlineStr">
        <is>
          <t>RESTRIÇÃO</t>
        </is>
      </c>
      <c r="N62" s="235" t="n"/>
      <c r="O62" s="271" t="n"/>
      <c r="P62" s="235" t="n"/>
      <c r="Q62" s="267">
        <f>IF($B62="","",IF(AND($N62="",$O62=""),IF($M62="RISCO","SEM BASE",""),IF(AND(ISNUMBER($N62),ISNUMBER($O62)),ROUND($N62*$O62/5,0),"SEM BASE")))</f>
      </c>
      <c r="R62" s="298" t="n"/>
      <c r="S62" s="298" t="n"/>
      <c r="T62" s="218" t="n"/>
      <c r="U62" s="220" t="n"/>
      <c r="V62" s="235" t="n"/>
      <c r="W62" s="221">
        <f>IF(AND(ISNUMBER($Q62),$H62&lt;&gt;"RESOLVIDA"),COUNTIFS($Q$5:$Q$204,"&gt;"&amp;$Q62,$H$5:$H$204,"&lt;&gt;RESOLVIDA")+COUNTIFS($Q$5:$Q62,$Q62,$H$5:$H62,"&lt;&gt;RESOLVIDA"),"")</f>
      </c>
    </row>
    <row r="63">
      <c r="A63" s="218" t="inlineStr">
        <is>
          <t>R59</t>
        </is>
      </c>
      <c r="B63" s="218" t="inlineStr">
        <is>
          <t>281</t>
        </is>
      </c>
      <c r="C63" s="218" t="inlineStr">
        <is>
          <t>BM</t>
        </is>
      </c>
      <c r="D63" s="298" t="inlineStr">
        <is>
          <t>NF 402: contrato escrito 300004/2025 e termo de antecipação com R$ 2.555,49 a menos de retenções que a NF; conciliar com a SANEAGO</t>
        </is>
      </c>
      <c r="E63" s="218" t="inlineStr">
        <is>
          <t>CLIENTE</t>
        </is>
      </c>
      <c r="F63" s="220" t="n">
        <v>46325</v>
      </c>
      <c r="G63" s="218" t="inlineStr">
        <is>
          <t>Rafael Santa Cruz</t>
        </is>
      </c>
      <c r="H63" s="218" t="inlineStr">
        <is>
          <t>ABERTA</t>
        </is>
      </c>
      <c r="I63" s="220" t="n"/>
      <c r="J63" s="269" t="inlineStr">
        <is>
          <t>NFS 402; Termo de aceitação NF 402</t>
        </is>
      </c>
      <c r="K63" s="221">
        <f>IF(OR($B63="",$H63="RESOLVIDA",$M63="RISCO",AND($F63="",$U63="")),"",IF($U63&lt;&gt;"",$U63,$F63)-DATA_GESTAO)</f>
        <v>14</v>
      </c>
      <c r="L63" s="222" t="str">
        <f>IF($B63="","",IF($H63="RESOLVIDA","RESOLVIDA",IF($M63="RISCO","RISCO",IF($K63="","SEM PRAZO",IF($K63&lt;0,"VENCIDA",IF($G63="","SEM DONO",IF($K63&lt;=7,"ESTA SEMANA",IF($K63&lt;=42,"PRÓXIMAS 6 SEMANAS","NO PRAZO"))))))))</f>
        <v>PRÓXIMAS 6 SEMANAS</v>
      </c>
      <c r="M63" s="218" t="inlineStr">
        <is>
          <t>RESTRIÇÃO</t>
        </is>
      </c>
      <c r="N63" s="235" t="n"/>
      <c r="O63" s="271" t="n"/>
      <c r="P63" s="235" t="n"/>
      <c r="Q63" s="267">
        <f>IF($B63="","",IF(AND($N63="",$O63=""),IF($M63="RISCO","SEM BASE",""),IF(AND(ISNUMBER($N63),ISNUMBER($O63)),ROUND($N63*$O63/5,0),"SEM BASE")))</f>
      </c>
      <c r="R63" s="298" t="n"/>
      <c r="S63" s="298" t="n"/>
      <c r="T63" s="218" t="n"/>
      <c r="U63" s="220" t="n"/>
      <c r="V63" s="235" t="n"/>
      <c r="W63" s="221">
        <f>IF(AND(ISNUMBER($Q63),$H63&lt;&gt;"RESOLVIDA"),COUNTIFS($Q$5:$Q$204,"&gt;"&amp;$Q63,$H$5:$H$204,"&lt;&gt;RESOLVIDA")+COUNTIFS($Q$5:$Q63,$Q63,$H$5:$H63,"&lt;&gt;RESOLVIDA"),"")</f>
      </c>
    </row>
    <row r="64">
      <c r="A64" s="218" t="inlineStr">
        <is>
          <t>R60</t>
        </is>
      </c>
      <c r="B64" s="218" t="inlineStr">
        <is>
          <t>281</t>
        </is>
      </c>
      <c r="C64" s="218" t="inlineStr">
        <is>
          <t>BM</t>
        </is>
      </c>
      <c r="D64" s="298" t="inlineStr">
        <is>
          <t>NFs dos BMs 1 e 3 a 6 (e do BM07 se aprovado) e dos reajustes enviadas pela TECNOBOMBAS, que emite as notas, para lançar na 07. Perguntar já se os BMs 3 a 6 foram pagos com as CNDs da TECNOBOMBAS vencidas (R58)</t>
        </is>
      </c>
      <c r="E64" s="218" t="inlineStr">
        <is>
          <t>INTERNA</t>
        </is>
      </c>
      <c r="F64" s="220" t="n">
        <v>46314</v>
      </c>
      <c r="G64" s="218" t="inlineStr">
        <is>
          <t>Rafael Santa Cruz</t>
        </is>
      </c>
      <c r="H64" s="218" t="inlineStr">
        <is>
          <t>ABERTA</t>
        </is>
      </c>
      <c r="I64" s="220" t="n"/>
      <c r="J64" s="269" t="inlineStr">
        <is>
          <t>pasta FINANCEIRO (só Medição 02); 06 e 07 desta planilha; auditoria 15/10, item 2</t>
        </is>
      </c>
      <c r="K64" s="221">
        <f>IF(OR($B64="",$H64="RESOLVIDA",$M64="RISCO",AND($F64="",$U64="")),"",IF($U64&lt;&gt;"",$U64,$F64)-DATA_GESTAO)</f>
        <v>3</v>
      </c>
      <c r="L64" s="222" t="str">
        <f>IF($B64="","",IF($H64="RESOLVIDA","RESOLVIDA",IF($M64="RISCO","RISCO",IF($K64="","SEM PRAZO",IF($K64&lt;0,"VENCIDA",IF($G64="","SEM DONO",IF($K64&lt;=7,"ESTA SEMANA",IF($K64&lt;=42,"PRÓXIMAS 6 SEMANAS","NO PRAZO"))))))))</f>
        <v>ESTA SEMANA</v>
      </c>
      <c r="M64" s="218" t="inlineStr">
        <is>
          <t>RESTRIÇÃO</t>
        </is>
      </c>
      <c r="N64" s="235" t="n"/>
      <c r="O64" s="271" t="n"/>
      <c r="P64" s="235" t="n"/>
      <c r="Q64" s="267">
        <f>IF($B64="","",IF(AND($N64="",$O64=""),IF($M64="RISCO","SEM BASE",""),IF(AND(ISNUMBER($N64),ISNUMBER($O64)),ROUND($N64*$O64/5,0),"SEM BASE")))</f>
      </c>
      <c r="R64" s="298" t="n"/>
      <c r="S64" s="298" t="n"/>
      <c r="T64" s="218" t="n"/>
      <c r="U64" s="220" t="n"/>
      <c r="V64" s="235" t="n"/>
      <c r="W64" s="221">
        <f>IF(AND(ISNUMBER($Q64),$H64&lt;&gt;"RESOLVIDA"),COUNTIFS($Q$5:$Q$204,"&gt;"&amp;$Q64,$H$5:$H$204,"&lt;&gt;RESOLVIDA")+COUNTIFS($Q$5:$Q64,$Q64,$H$5:$H64,"&lt;&gt;RESOLVIDA"),"")</f>
      </c>
    </row>
    <row r="65">
      <c r="A65" s="218" t="inlineStr">
        <is>
          <t>R61</t>
        </is>
      </c>
      <c r="B65" s="218" t="inlineStr">
        <is>
          <t>281</t>
        </is>
      </c>
      <c r="C65" s="218" t="inlineStr">
        <is>
          <t>ADM</t>
        </is>
      </c>
      <c r="D65" s="298" t="inlineStr">
        <is>
          <t>Custos do consórcio lançados só até 30/05/2026: trazer junho a outubro e conferir os 56 lançamentos com mesma NF, fornecedor e valor em meses seguidos</t>
        </is>
      </c>
      <c r="E65" s="218" t="inlineStr">
        <is>
          <t>INTERNA</t>
        </is>
      </c>
      <c r="F65" s="220" t="n">
        <v>46314</v>
      </c>
      <c r="G65" s="218" t="inlineStr">
        <is>
          <t>Financeiro TAF</t>
        </is>
      </c>
      <c r="H65" s="218" t="inlineStr">
        <is>
          <t>ABERTA</t>
        </is>
      </c>
      <c r="I65" s="220" t="n"/>
      <c r="J65" s="269" t="inlineStr">
        <is>
          <t>08D (resumo, coluna Q); SANEAGO_MOZARLANDIA_CUSTOS 30.04.2026.xlsx e Custos Mensais - Maio 26.xlsx</t>
        </is>
      </c>
      <c r="K65" s="221">
        <f>IF(OR($B65="",$H65="RESOLVIDA",$M65="RISCO",AND($F65="",$U65="")),"",IF($U65&lt;&gt;"",$U65,$F65)-DATA_GESTAO)</f>
        <v>3</v>
      </c>
      <c r="L65" s="222" t="str">
        <f>IF($B65="","",IF($H65="RESOLVIDA","RESOLVIDA",IF($M65="RISCO","RISCO",IF($K65="","SEM PRAZO",IF($K65&lt;0,"VENCIDA",IF($G65="","SEM DONO",IF($K65&lt;=7,"ESTA SEMANA",IF($K65&lt;=42,"PRÓXIMAS 6 SEMANAS","NO PRAZO"))))))))</f>
        <v>ESTA SEMANA</v>
      </c>
      <c r="M65" s="218" t="inlineStr">
        <is>
          <t>RESTRIÇÃO</t>
        </is>
      </c>
      <c r="N65" s="235" t="n"/>
      <c r="O65" s="271" t="n"/>
      <c r="P65" s="235" t="n"/>
      <c r="Q65" s="267">
        <f>IF($B65="","",IF(AND($N65="",$O65=""),IF($M65="RISCO","SEM BASE",""),IF(AND(ISNUMBER($N65),ISNUMBER($O65)),ROUND($N65*$O65/5,0),"SEM BASE")))</f>
      </c>
      <c r="R65" s="298" t="n"/>
      <c r="S65" s="298" t="n"/>
      <c r="T65" s="218" t="n"/>
      <c r="U65" s="220" t="n"/>
      <c r="V65" s="235" t="n"/>
      <c r="W65" s="221">
        <f>IF(AND(ISNUMBER($Q65),$H65&lt;&gt;"RESOLVIDA"),COUNTIFS($Q$5:$Q$204,"&gt;"&amp;$Q65,$H$5:$H$204,"&lt;&gt;RESOLVIDA")+COUNTIFS($Q$5:$Q65,$Q65,$H$5:$H65,"&lt;&gt;RESOLVIDA"),"")</f>
      </c>
    </row>
    <row r="66">
      <c r="A66" s="218" t="inlineStr">
        <is>
          <t>R62</t>
        </is>
      </c>
      <c r="B66" s="218" t="inlineStr">
        <is>
          <t>281</t>
        </is>
      </c>
      <c r="C66" s="218" t="inlineStr">
        <is>
          <t>BM</t>
        </is>
      </c>
      <c r="D66" s="298" t="inlineStr">
        <is>
          <t>Confirmar com a fiscalização se o BM07 (27/08 a 20/09, R$ 688.711,37) foi aprovado. O valor está no RPM nº 6 rev02 e no FPM-06, mas o cabeçalho do cronograma ainda diz BM 6; até a confirmação ele fica ENVIADO na 06 e fora do medido</t>
        </is>
      </c>
      <c r="E66" s="218" t="inlineStr">
        <is>
          <t>CLIENTE</t>
        </is>
      </c>
      <c r="F66" s="220" t="n">
        <v>46314</v>
      </c>
      <c r="G66" s="218" t="inlineStr">
        <is>
          <t>Ricarlos</t>
        </is>
      </c>
      <c r="H66" s="218" t="inlineStr">
        <is>
          <t>ABERTA</t>
        </is>
      </c>
      <c r="I66" s="220" t="n"/>
      <c r="J66" s="269" t="inlineStr">
        <is>
          <t>Cronograma FF, M4/M5 e coluna N; cache dos arquivos RPM nº 6 rev02 e FPM-06 (pasta Medições\BM 07)</t>
        </is>
      </c>
      <c r="K66" s="221">
        <f>IF(OR($B66="",$H66="RESOLVIDA",$M66="RISCO",AND($F66="",$U66="")),"",IF($U66&lt;&gt;"",$U66,$F66)-DATA_GESTAO)</f>
        <v>3</v>
      </c>
      <c r="L66" s="222" t="str">
        <f>IF($B66="","",IF($H66="RESOLVIDA","RESOLVIDA",IF($M66="RISCO","RISCO",IF($K66="","SEM PRAZO",IF($K66&lt;0,"VENCIDA",IF($G66="","SEM DONO",IF($K66&lt;=7,"ESTA SEMANA",IF($K66&lt;=42,"PRÓXIMAS 6 SEMANAS","NO PRAZO"))))))))</f>
        <v>ESTA SEMANA</v>
      </c>
      <c r="M66" s="218" t="inlineStr">
        <is>
          <t>RESTRIÇÃO</t>
        </is>
      </c>
      <c r="N66" s="235" t="n"/>
      <c r="O66" s="271" t="n"/>
      <c r="P66" s="235" t="n"/>
      <c r="Q66" s="267">
        <f>IF($B66="","",IF(AND($N66="",$O66=""),IF($M66="RISCO","SEM BASE",""),IF(AND(ISNUMBER($N66),ISNUMBER($O66)),ROUND($N66*$O66/5,0),"SEM BASE")))</f>
      </c>
      <c r="R66" s="298" t="n"/>
      <c r="S66" s="298" t="n"/>
      <c r="T66" s="218" t="n"/>
      <c r="U66" s="220" t="n"/>
      <c r="V66" s="235" t="n"/>
      <c r="W66" s="221">
        <f>IF(AND(ISNUMBER($Q66),$H66&lt;&gt;"RESOLVIDA"),COUNTIFS($Q$5:$Q$204,"&gt;"&amp;$Q66,$H$5:$H$204,"&lt;&gt;RESOLVIDA")+COUNTIFS($Q$5:$Q66,$Q66,$H$5:$H66,"&lt;&gt;RESOLVIDA"),"")</f>
      </c>
    </row>
    <row r="67">
      <c r="A67" s="218" t="inlineStr">
        <is>
          <t>R63</t>
        </is>
      </c>
      <c r="B67" s="218" t="inlineStr">
        <is>
          <t>281</t>
        </is>
      </c>
      <c r="C67" s="218" t="inlineStr">
        <is>
          <t>BM</t>
        </is>
      </c>
      <c r="D67" s="298" t="inlineStr">
        <is>
          <t>Lista única dos eventos atrasados da 281 até o BM07: 42 de 236 eventos, R$ 1.296.031 (40 com zero medido). Com restrição própria: ETA 7.1.4 (R44), EEAT 7.2.8 a 7.2.19 (R53), guarda-corpo (R65) e misturadores 7.3.12 (R66). Sem restrição própria: 4.1.1 adutora AAB-1 (R$ 90.681,23, BM05), 7.1.2 concreto da ETA (R$ 59.945,00, BM02 e BM03) e 7.5.3 concreto (R$ 118.932,00, BM07). Ricarlos completa a lista com código, valor, o que trava e o BM em que entra</t>
        </is>
      </c>
      <c r="E67" s="218" t="inlineStr">
        <is>
          <t>INTERNA</t>
        </is>
      </c>
      <c r="F67" s="220" t="n">
        <v>46315</v>
      </c>
      <c r="G67" s="218" t="inlineStr">
        <is>
          <t>Ricarlos</t>
        </is>
      </c>
      <c r="H67" s="218" t="inlineStr">
        <is>
          <t>ABERTA</t>
        </is>
      </c>
      <c r="I67" s="220" t="n"/>
      <c r="J67" s="269" t="inlineStr">
        <is>
          <t>Cronograma FF, linhas 143, 383 e 545 (previsto sem realizado); auditoria 15/10, item 4 (Cronograma 281, evento a evento até o BM7)</t>
        </is>
      </c>
      <c r="K67" s="221">
        <f>IF(OR($B67="",$H67="RESOLVIDA",$M67="RISCO",AND($F67="",$U67="")),"",IF($U67&lt;&gt;"",$U67,$F67)-DATA_GESTAO)</f>
        <v>4</v>
      </c>
      <c r="L67" s="222" t="str">
        <f>IF($B67="","",IF($H67="RESOLVIDA","RESOLVIDA",IF($M67="RISCO","RISCO",IF($K67="","SEM PRAZO",IF($K67&lt;0,"VENCIDA",IF($G67="","SEM DONO",IF($K67&lt;=7,"ESTA SEMANA",IF($K67&lt;=42,"PRÓXIMAS 6 SEMANAS","NO PRAZO"))))))))</f>
        <v>ESTA SEMANA</v>
      </c>
      <c r="M67" s="218" t="inlineStr">
        <is>
          <t>RESTRIÇÃO</t>
        </is>
      </c>
      <c r="N67" s="235" t="n"/>
      <c r="O67" s="271" t="n"/>
      <c r="P67" s="235" t="n"/>
      <c r="Q67" s="267">
        <f>IF($B67="","",IF(AND($N67="",$O67=""),IF($M67="RISCO","SEM BASE",""),IF(AND(ISNUMBER($N67),ISNUMBER($O67)),ROUND($N67*$O67/5,0),"SEM BASE")))</f>
      </c>
      <c r="R67" s="298" t="n"/>
      <c r="S67" s="298" t="n"/>
      <c r="T67" s="218" t="n"/>
      <c r="U67" s="220" t="n"/>
      <c r="V67" s="235" t="n"/>
      <c r="W67" s="221">
        <f>IF(AND(ISNUMBER($Q67),$H67&lt;&gt;"RESOLVIDA"),COUNTIFS($Q$5:$Q$204,"&gt;"&amp;$Q67,$H$5:$H$204,"&lt;&gt;RESOLVIDA")+COUNTIFS($Q$5:$Q67,$Q67,$H$5:$H67,"&lt;&gt;RESOLVIDA"),"")</f>
      </c>
    </row>
    <row r="68">
      <c r="A68" s="218" t="inlineStr">
        <is>
          <t>R64</t>
        </is>
      </c>
      <c r="B68" s="218" t="inlineStr">
        <is>
          <t>281</t>
        </is>
      </c>
      <c r="C68" s="218" t="inlineStr">
        <is>
          <t>281-7.1</t>
        </is>
      </c>
      <c r="D68" s="298" t="inlineStr">
        <is>
          <t>Troca da fundação (ETA em radier e caixa de chegada em sapata, sem estaca raiz; o Ricarlos estima economia acima de R$ 200 mil) definida com a SANEAGO: aditivo, supressão ou nada muda. Mexe na medição do 7.1.2 (R$ 59.945,00, pelo volume do projeto executivo) e do 6.2.1 (R$ 18.046,54, BM09); o eventograma não tem evento de estaca raiz</t>
        </is>
      </c>
      <c r="E68" s="218" t="inlineStr">
        <is>
          <t>CLIENTE</t>
        </is>
      </c>
      <c r="F68" s="220" t="n">
        <v>46318</v>
      </c>
      <c r="G68" s="218" t="inlineStr">
        <is>
          <t>Thadeu</t>
        </is>
      </c>
      <c r="H68" s="218" t="inlineStr">
        <is>
          <t>ABERTA</t>
        </is>
      </c>
      <c r="I68" s="220" t="n"/>
      <c r="J68" s="269" t="inlineStr">
        <is>
          <t>chat Projetos 01/10 13:20-13:24; Cronograma FF linhas 383 e 289. O dono e o prazo são padrão, a fonte não diz</t>
        </is>
      </c>
      <c r="K68" s="221">
        <f>IF(OR($B68="",$H68="RESOLVIDA",$M68="RISCO",AND($F68="",$U68="")),"",IF($U68&lt;&gt;"",$U68,$F68)-DATA_GESTAO)</f>
        <v>7</v>
      </c>
      <c r="L68" s="222" t="str">
        <f>IF($B68="","",IF($H68="RESOLVIDA","RESOLVIDA",IF($M68="RISCO","RISCO",IF($K68="","SEM PRAZO",IF($K68&lt;0,"VENCIDA",IF($G68="","SEM DONO",IF($K68&lt;=7,"ESTA SEMANA",IF($K68&lt;=42,"PRÓXIMAS 6 SEMANAS","NO PRAZO"))))))))</f>
        <v>ESTA SEMANA</v>
      </c>
      <c r="M68" s="218" t="inlineStr">
        <is>
          <t>RESTRIÇÃO</t>
        </is>
      </c>
      <c r="N68" s="235" t="n"/>
      <c r="O68" s="271" t="n"/>
      <c r="P68" s="235" t="n"/>
      <c r="Q68" s="267">
        <f>IF($B68="","",IF(AND($N68="",$O68=""),IF($M68="RISCO","SEM BASE",""),IF(AND(ISNUMBER($N68),ISNUMBER($O68)),ROUND($N68*$O68/5,0),"SEM BASE")))</f>
      </c>
      <c r="R68" s="298" t="n"/>
      <c r="S68" s="298" t="n"/>
      <c r="T68" s="218" t="n"/>
      <c r="U68" s="220" t="n"/>
      <c r="V68" s="235" t="n"/>
      <c r="W68" s="221">
        <f>IF(AND(ISNUMBER($Q68),$H68&lt;&gt;"RESOLVIDA"),COUNTIFS($Q$5:$Q$204,"&gt;"&amp;$Q68,$H$5:$H$204,"&lt;&gt;RESOLVIDA")+COUNTIFS($Q$5:$Q68,$Q68,$H$5:$H68,"&lt;&gt;RESOLVIDA"),"")</f>
      </c>
    </row>
    <row r="69">
      <c r="A69" s="218" t="inlineStr">
        <is>
          <t>R65</t>
        </is>
      </c>
      <c r="B69" s="218" t="inlineStr">
        <is>
          <t>281</t>
        </is>
      </c>
      <c r="C69" s="218" t="inlineStr">
        <is>
          <t>281-7.3</t>
        </is>
      </c>
      <c r="D69" s="298" t="inlineStr">
        <is>
          <t>Ordem de compra do guarda-corpo para o Mike (eventos 7.3.6 R$ 5.720,04 no BM05 e 7.2.8 R$ 1.180,20 no BM06, sem medição; 5.2.4 R$ 21.129,51 no BM11) e compra do material das monovias, que já têm OC</t>
        </is>
      </c>
      <c r="E69" s="218" t="inlineStr">
        <is>
          <t>FORNECEDOR</t>
        </is>
      </c>
      <c r="F69" s="220" t="n">
        <v>46315</v>
      </c>
      <c r="G69" s="218" t="inlineStr">
        <is>
          <t>Rafael Santa Cruz</t>
        </is>
      </c>
      <c r="H69" s="218" t="inlineStr">
        <is>
          <t>ABERTA</t>
        </is>
      </c>
      <c r="I69" s="220" t="n"/>
      <c r="J69" s="269" t="inlineStr">
        <is>
          <t>chat Compras 06/10 10:11-11:18; Cronograma FF linhas 479, 437 e 217. Prazo padrão: fechamento do BM08</t>
        </is>
      </c>
      <c r="K69" s="221">
        <f>IF(OR($B69="",$H69="RESOLVIDA",$M69="RISCO",AND($F69="",$U69="")),"",IF($U69&lt;&gt;"",$U69,$F69)-DATA_GESTAO)</f>
        <v>4</v>
      </c>
      <c r="L69" s="222" t="str">
        <f>IF($B69="","",IF($H69="RESOLVIDA","RESOLVIDA",IF($M69="RISCO","RISCO",IF($K69="","SEM PRAZO",IF($K69&lt;0,"VENCIDA",IF($G69="","SEM DONO",IF($K69&lt;=7,"ESTA SEMANA",IF($K69&lt;=42,"PRÓXIMAS 6 SEMANAS","NO PRAZO"))))))))</f>
        <v>ESTA SEMANA</v>
      </c>
      <c r="M69" s="218" t="inlineStr">
        <is>
          <t>RESTRIÇÃO</t>
        </is>
      </c>
      <c r="N69" s="235" t="n"/>
      <c r="O69" s="271" t="n"/>
      <c r="P69" s="235" t="n"/>
      <c r="Q69" s="267">
        <f>IF($B69="","",IF(AND($N69="",$O69=""),IF($M69="RISCO","SEM BASE",""),IF(AND(ISNUMBER($N69),ISNUMBER($O69)),ROUND($N69*$O69/5,0),"SEM BASE")))</f>
      </c>
      <c r="R69" s="298" t="n"/>
      <c r="S69" s="298" t="n"/>
      <c r="T69" s="218" t="n"/>
      <c r="U69" s="220" t="n"/>
      <c r="V69" s="235" t="n"/>
      <c r="W69" s="221">
        <f>IF(AND(ISNUMBER($Q69),$H69&lt;&gt;"RESOLVIDA"),COUNTIFS($Q$5:$Q$204,"&gt;"&amp;$Q69,$H$5:$H$204,"&lt;&gt;RESOLVIDA")+COUNTIFS($Q$5:$Q69,$Q69,$H$5:$H69,"&lt;&gt;RESOLVIDA"),"")</f>
      </c>
    </row>
    <row r="70">
      <c r="A70" s="218" t="inlineStr">
        <is>
          <t>R66</t>
        </is>
      </c>
      <c r="B70" s="218" t="inlineStr">
        <is>
          <t>281</t>
        </is>
      </c>
      <c r="C70" s="218" t="inlineStr">
        <is>
          <t>281-7.3</t>
        </is>
      </c>
      <c r="D70" s="298" t="inlineStr">
        <is>
          <t>Misturadores submersíveis: confirmar se o fornecimento da WILO foi fechado (o 7.3.12, R$ 52.442,97, estava previsto no BM05 e não foi medido; o chat não diz a unidade)</t>
        </is>
      </c>
      <c r="E70" s="218" t="inlineStr">
        <is>
          <t>FORNECEDOR</t>
        </is>
      </c>
      <c r="F70" s="220" t="n">
        <v>46315</v>
      </c>
      <c r="G70" s="218" t="inlineStr">
        <is>
          <t>Rafael Santa Cruz</t>
        </is>
      </c>
      <c r="H70" s="218" t="inlineStr">
        <is>
          <t>ABERTA</t>
        </is>
      </c>
      <c r="I70" s="220" t="n"/>
      <c r="J70" s="269" t="inlineStr">
        <is>
          <t>chat Compras 06/10 (pergunta do Rafael Coelho sem resposta); Cronograma FF linha 491. Dono e prazo padrão</t>
        </is>
      </c>
      <c r="K70" s="221">
        <f>IF(OR($B70="",$H70="RESOLVIDA",$M70="RISCO",AND($F70="",$U70="")),"",IF($U70&lt;&gt;"",$U70,$F70)-DATA_GESTAO)</f>
        <v>4</v>
      </c>
      <c r="L70" s="222" t="str">
        <f>IF($B70="","",IF($H70="RESOLVIDA","RESOLVIDA",IF($M70="RISCO","RISCO",IF($K70="","SEM PRAZO",IF($K70&lt;0,"VENCIDA",IF($G70="","SEM DONO",IF($K70&lt;=7,"ESTA SEMANA",IF($K70&lt;=42,"PRÓXIMAS 6 SEMANAS","NO PRAZO"))))))))</f>
        <v>ESTA SEMANA</v>
      </c>
      <c r="M70" s="218" t="inlineStr">
        <is>
          <t>RESTRIÇÃO</t>
        </is>
      </c>
      <c r="N70" s="235" t="n"/>
      <c r="O70" s="271" t="n"/>
      <c r="P70" s="235" t="n"/>
      <c r="Q70" s="267">
        <f>IF($B70="","",IF(AND($N70="",$O70=""),IF($M70="RISCO","SEM BASE",""),IF(AND(ISNUMBER($N70),ISNUMBER($O70)),ROUND($N70*$O70/5,0),"SEM BASE")))</f>
      </c>
      <c r="R70" s="298" t="n"/>
      <c r="S70" s="298" t="n"/>
      <c r="T70" s="218" t="n"/>
      <c r="U70" s="220" t="n"/>
      <c r="V70" s="235" t="n"/>
      <c r="W70" s="221">
        <f>IF(AND(ISNUMBER($Q70),$H70&lt;&gt;"RESOLVIDA"),COUNTIFS($Q$5:$Q$204,"&gt;"&amp;$Q70,$H$5:$H$204,"&lt;&gt;RESOLVIDA")+COUNTIFS($Q$5:$Q70,$Q70,$H$5:$H70,"&lt;&gt;RESOLVIDA"),"")</f>
      </c>
    </row>
    <row r="71">
      <c r="A71" s="218" t="inlineStr">
        <is>
          <t>R67</t>
        </is>
      </c>
      <c r="B71" s="218" t="inlineStr">
        <is>
          <t>281</t>
        </is>
      </c>
      <c r="C71" s="218" t="inlineStr">
        <is>
          <t>281-3.3</t>
        </is>
      </c>
      <c r="D71" s="298" t="inlineStr">
        <is>
          <t>Portões restantes: aprovar a compra do material junto com as caçambas de Cristalina (o portão da EEAB1 já está com a TECNOBOMBAS). Eventos 3.3.10 (R$ 11.264,77, BM09), 5.3.2 (R$ 16.940,04, BM12) e 7.18.3 (R$ 285.627,45, BM20)</t>
        </is>
      </c>
      <c r="E71" s="218" t="inlineStr">
        <is>
          <t>INTERNA</t>
        </is>
      </c>
      <c r="F71" s="220" t="n">
        <v>46325</v>
      </c>
      <c r="G71" s="218" t="inlineStr">
        <is>
          <t>Thadeu</t>
        </is>
      </c>
      <c r="H71" s="218" t="inlineStr">
        <is>
          <t>ABERTA</t>
        </is>
      </c>
      <c r="I71" s="220" t="n"/>
      <c r="J71" s="269" t="inlineStr">
        <is>
          <t>chat Compras 06/10 10:11-10:21; Cronograma FF linhas 115, 231 e 807. Dono e prazo padrão</t>
        </is>
      </c>
      <c r="K71" s="221">
        <f>IF(OR($B71="",$H71="RESOLVIDA",$M71="RISCO",AND($F71="",$U71="")),"",IF($U71&lt;&gt;"",$U71,$F71)-DATA_GESTAO)</f>
        <v>14</v>
      </c>
      <c r="L71" s="222" t="str">
        <f>IF($B71="","",IF($H71="RESOLVIDA","RESOLVIDA",IF($M71="RISCO","RISCO",IF($K71="","SEM PRAZO",IF($K71&lt;0,"VENCIDA",IF($G71="","SEM DONO",IF($K71&lt;=7,"ESTA SEMANA",IF($K71&lt;=42,"PRÓXIMAS 6 SEMANAS","NO PRAZO"))))))))</f>
        <v>PRÓXIMAS 6 SEMANAS</v>
      </c>
      <c r="M71" s="218" t="inlineStr">
        <is>
          <t>RESTRIÇÃO</t>
        </is>
      </c>
      <c r="N71" s="235" t="n"/>
      <c r="O71" s="271" t="n"/>
      <c r="P71" s="235" t="n"/>
      <c r="Q71" s="267">
        <f>IF($B71="","",IF(AND($N71="",$O71=""),IF($M71="RISCO","SEM BASE",""),IF(AND(ISNUMBER($N71),ISNUMBER($O71)),ROUND($N71*$O71/5,0),"SEM BASE")))</f>
      </c>
      <c r="R71" s="298" t="n"/>
      <c r="S71" s="298" t="n"/>
      <c r="T71" s="218" t="n"/>
      <c r="U71" s="220" t="n"/>
      <c r="V71" s="235" t="n"/>
      <c r="W71" s="221">
        <f>IF(AND(ISNUMBER($Q71),$H71&lt;&gt;"RESOLVIDA"),COUNTIFS($Q$5:$Q$204,"&gt;"&amp;$Q71,$H$5:$H$204,"&lt;&gt;RESOLVIDA")+COUNTIFS($Q$5:$Q71,$Q71,$H$5:$H71,"&lt;&gt;RESOLVIDA"),"")</f>
      </c>
    </row>
    <row r="72">
      <c r="A72" s="218" t="inlineStr">
        <is>
          <t>R68</t>
        </is>
      </c>
      <c r="B72" s="218" t="inlineStr">
        <is>
          <t>281</t>
        </is>
      </c>
      <c r="C72" s="218" t="inlineStr">
        <is>
          <t>ADM</t>
        </is>
      </c>
      <c r="D72" s="298" t="inlineStr">
        <is>
          <t>Planilha única de equipamentos e fabricações no modelo de controle de GRD, pedida em 30/09 e de novo em 06/10, ainda não entregue</t>
        </is>
      </c>
      <c r="E72" s="218" t="inlineStr">
        <is>
          <t>INTERNA</t>
        </is>
      </c>
      <c r="F72" s="220" t="n">
        <v>46318</v>
      </c>
      <c r="G72" s="218" t="inlineStr">
        <is>
          <t>Rafael Coelho</t>
        </is>
      </c>
      <c r="H72" s="218" t="inlineStr">
        <is>
          <t>ABERTA</t>
        </is>
      </c>
      <c r="I72" s="220" t="n"/>
      <c r="J72" s="269" t="inlineStr">
        <is>
          <t>chat Compras 30/09 13:39-13:44 e 06/10 11:07-11:18. Prazo padrão</t>
        </is>
      </c>
      <c r="K72" s="221">
        <f>IF(OR($B72="",$H72="RESOLVIDA",$M72="RISCO",AND($F72="",$U72="")),"",IF($U72&lt;&gt;"",$U72,$F72)-DATA_GESTAO)</f>
        <v>7</v>
      </c>
      <c r="L72" s="222" t="str">
        <f>IF($B72="","",IF($H72="RESOLVIDA","RESOLVIDA",IF($M72="RISCO","RISCO",IF($K72="","SEM PRAZO",IF($K72&lt;0,"VENCIDA",IF($G72="","SEM DONO",IF($K72&lt;=7,"ESTA SEMANA",IF($K72&lt;=42,"PRÓXIMAS 6 SEMANAS","NO PRAZO"))))))))</f>
        <v>ESTA SEMANA</v>
      </c>
      <c r="M72" s="218" t="inlineStr">
        <is>
          <t>RESTRIÇÃO</t>
        </is>
      </c>
      <c r="N72" s="235" t="n"/>
      <c r="O72" s="271" t="n"/>
      <c r="P72" s="235" t="n"/>
      <c r="Q72" s="267">
        <f>IF($B72="","",IF(AND($N72="",$O72=""),IF($M72="RISCO","SEM BASE",""),IF(AND(ISNUMBER($N72),ISNUMBER($O72)),ROUND($N72*$O72/5,0),"SEM BASE")))</f>
      </c>
      <c r="R72" s="298" t="n"/>
      <c r="S72" s="298" t="n"/>
      <c r="T72" s="218" t="n"/>
      <c r="U72" s="220" t="n"/>
      <c r="V72" s="235" t="n"/>
      <c r="W72" s="221">
        <f>IF(AND(ISNUMBER($Q72),$H72&lt;&gt;"RESOLVIDA"),COUNTIFS($Q$5:$Q$204,"&gt;"&amp;$Q72,$H$5:$H$204,"&lt;&gt;RESOLVIDA")+COUNTIFS($Q$5:$Q72,$Q72,$H$5:$H72,"&lt;&gt;RESOLVIDA"),"")</f>
      </c>
    </row>
    <row r="73">
      <c r="A73" s="218" t="inlineStr">
        <is>
          <t>R69</t>
        </is>
      </c>
      <c r="B73" s="218" t="inlineStr">
        <is>
          <t>342</t>
        </is>
      </c>
      <c r="C73" s="218" t="inlineStr">
        <is>
          <t>3.8.1</t>
        </is>
      </c>
      <c r="D73" s="298" t="inlineStr">
        <is>
          <t>SANEAGO confirma se a UTR precisa de obra da Equatorial em média tensão e pede o orçamento de conexão (REN 1000: até 21/11/2026 com média tensão; até 20/01/2027 só baixa tensão)</t>
        </is>
      </c>
      <c r="E73" s="218" t="inlineStr">
        <is>
          <t>CLIENTE</t>
        </is>
      </c>
      <c r="F73" s="220" t="n">
        <v>46347</v>
      </c>
      <c r="G73" s="218" t="inlineStr">
        <is>
          <t>Tiago Marinho</t>
        </is>
      </c>
      <c r="H73" s="218" t="inlineStr">
        <is>
          <t>ABERTA</t>
        </is>
      </c>
      <c r="I73" s="220" t="n"/>
      <c r="J73" s="269" t="inlineStr">
        <is>
          <t>Estudo 342 REV13, aba 17 (ligação definitiva até 28/04/2027)</t>
        </is>
      </c>
      <c r="K73" s="221">
        <f>IF(OR($B73="",$H73="RESOLVIDA",$M73="RISCO",AND($F73="",$U73="")),"",IF($U73&lt;&gt;"",$U73,$F73)-DATA_GESTAO)</f>
        <v>36</v>
      </c>
      <c r="L73" s="222" t="str">
        <f>IF($B73="","",IF($H73="RESOLVIDA","RESOLVIDA",IF($M73="RISCO","RISCO",IF($K73="","SEM PRAZO",IF($K73&lt;0,"VENCIDA",IF($G73="","SEM DONO",IF($K73&lt;=7,"ESTA SEMANA",IF($K73&lt;=42,"PRÓXIMAS 6 SEMANAS","NO PRAZO"))))))))</f>
        <v>PRÓXIMAS 6 SEMANAS</v>
      </c>
      <c r="M73" s="218" t="inlineStr">
        <is>
          <t>RESTRIÇÃO</t>
        </is>
      </c>
      <c r="N73" s="235" t="n"/>
      <c r="O73" s="271" t="n"/>
      <c r="P73" s="235" t="n"/>
      <c r="Q73" s="267">
        <f>IF($B73="","",IF(AND($N73="",$O73=""),IF($M73="RISCO","SEM BASE",""),IF(AND(ISNUMBER($N73),ISNUMBER($O73)),ROUND($N73*$O73/5,0),"SEM BASE")))</f>
      </c>
      <c r="R73" s="298" t="n"/>
      <c r="S73" s="298" t="n"/>
      <c r="T73" s="218" t="n"/>
      <c r="U73" s="220" t="n"/>
      <c r="V73" s="235" t="n"/>
      <c r="W73" s="221">
        <f>IF(AND(ISNUMBER($Q73),$H73&lt;&gt;"RESOLVIDA"),COUNTIFS($Q$5:$Q$204,"&gt;"&amp;$Q73,$H$5:$H$204,"&lt;&gt;RESOLVIDA")+COUNTIFS($Q$5:$Q73,$Q73,$H$5:$H73,"&lt;&gt;RESOLVIDA"),"")</f>
      </c>
    </row>
    <row r="74">
      <c r="A74" s="218" t="inlineStr">
        <is>
          <t>R70</t>
        </is>
      </c>
      <c r="B74" s="218" t="inlineStr">
        <is>
          <t>342</t>
        </is>
      </c>
      <c r="C74" s="218" t="inlineStr">
        <is>
          <t>3.6.7</t>
        </is>
      </c>
      <c r="D74" s="298" t="inlineStr">
        <is>
          <t>Tipo de bomba confirmado com a fiscalização: o Plano de Trabalho diz eixo horizontal e o orçamento diz submersível vertical</t>
        </is>
      </c>
      <c r="E74" s="218" t="inlineStr">
        <is>
          <t>CLIENTE</t>
        </is>
      </c>
      <c r="F74" s="220" t="n">
        <v>46353</v>
      </c>
      <c r="G74" s="218" t="inlineStr">
        <is>
          <t>Marko Aurélio</t>
        </is>
      </c>
      <c r="H74" s="218" t="inlineStr">
        <is>
          <t>ABERTA</t>
        </is>
      </c>
      <c r="I74" s="220" t="n"/>
      <c r="J74" s="269" t="inlineStr">
        <is>
          <t>Estudo 342 REV13, aba 17; trava a compra da R28; prazo movido de 30/11 (feriado municipal em Santo Antônio do Descoberto, 02. PARÂMETROS) para 27/11/2026, o dia útil anterior (auditoria 15/10)</t>
        </is>
      </c>
      <c r="K74" s="221">
        <f>IF(OR($B74="",$H74="RESOLVIDA",$M74="RISCO",AND($F74="",$U74="")),"",IF($U74&lt;&gt;"",$U74,$F74)-DATA_GESTAO)</f>
        <v>42</v>
      </c>
      <c r="L74" s="222" t="str">
        <f>IF($B74="","",IF($H74="RESOLVIDA","RESOLVIDA",IF($M74="RISCO","RISCO",IF($K74="","SEM PRAZO",IF($K74&lt;0,"VENCIDA",IF($G74="","SEM DONO",IF($K74&lt;=7,"ESTA SEMANA",IF($K74&lt;=42,"PRÓXIMAS 6 SEMANAS","NO PRAZO"))))))))</f>
        <v>PRÓXIMAS 6 SEMANAS</v>
      </c>
      <c r="M74" s="218" t="inlineStr">
        <is>
          <t>RESTRIÇÃO</t>
        </is>
      </c>
      <c r="N74" s="235" t="n"/>
      <c r="O74" s="271" t="n"/>
      <c r="P74" s="235" t="n"/>
      <c r="Q74" s="267">
        <f>IF($B74="","",IF(AND($N74="",$O74=""),IF($M74="RISCO","SEM BASE",""),IF(AND(ISNUMBER($N74),ISNUMBER($O74)),ROUND($N74*$O74/5,0),"SEM BASE")))</f>
      </c>
      <c r="R74" s="298" t="n"/>
      <c r="S74" s="298" t="n"/>
      <c r="T74" s="218" t="n"/>
      <c r="U74" s="220" t="n"/>
      <c r="V74" s="235" t="n"/>
      <c r="W74" s="221">
        <f>IF(AND(ISNUMBER($Q74),$H74&lt;&gt;"RESOLVIDA"),COUNTIFS($Q$5:$Q$204,"&gt;"&amp;$Q74,$H$5:$H$204,"&lt;&gt;RESOLVIDA")+COUNTIFS($Q$5:$Q74,$Q74,$H$5:$H74,"&lt;&gt;RESOLVIDA"),"")</f>
      </c>
    </row>
    <row r="75">
      <c r="A75" s="218" t="inlineStr">
        <is>
          <t>R71</t>
        </is>
      </c>
      <c r="B75" s="218" t="inlineStr">
        <is>
          <t>342</t>
        </is>
      </c>
      <c r="C75" s="218" t="inlineStr">
        <is>
          <t>3.5.6</t>
        </is>
      </c>
      <c r="D75" s="298" t="inlineStr">
        <is>
          <t>Barrilete, comportas e bombas montados por equipe própria ou subempreiteiro (Plano de Trabalho p. 10) decidido</t>
        </is>
      </c>
      <c r="E75" s="218" t="inlineStr">
        <is>
          <t>INTERNA</t>
        </is>
      </c>
      <c r="F75" s="220" t="n">
        <v>46402</v>
      </c>
      <c r="G75" s="218" t="inlineStr">
        <is>
          <t>Marko Aurélio</t>
        </is>
      </c>
      <c r="H75" s="218" t="inlineStr">
        <is>
          <t>ABERTA</t>
        </is>
      </c>
      <c r="I75" s="220" t="n"/>
      <c r="J75" s="269" t="inlineStr">
        <is>
          <t>Estudo 342 REV13, aba 17; o estudo usa equipe própria</t>
        </is>
      </c>
      <c r="K75" s="221">
        <f>IF(OR($B75="",$H75="RESOLVIDA",$M75="RISCO",AND($F75="",$U75="")),"",IF($U75&lt;&gt;"",$U75,$F75)-DATA_GESTAO)</f>
        <v>91</v>
      </c>
      <c r="L75" s="222" t="str">
        <f>IF($B75="","",IF($H75="RESOLVIDA","RESOLVIDA",IF($M75="RISCO","RISCO",IF($K75="","SEM PRAZO",IF($K75&lt;0,"VENCIDA",IF($G75="","SEM DONO",IF($K75&lt;=7,"ESTA SEMANA",IF($K75&lt;=42,"PRÓXIMAS 6 SEMANAS","NO PRAZO"))))))))</f>
        <v>NO PRAZO</v>
      </c>
      <c r="M75" s="218" t="inlineStr">
        <is>
          <t>RESTRIÇÃO</t>
        </is>
      </c>
      <c r="N75" s="235" t="n"/>
      <c r="O75" s="271" t="n"/>
      <c r="P75" s="235" t="n"/>
      <c r="Q75" s="267">
        <f>IF($B75="","",IF(AND($N75="",$O75=""),IF($M75="RISCO","SEM BASE",""),IF(AND(ISNUMBER($N75),ISNUMBER($O75)),ROUND($N75*$O75/5,0),"SEM BASE")))</f>
      </c>
      <c r="R75" s="298" t="n"/>
      <c r="S75" s="298" t="n"/>
      <c r="T75" s="218" t="n"/>
      <c r="U75" s="220" t="n"/>
      <c r="V75" s="235" t="n"/>
      <c r="W75" s="221">
        <f>IF(AND(ISNUMBER($Q75),$H75&lt;&gt;"RESOLVIDA"),COUNTIFS($Q$5:$Q$204,"&gt;"&amp;$Q75,$H$5:$H$204,"&lt;&gt;RESOLVIDA")+COUNTIFS($Q$5:$Q75,$Q75,$H$5:$H75,"&lt;&gt;RESOLVIDA"),"")</f>
      </c>
    </row>
    <row r="76">
      <c r="A76" s="218" t="inlineStr">
        <is>
          <t>R72</t>
        </is>
      </c>
      <c r="B76" s="218" t="inlineStr">
        <is>
          <t>342</t>
        </is>
      </c>
      <c r="C76" s="218" t="inlineStr">
        <is>
          <t>ADM</t>
        </is>
      </c>
      <c r="D76" s="298" t="inlineStr">
        <is>
          <t>Vigilância do canteiro definida: canteiro dentro da área cercada da ETA? vigia próprio 12x36, empresa ou monitoramento</t>
        </is>
      </c>
      <c r="E76" s="218" t="inlineStr">
        <is>
          <t>INTERNA</t>
        </is>
      </c>
      <c r="F76" s="220" t="n">
        <v>46314</v>
      </c>
      <c r="G76" s="218" t="inlineStr">
        <is>
          <t>Tiago Marinho</t>
        </is>
      </c>
      <c r="H76" s="218" t="inlineStr">
        <is>
          <t>ABERTA</t>
        </is>
      </c>
      <c r="I76" s="220" t="n"/>
      <c r="J76" s="269" t="inlineStr">
        <is>
          <t>Estudo 342 REV13, aba 17; o estudo usa posto 24 h com 4 vigias</t>
        </is>
      </c>
      <c r="K76" s="221">
        <f>IF(OR($B76="",$H76="RESOLVIDA",$M76="RISCO",AND($F76="",$U76="")),"",IF($U76&lt;&gt;"",$U76,$F76)-DATA_GESTAO)</f>
        <v>3</v>
      </c>
      <c r="L76" s="222" t="str">
        <f>IF($B76="","",IF($H76="RESOLVIDA","RESOLVIDA",IF($M76="RISCO","RISCO",IF($K76="","SEM PRAZO",IF($K76&lt;0,"VENCIDA",IF($G76="","SEM DONO",IF($K76&lt;=7,"ESTA SEMANA",IF($K76&lt;=42,"PRÓXIMAS 6 SEMANAS","NO PRAZO"))))))))</f>
        <v>ESTA SEMANA</v>
      </c>
      <c r="M76" s="218" t="inlineStr">
        <is>
          <t>RESTRIÇÃO</t>
        </is>
      </c>
      <c r="N76" s="235" t="n"/>
      <c r="O76" s="271" t="n"/>
      <c r="P76" s="235" t="n"/>
      <c r="Q76" s="267">
        <f>IF($B76="","",IF(AND($N76="",$O76=""),IF($M76="RISCO","SEM BASE",""),IF(AND(ISNUMBER($N76),ISNUMBER($O76)),ROUND($N76*$O76/5,0),"SEM BASE")))</f>
      </c>
      <c r="R76" s="298" t="n"/>
      <c r="S76" s="298" t="n"/>
      <c r="T76" s="218" t="n"/>
      <c r="U76" s="220" t="n"/>
      <c r="V76" s="235" t="n"/>
      <c r="W76" s="221">
        <f>IF(AND(ISNUMBER($Q76),$H76&lt;&gt;"RESOLVIDA"),COUNTIFS($Q$5:$Q$204,"&gt;"&amp;$Q76,$H$5:$H$204,"&lt;&gt;RESOLVIDA")+COUNTIFS($Q$5:$Q76,$Q76,$H$5:$H76,"&lt;&gt;RESOLVIDA"),"")</f>
      </c>
    </row>
    <row r="77">
      <c r="A77" s="218" t="inlineStr">
        <is>
          <t>R73</t>
        </is>
      </c>
      <c r="B77" s="218" t="inlineStr">
        <is>
          <t>342</t>
        </is>
      </c>
      <c r="C77" s="218" t="inlineStr">
        <is>
          <t>ADM</t>
        </is>
      </c>
      <c r="D77" s="298" t="inlineStr">
        <is>
          <t>Transporte da equipe definido: vale-transporte ou van (CCT do Entorno, cl. 14ª)</t>
        </is>
      </c>
      <c r="E77" s="218" t="inlineStr">
        <is>
          <t>INTERNA</t>
        </is>
      </c>
      <c r="F77" s="220" t="n">
        <v>46314</v>
      </c>
      <c r="G77" s="218" t="inlineStr">
        <is>
          <t>Tiago Marinho</t>
        </is>
      </c>
      <c r="H77" s="218" t="inlineStr">
        <is>
          <t>ABERTA</t>
        </is>
      </c>
      <c r="I77" s="220" t="n"/>
      <c r="J77" s="269" t="inlineStr">
        <is>
          <t>Estudo 342 REV13, aba 17</t>
        </is>
      </c>
      <c r="K77" s="221">
        <f>IF(OR($B77="",$H77="RESOLVIDA",$M77="RISCO",AND($F77="",$U77="")),"",IF($U77&lt;&gt;"",$U77,$F77)-DATA_GESTAO)</f>
        <v>3</v>
      </c>
      <c r="L77" s="222" t="str">
        <f>IF($B77="","",IF($H77="RESOLVIDA","RESOLVIDA",IF($M77="RISCO","RISCO",IF($K77="","SEM PRAZO",IF($K77&lt;0,"VENCIDA",IF($G77="","SEM DONO",IF($K77&lt;=7,"ESTA SEMANA",IF($K77&lt;=42,"PRÓXIMAS 6 SEMANAS","NO PRAZO"))))))))</f>
        <v>ESTA SEMANA</v>
      </c>
      <c r="M77" s="218" t="inlineStr">
        <is>
          <t>RESTRIÇÃO</t>
        </is>
      </c>
      <c r="N77" s="235" t="n"/>
      <c r="O77" s="271" t="n"/>
      <c r="P77" s="235" t="n"/>
      <c r="Q77" s="267">
        <f>IF($B77="","",IF(AND($N77="",$O77=""),IF($M77="RISCO","SEM BASE",""),IF(AND(ISNUMBER($N77),ISNUMBER($O77)),ROUND($N77*$O77/5,0),"SEM BASE")))</f>
      </c>
      <c r="R77" s="298" t="n"/>
      <c r="S77" s="298" t="n"/>
      <c r="T77" s="218" t="n"/>
      <c r="U77" s="220" t="n"/>
      <c r="V77" s="235" t="n"/>
      <c r="W77" s="221">
        <f>IF(AND(ISNUMBER($Q77),$H77&lt;&gt;"RESOLVIDA"),COUNTIFS($Q$5:$Q$204,"&gt;"&amp;$Q77,$H$5:$H$204,"&lt;&gt;RESOLVIDA")+COUNTIFS($Q$5:$Q77,$Q77,$H$5:$H77,"&lt;&gt;RESOLVIDA"),"")</f>
      </c>
    </row>
    <row r="78">
      <c r="A78" s="218" t="inlineStr">
        <is>
          <t>R74</t>
        </is>
      </c>
      <c r="B78" s="218" t="inlineStr">
        <is>
          <t>342</t>
        </is>
      </c>
      <c r="C78" s="218" t="inlineStr">
        <is>
          <t>BM</t>
        </is>
      </c>
      <c r="D78" s="298" t="inlineStr">
        <is>
          <t>Antecipação das notas da 342 confirmada: prazo (15 dias na 281) e taxa (1,96% a.m. na 281)</t>
        </is>
      </c>
      <c r="E78" s="218" t="inlineStr">
        <is>
          <t>CLIENTE</t>
        </is>
      </c>
      <c r="F78" s="220" t="n">
        <v>46326</v>
      </c>
      <c r="G78" s="218" t="inlineStr">
        <is>
          <t>Financeiro TAF</t>
        </is>
      </c>
      <c r="H78" s="218" t="inlineStr">
        <is>
          <t>ABERTA</t>
        </is>
      </c>
      <c r="I78" s="220" t="n"/>
      <c r="J78" s="269" t="inlineStr">
        <is>
          <t>Estudo 342 REV13, aba 17 e aba 03 linhas 12 e 13 (o caixa do estudo usa esses valores)</t>
        </is>
      </c>
      <c r="K78" s="221">
        <f>IF(OR($B78="",$H78="RESOLVIDA",$M78="RISCO",AND($F78="",$U78="")),"",IF($U78&lt;&gt;"",$U78,$F78)-DATA_GESTAO)</f>
        <v>15</v>
      </c>
      <c r="L78" s="222" t="str">
        <f>IF($B78="","",IF($H78="RESOLVIDA","RESOLVIDA",IF($M78="RISCO","RISCO",IF($K78="","SEM PRAZO",IF($K78&lt;0,"VENCIDA",IF($G78="","SEM DONO",IF($K78&lt;=7,"ESTA SEMANA",IF($K78&lt;=42,"PRÓXIMAS 6 SEMANAS","NO PRAZO"))))))))</f>
        <v>PRÓXIMAS 6 SEMANAS</v>
      </c>
      <c r="M78" s="218" t="inlineStr">
        <is>
          <t>RESTRIÇÃO</t>
        </is>
      </c>
      <c r="N78" s="235" t="n"/>
      <c r="O78" s="271" t="n"/>
      <c r="P78" s="235" t="n"/>
      <c r="Q78" s="267">
        <f>IF($B78="","",IF(AND($N78="",$O78=""),IF($M78="RISCO","SEM BASE",""),IF(AND(ISNUMBER($N78),ISNUMBER($O78)),ROUND($N78*$O78/5,0),"SEM BASE")))</f>
      </c>
      <c r="R78" s="298" t="n"/>
      <c r="S78" s="298" t="n"/>
      <c r="T78" s="218" t="n"/>
      <c r="U78" s="220" t="n"/>
      <c r="V78" s="235" t="n"/>
      <c r="W78" s="221">
        <f>IF(AND(ISNUMBER($Q78),$H78&lt;&gt;"RESOLVIDA"),COUNTIFS($Q$5:$Q$204,"&gt;"&amp;$Q78,$H$5:$H$204,"&lt;&gt;RESOLVIDA")+COUNTIFS($Q$5:$Q78,$Q78,$H$5:$H78,"&lt;&gt;RESOLVIDA"),"")</f>
      </c>
    </row>
    <row r="79">
      <c r="A79" s="218" t="inlineStr">
        <is>
          <t>R75</t>
        </is>
      </c>
      <c r="B79" s="218" t="inlineStr">
        <is>
          <t>342</t>
        </is>
      </c>
      <c r="C79" s="218" t="inlineStr">
        <is>
          <t>ADM</t>
        </is>
      </c>
      <c r="D79" s="298" t="inlineStr">
        <is>
          <t>Planejamento da 342 resolvido: começar pela terraplenagem (compactação e movimentação de solo), FoFo só depois da aprovação do eventograma, com equipes e prazos conferidos no estudo</t>
        </is>
      </c>
      <c r="E79" s="218" t="inlineStr">
        <is>
          <t>INTERNA</t>
        </is>
      </c>
      <c r="F79" s="220" t="n">
        <v>46314</v>
      </c>
      <c r="G79" s="218" t="inlineStr">
        <is>
          <t>Felipe e Marco</t>
        </is>
      </c>
      <c r="H79" s="218" t="inlineStr">
        <is>
          <t>ABERTA</t>
        </is>
      </c>
      <c r="I79" s="220" t="n"/>
      <c r="J79" s="269" t="inlineStr">
        <is>
          <t>Lista do Felipe (15/10: resolver planejamento); prazo proposto: início da obra</t>
        </is>
      </c>
      <c r="K79" s="221">
        <f>IF(OR($B79="",$H79="RESOLVIDA",$M79="RISCO",AND($F79="",$U79="")),"",IF($U79&lt;&gt;"",$U79,$F79)-DATA_GESTAO)</f>
        <v>3</v>
      </c>
      <c r="L79" s="222" t="str">
        <f>IF($B79="","",IF($H79="RESOLVIDA","RESOLVIDA",IF($M79="RISCO","RISCO",IF($K79="","SEM PRAZO",IF($K79&lt;0,"VENCIDA",IF($G79="","SEM DONO",IF($K79&lt;=7,"ESTA SEMANA",IF($K79&lt;=42,"PRÓXIMAS 6 SEMANAS","NO PRAZO"))))))))</f>
        <v>ESTA SEMANA</v>
      </c>
      <c r="M79" s="218" t="inlineStr">
        <is>
          <t>RESTRIÇÃO</t>
        </is>
      </c>
      <c r="N79" s="235" t="n"/>
      <c r="O79" s="271" t="n"/>
      <c r="P79" s="235" t="n"/>
      <c r="Q79" s="267">
        <f>IF($B79="","",IF(AND($N79="",$O79=""),IF($M79="RISCO","SEM BASE",""),IF(AND(ISNUMBER($N79),ISNUMBER($O79)),ROUND($N79*$O79/5,0),"SEM BASE")))</f>
      </c>
      <c r="R79" s="298" t="n"/>
      <c r="S79" s="298" t="n"/>
      <c r="T79" s="218" t="n"/>
      <c r="U79" s="220" t="n"/>
      <c r="V79" s="235" t="n"/>
      <c r="W79" s="221">
        <f>IF(AND(ISNUMBER($Q79),$H79&lt;&gt;"RESOLVIDA"),COUNTIFS($Q$5:$Q$204,"&gt;"&amp;$Q79,$H$5:$H$204,"&lt;&gt;RESOLVIDA")+COUNTIFS($Q$5:$Q79,$Q79,$H$5:$H79,"&lt;&gt;RESOLVIDA"),"")</f>
      </c>
    </row>
    <row r="80">
      <c r="A80" s="218" t="inlineStr">
        <is>
          <t>R76</t>
        </is>
      </c>
      <c r="B80" s="218" t="inlineStr">
        <is>
          <t>342</t>
        </is>
      </c>
      <c r="C80" s="218" t="inlineStr">
        <is>
          <t>ADM</t>
        </is>
      </c>
      <c r="D80" s="298" t="inlineStr">
        <is>
          <t>Quantitativos da obra conferidos e definido o que já se pode executar</t>
        </is>
      </c>
      <c r="E80" s="218" t="inlineStr">
        <is>
          <t>INTERNA</t>
        </is>
      </c>
      <c r="F80" s="220" t="n">
        <v>46318</v>
      </c>
      <c r="G80" s="218" t="n"/>
      <c r="H80" s="218" t="inlineStr">
        <is>
          <t>ABERTA</t>
        </is>
      </c>
      <c r="I80" s="220" t="n"/>
      <c r="J80" s="269" t="inlineStr">
        <is>
          <t>Lista do Felipe (15/10: ver quantitativo de obra e o que se pode ser feito), sem dono; prazo proposto: uma semana depois do corte</t>
        </is>
      </c>
      <c r="K80" s="221">
        <f>IF(OR($B80="",$H80="RESOLVIDA",$M80="RISCO",AND($F80="",$U80="")),"",IF($U80&lt;&gt;"",$U80,$F80)-DATA_GESTAO)</f>
        <v>7</v>
      </c>
      <c r="L80" s="222" t="str">
        <f>IF($B80="","",IF($H80="RESOLVIDA","RESOLVIDA",IF($M80="RISCO","RISCO",IF($K80="","SEM PRAZO",IF($K80&lt;0,"VENCIDA",IF($G80="","SEM DONO",IF($K80&lt;=7,"ESTA SEMANA",IF($K80&lt;=42,"PRÓXIMAS 6 SEMANAS","NO PRAZO"))))))))</f>
        <v>SEM DONO</v>
      </c>
      <c r="M80" s="218" t="inlineStr">
        <is>
          <t>RESTRIÇÃO</t>
        </is>
      </c>
      <c r="N80" s="235" t="n"/>
      <c r="O80" s="271" t="n"/>
      <c r="P80" s="235" t="n"/>
      <c r="Q80" s="267">
        <f>IF($B80="","",IF(AND($N80="",$O80=""),IF($M80="RISCO","SEM BASE",""),IF(AND(ISNUMBER($N80),ISNUMBER($O80)),ROUND($N80*$O80/5,0),"SEM BASE")))</f>
      </c>
      <c r="R80" s="298" t="n"/>
      <c r="S80" s="298" t="n"/>
      <c r="T80" s="218" t="n"/>
      <c r="U80" s="220" t="n"/>
      <c r="V80" s="235" t="n"/>
      <c r="W80" s="221">
        <f>IF(AND(ISNUMBER($Q80),$H80&lt;&gt;"RESOLVIDA"),COUNTIFS($Q$5:$Q$204,"&gt;"&amp;$Q80,$H$5:$H$204,"&lt;&gt;RESOLVIDA")+COUNTIFS($Q$5:$Q80,$Q80,$H$5:$H80,"&lt;&gt;RESOLVIDA"),"")</f>
      </c>
    </row>
    <row r="81">
      <c r="A81" s="218" t="inlineStr">
        <is>
          <t>R77</t>
        </is>
      </c>
      <c r="B81" s="218" t="inlineStr">
        <is>
          <t>342</t>
        </is>
      </c>
      <c r="C81" s="218" t="inlineStr">
        <is>
          <t>BM</t>
        </is>
      </c>
      <c r="D81" s="298" t="inlineStr">
        <is>
          <t>Memória do pedido de reajuste da 281 (8 números FGV, NF 403 de 10,41%) ou assinatura FGV obtida para o pedido da 342</t>
        </is>
      </c>
      <c r="E81" s="218" t="inlineStr">
        <is>
          <t>INTERNA</t>
        </is>
      </c>
      <c r="F81" s="220" t="n">
        <v>46315</v>
      </c>
      <c r="G81" s="218" t="inlineStr">
        <is>
          <t>Financeiro TAF</t>
        </is>
      </c>
      <c r="H81" s="218" t="inlineStr">
        <is>
          <t>ABERTA</t>
        </is>
      </c>
      <c r="I81" s="220" t="n"/>
      <c r="J81" s="269" t="inlineStr">
        <is>
          <t>Estudo 342 REV13, aba 17; dado da 281 usado no pedido da 342 (R31)</t>
        </is>
      </c>
      <c r="K81" s="221">
        <f>IF(OR($B81="",$H81="RESOLVIDA",$M81="RISCO",AND($F81="",$U81="")),"",IF($U81&lt;&gt;"",$U81,$F81)-DATA_GESTAO)</f>
        <v>4</v>
      </c>
      <c r="L81" s="222" t="str">
        <f>IF($B81="","",IF($H81="RESOLVIDA","RESOLVIDA",IF($M81="RISCO","RISCO",IF($K81="","SEM PRAZO",IF($K81&lt;0,"VENCIDA",IF($G81="","SEM DONO",IF($K81&lt;=7,"ESTA SEMANA",IF($K81&lt;=42,"PRÓXIMAS 6 SEMANAS","NO PRAZO"))))))))</f>
        <v>ESTA SEMANA</v>
      </c>
      <c r="M81" s="218" t="inlineStr">
        <is>
          <t>RESTRIÇÃO</t>
        </is>
      </c>
      <c r="N81" s="235" t="n"/>
      <c r="O81" s="271" t="n"/>
      <c r="P81" s="235" t="n"/>
      <c r="Q81" s="267">
        <f>IF($B81="","",IF(AND($N81="",$O81=""),IF($M81="RISCO","SEM BASE",""),IF(AND(ISNUMBER($N81),ISNUMBER($O81)),ROUND($N81*$O81/5,0),"SEM BASE")))</f>
      </c>
      <c r="R81" s="298" t="n"/>
      <c r="S81" s="298" t="n"/>
      <c r="T81" s="218" t="n"/>
      <c r="U81" s="220" t="n"/>
      <c r="V81" s="235" t="n"/>
      <c r="W81" s="221">
        <f>IF(AND(ISNUMBER($Q81),$H81&lt;&gt;"RESOLVIDA"),COUNTIFS($Q$5:$Q$204,"&gt;"&amp;$Q81,$H$5:$H$204,"&lt;&gt;RESOLVIDA")+COUNTIFS($Q$5:$Q81,$Q81,$H$5:$H81,"&lt;&gt;RESOLVIDA"),"")</f>
      </c>
    </row>
    <row r="82">
      <c r="A82" s="218" t="inlineStr">
        <is>
          <t>R78</t>
        </is>
      </c>
      <c r="B82" s="218" t="inlineStr">
        <is>
          <t>342</t>
        </is>
      </c>
      <c r="C82" s="218" t="inlineStr">
        <is>
          <t>4.1.1</t>
        </is>
      </c>
      <c r="D82" s="298" t="inlineStr">
        <is>
          <t>Cotação de projetos (R$ 20 mil) inclui o as built e o cadastro técnico final</t>
        </is>
      </c>
      <c r="E82" s="218" t="inlineStr">
        <is>
          <t>INTERNA</t>
        </is>
      </c>
      <c r="F82" s="220" t="n">
        <v>46318</v>
      </c>
      <c r="G82" s="218" t="inlineStr">
        <is>
          <t>Marko Aurélio</t>
        </is>
      </c>
      <c r="H82" s="218" t="inlineStr">
        <is>
          <t>ABERTA</t>
        </is>
      </c>
      <c r="I82" s="220" t="n"/>
      <c r="J82" s="269" t="inlineStr">
        <is>
          <t>Estudo 342 REV13, aba 17; mesmo pacote da R12 (PROJ), prazo próprio</t>
        </is>
      </c>
      <c r="K82" s="221">
        <f>IF(OR($B82="",$H82="RESOLVIDA",$M82="RISCO",AND($F82="",$U82="")),"",IF($U82&lt;&gt;"",$U82,$F82)-DATA_GESTAO)</f>
        <v>7</v>
      </c>
      <c r="L82" s="222" t="str">
        <f>IF($B82="","",IF($H82="RESOLVIDA","RESOLVIDA",IF($M82="RISCO","RISCO",IF($K82="","SEM PRAZO",IF($K82&lt;0,"VENCIDA",IF($G82="","SEM DONO",IF($K82&lt;=7,"ESTA SEMANA",IF($K82&lt;=42,"PRÓXIMAS 6 SEMANAS","NO PRAZO"))))))))</f>
        <v>ESTA SEMANA</v>
      </c>
      <c r="M82" s="218" t="inlineStr">
        <is>
          <t>RESTRIÇÃO</t>
        </is>
      </c>
      <c r="N82" s="235" t="n"/>
      <c r="O82" s="271" t="n"/>
      <c r="P82" s="235" t="n"/>
      <c r="Q82" s="267">
        <f>IF($B82="","",IF(AND($N82="",$O82=""),IF($M82="RISCO","SEM BASE",""),IF(AND(ISNUMBER($N82),ISNUMBER($O82)),ROUND($N82*$O82/5,0),"SEM BASE")))</f>
      </c>
      <c r="R82" s="298" t="n"/>
      <c r="S82" s="298" t="n"/>
      <c r="T82" s="218" t="n"/>
      <c r="U82" s="220" t="n"/>
      <c r="V82" s="235" t="n"/>
      <c r="W82" s="221">
        <f>IF(AND(ISNUMBER($Q82),$H82&lt;&gt;"RESOLVIDA"),COUNTIFS($Q$5:$Q$204,"&gt;"&amp;$Q82,$H$5:$H$204,"&lt;&gt;RESOLVIDA")+COUNTIFS($Q$5:$Q82,$Q82,$H$5:$H82,"&lt;&gt;RESOLVIDA"),"")</f>
      </c>
    </row>
    <row r="83">
      <c r="A83" s="218" t="inlineStr">
        <is>
          <t>R79</t>
        </is>
      </c>
      <c r="B83" s="218" t="inlineStr">
        <is>
          <t>342</t>
        </is>
      </c>
      <c r="C83" s="218" t="inlineStr">
        <is>
          <t>ADM</t>
        </is>
      </c>
      <c r="D83" s="298" t="inlineStr">
        <is>
          <t>ART da execução registrada e entregue à fiscalização: sem ela a SANEAGO não paga a 1ª parcela</t>
        </is>
      </c>
      <c r="E83" s="218" t="inlineStr">
        <is>
          <t>INTERNA</t>
        </is>
      </c>
      <c r="F83" s="220" t="n">
        <v>46315</v>
      </c>
      <c r="G83" s="218" t="inlineStr">
        <is>
          <t>Marko Aurélio</t>
        </is>
      </c>
      <c r="H83" s="218" t="inlineStr">
        <is>
          <t>ABERTA</t>
        </is>
      </c>
      <c r="I83" s="220" t="n"/>
      <c r="J83" s="269" t="inlineStr">
        <is>
          <t>Contrato 30000196/2026, p. 6, Cláusula Quinta, Parágrafo Décimo Sexto, e Edital 002/2025, item 23.13; prazo = corte do BM2 (20/10)</t>
        </is>
      </c>
      <c r="K83" s="221">
        <f>IF(OR($B83="",$H83="RESOLVIDA",$M83="RISCO",AND($F83="",$U83="")),"",IF($U83&lt;&gt;"",$U83,$F83)-DATA_GESTAO)</f>
        <v>4</v>
      </c>
      <c r="L83" s="222" t="str">
        <f>IF($B83="","",IF($H83="RESOLVIDA","RESOLVIDA",IF($M83="RISCO","RISCO",IF($K83="","SEM PRAZO",IF($K83&lt;0,"VENCIDA",IF($G83="","SEM DONO",IF($K83&lt;=7,"ESTA SEMANA",IF($K83&lt;=42,"PRÓXIMAS 6 SEMANAS","NO PRAZO"))))))))</f>
        <v>ESTA SEMANA</v>
      </c>
      <c r="M83" s="218" t="inlineStr">
        <is>
          <t>RESTRIÇÃO</t>
        </is>
      </c>
      <c r="N83" s="235" t="n"/>
      <c r="O83" s="271" t="n"/>
      <c r="P83" s="235" t="n"/>
      <c r="Q83" s="267">
        <f>IF($B83="","",IF(AND($N83="",$O83=""),IF($M83="RISCO","SEM BASE",""),IF(AND(ISNUMBER($N83),ISNUMBER($O83)),ROUND($N83*$O83/5,0),"SEM BASE")))</f>
      </c>
      <c r="R83" s="298" t="n"/>
      <c r="S83" s="298" t="n"/>
      <c r="T83" s="218" t="n"/>
      <c r="U83" s="220" t="n"/>
      <c r="V83" s="235" t="n"/>
      <c r="W83" s="221">
        <f>IF(AND(ISNUMBER($Q83),$H83&lt;&gt;"RESOLVIDA"),COUNTIFS($Q$5:$Q$204,"&gt;"&amp;$Q83,$H$5:$H$204,"&lt;&gt;RESOLVIDA")+COUNTIFS($Q$5:$Q83,$Q83,$H$5:$H83,"&lt;&gt;RESOLVIDA"),"")</f>
      </c>
    </row>
    <row r="84">
      <c r="A84" s="218" t="inlineStr">
        <is>
          <t>R80</t>
        </is>
      </c>
      <c r="B84" s="218" t="inlineStr">
        <is>
          <t>342</t>
        </is>
      </c>
      <c r="C84" s="218" t="inlineStr">
        <is>
          <t>BM</t>
        </is>
      </c>
      <c r="D84" s="298" t="inlineStr">
        <is>
          <t>Saber se a SANEAGO paga material entregue no canteiro (IN00.0615 4.1.9.2: só se o Edital 002/2025 prever)</t>
        </is>
      </c>
      <c r="E84" s="218" t="inlineStr">
        <is>
          <t>CLIENTE</t>
        </is>
      </c>
      <c r="F84" s="220" t="n">
        <v>46311</v>
      </c>
      <c r="G84" s="218" t="inlineStr">
        <is>
          <t>Alecio, Thadeu e Felipe</t>
        </is>
      </c>
      <c r="H84" s="218" t="inlineStr">
        <is>
          <t>RESOLVIDA</t>
        </is>
      </c>
      <c r="I84" s="220" t="n">
        <v>46310</v>
      </c>
      <c r="J84" s="269" t="inlineStr">
        <is>
          <t>NÃO PAGA. Edital 002/2025 (EDITAL LIC 002-2025.pdf, enviado em 15/10): item 23.2 (p. 35) manda medir só pelos eventos do Anexo VII, que não têm evento de material em canteiro; item 23.3.2 (p. 36) proíbe pagar evento ou marco feito pela metade, igual ao contrato, Cláusula Quinta, Parágrafo Terceiro, II. O pedido sai da reunião com a fiscalização; fica a divisão dos eventos (R30).</t>
        </is>
      </c>
      <c r="K84" s="221">
        <f>IF(OR($B84="",$H84="RESOLVIDA",$M84="RISCO",AND($F84="",$U84="")),"",IF($U84&lt;&gt;"",$U84,$F84)-DATA_GESTAO)</f>
      </c>
      <c r="L84" s="222" t="str">
        <f>IF($B84="","",IF($H84="RESOLVIDA","RESOLVIDA",IF($M84="RISCO","RISCO",IF($K84="","SEM PRAZO",IF($K84&lt;0,"VENCIDA",IF($G84="","SEM DONO",IF($K84&lt;=7,"ESTA SEMANA",IF($K84&lt;=42,"PRÓXIMAS 6 SEMANAS","NO PRAZO"))))))))</f>
        <v>RESOLVIDA</v>
      </c>
      <c r="M84" s="218" t="inlineStr">
        <is>
          <t>RESTRIÇÃO</t>
        </is>
      </c>
      <c r="N84" s="235" t="n"/>
      <c r="O84" s="271" t="n"/>
      <c r="P84" s="235" t="n"/>
      <c r="Q84" s="267">
        <f>IF($B84="","",IF(AND($N84="",$O84=""),IF($M84="RISCO","SEM BASE",""),IF(AND(ISNUMBER($N84),ISNUMBER($O84)),ROUND($N84*$O84/5,0),"SEM BASE")))</f>
      </c>
      <c r="R84" s="298" t="n"/>
      <c r="S84" s="298" t="n"/>
      <c r="T84" s="218" t="n"/>
      <c r="U84" s="220" t="n"/>
      <c r="V84" s="235" t="n"/>
      <c r="W84" s="221">
        <f>IF(AND(ISNUMBER($Q84),$H84&lt;&gt;"RESOLVIDA"),COUNTIFS($Q$5:$Q$204,"&gt;"&amp;$Q84,$H$5:$H$204,"&lt;&gt;RESOLVIDA")+COUNTIFS($Q$5:$Q84,$Q84,$H$5:$H84,"&lt;&gt;RESOLVIDA"),"")</f>
      </c>
    </row>
    <row r="85">
      <c r="A85" s="218" t="inlineStr">
        <is>
          <t>R81</t>
        </is>
      </c>
      <c r="B85" s="218" t="inlineStr">
        <is>
          <t>342</t>
        </is>
      </c>
      <c r="C85" s="218" t="inlineStr">
        <is>
          <t>ADM</t>
        </is>
      </c>
      <c r="D85" s="298" t="inlineStr">
        <is>
          <t>Liberação para executar nos 2 primeiros meses: Plano de Trabalho aprovado, etapa do projeto executivo aprovada, pessoal regularizado e anuência da fiscalização</t>
        </is>
      </c>
      <c r="E85" s="218" t="inlineStr">
        <is>
          <t>CLIENTE</t>
        </is>
      </c>
      <c r="F85" s="220" t="n">
        <v>46311</v>
      </c>
      <c r="G85" s="218" t="inlineStr">
        <is>
          <t>Marko Aurélio</t>
        </is>
      </c>
      <c r="H85" s="218" t="inlineStr">
        <is>
          <t>ABERTA</t>
        </is>
      </c>
      <c r="I85" s="220" t="n"/>
      <c r="J85" s="269" t="inlineStr">
        <is>
          <t>Anexo VII (Eventograma 49/2024), p. 15; prazo = último dia útil antes do início em 19/10</t>
        </is>
      </c>
      <c r="K85" s="221">
        <f>IF(OR($B85="",$H85="RESOLVIDA",$M85="RISCO",AND($F85="",$U85="")),"",IF($U85&lt;&gt;"",$U85,$F85)-DATA_GESTAO)</f>
        <v>0</v>
      </c>
      <c r="L85" s="222" t="str">
        <f>IF($B85="","",IF($H85="RESOLVIDA","RESOLVIDA",IF($M85="RISCO","RISCO",IF($K85="","SEM PRAZO",IF($K85&lt;0,"VENCIDA",IF($G85="","SEM DONO",IF($K85&lt;=7,"ESTA SEMANA",IF($K85&lt;=42,"PRÓXIMAS 6 SEMANAS","NO PRAZO"))))))))</f>
        <v>ESTA SEMANA</v>
      </c>
      <c r="M85" s="218" t="inlineStr">
        <is>
          <t>RESTRIÇÃO</t>
        </is>
      </c>
      <c r="N85" s="235" t="n"/>
      <c r="O85" s="271" t="n"/>
      <c r="P85" s="235" t="n"/>
      <c r="Q85" s="267">
        <f>IF($B85="","",IF(AND($N85="",$O85=""),IF($M85="RISCO","SEM BASE",""),IF(AND(ISNUMBER($N85),ISNUMBER($O85)),ROUND($N85*$O85/5,0),"SEM BASE")))</f>
      </c>
      <c r="R85" s="298" t="n"/>
      <c r="S85" s="298" t="n"/>
      <c r="T85" s="218" t="n"/>
      <c r="U85" s="220" t="n"/>
      <c r="V85" s="235" t="n"/>
      <c r="W85" s="221">
        <f>IF(AND(ISNUMBER($Q85),$H85&lt;&gt;"RESOLVIDA"),COUNTIFS($Q$5:$Q$204,"&gt;"&amp;$Q85,$H$5:$H$204,"&lt;&gt;RESOLVIDA")+COUNTIFS($Q$5:$Q85,$Q85,$H$5:$H85,"&lt;&gt;RESOLVIDA"),"")</f>
      </c>
    </row>
    <row r="86">
      <c r="A86" s="218" t="inlineStr">
        <is>
          <t>R82</t>
        </is>
      </c>
      <c r="B86" s="218" t="inlineStr">
        <is>
          <t>342</t>
        </is>
      </c>
      <c r="C86" s="218" t="inlineStr">
        <is>
          <t>ADM</t>
        </is>
      </c>
      <c r="D86" s="298" t="inlineStr">
        <is>
          <t>Plano de Trabalho v03 com o prazo do contrato (480 dias; a v02 diz 460) e a data de assinatura certa: vigência até 21/11/2027 se assinado em 29/07/2026, ou 03/12/2027 se em 10/08/2026</t>
        </is>
      </c>
      <c r="E86" s="218" t="inlineStr">
        <is>
          <t>INTERNA</t>
        </is>
      </c>
      <c r="F86" s="220" t="n">
        <v>46311</v>
      </c>
      <c r="G86" s="218" t="inlineStr">
        <is>
          <t>Marko Aurélio</t>
        </is>
      </c>
      <c r="H86" s="218" t="inlineStr">
        <is>
          <t>ABERTA</t>
        </is>
      </c>
      <c r="I86" s="220" t="n"/>
      <c r="J86" s="269" t="inlineStr">
        <is>
          <t>Plano de Trabalho v02, p. 3, contra o contrato 30000196/2026; a R81 pede o Plano de Trabalho aprovado</t>
        </is>
      </c>
      <c r="K86" s="221">
        <f>IF(OR($B86="",$H86="RESOLVIDA",$M86="RISCO",AND($F86="",$U86="")),"",IF($U86&lt;&gt;"",$U86,$F86)-DATA_GESTAO)</f>
        <v>0</v>
      </c>
      <c r="L86" s="222" t="str">
        <f>IF($B86="","",IF($H86="RESOLVIDA","RESOLVIDA",IF($M86="RISCO","RISCO",IF($K86="","SEM PRAZO",IF($K86&lt;0,"VENCIDA",IF($G86="","SEM DONO",IF($K86&lt;=7,"ESTA SEMANA",IF($K86&lt;=42,"PRÓXIMAS 6 SEMANAS","NO PRAZO"))))))))</f>
        <v>ESTA SEMANA</v>
      </c>
      <c r="M86" s="218" t="inlineStr">
        <is>
          <t>RESTRIÇÃO</t>
        </is>
      </c>
      <c r="N86" s="235" t="n"/>
      <c r="O86" s="271" t="n"/>
      <c r="P86" s="235" t="n"/>
      <c r="Q86" s="267">
        <f>IF($B86="","",IF(AND($N86="",$O86=""),IF($M86="RISCO","SEM BASE",""),IF(AND(ISNUMBER($N86),ISNUMBER($O86)),ROUND($N86*$O86/5,0),"SEM BASE")))</f>
      </c>
      <c r="R86" s="298" t="n"/>
      <c r="S86" s="298" t="n"/>
      <c r="T86" s="218" t="n"/>
      <c r="U86" s="220" t="n"/>
      <c r="V86" s="235" t="n"/>
      <c r="W86" s="221">
        <f>IF(AND(ISNUMBER($Q86),$H86&lt;&gt;"RESOLVIDA"),COUNTIFS($Q$5:$Q$204,"&gt;"&amp;$Q86,$H$5:$H$204,"&lt;&gt;RESOLVIDA")+COUNTIFS($Q$5:$Q86,$Q86,$H$5:$H86,"&lt;&gt;RESOLVIDA"),"")</f>
      </c>
    </row>
    <row r="87">
      <c r="A87" s="218" t="inlineStr">
        <is>
          <t>R83</t>
        </is>
      </c>
      <c r="B87" s="218" t="inlineStr">
        <is>
          <t>342</t>
        </is>
      </c>
      <c r="C87" s="218" t="inlineStr">
        <is>
          <t>BM</t>
        </is>
      </c>
      <c r="D87" s="298" t="inlineStr">
        <is>
          <t>ISS da 342 confirmado no município da obra (LC 116/2003: de 2% a 5%). Hoje os 2% vêm da viabilidade da 343 (02 C6, não conferido). Cada ponto vale R$ 32.580; com 5% são R$ 97.740 a menos</t>
        </is>
      </c>
      <c r="E87" s="218" t="inlineStr">
        <is>
          <t>INTERNA</t>
        </is>
      </c>
      <c r="F87" s="220" t="n">
        <v>46326</v>
      </c>
      <c r="G87" s="218" t="inlineStr">
        <is>
          <t>Financeiro TAF e Rafael Santa Cruz</t>
        </is>
      </c>
      <c r="H87" s="218" t="inlineStr">
        <is>
          <t>ABERTA</t>
        </is>
      </c>
      <c r="I87" s="220" t="n"/>
      <c r="J87" s="269" t="inlineStr">
        <is>
          <t>auditoria 15/10, D10 e C12 (02 B6:C7; estudo REV13 03 C14)</t>
        </is>
      </c>
      <c r="K87" s="221">
        <f>IF(OR($B87="",$H87="RESOLVIDA",$M87="RISCO",AND($F87="",$U87="")),"",IF($U87&lt;&gt;"",$U87,$F87)-DATA_GESTAO)</f>
        <v>15</v>
      </c>
      <c r="L87" s="222" t="str">
        <f>IF($B87="","",IF($H87="RESOLVIDA","RESOLVIDA",IF($M87="RISCO","RISCO",IF($K87="","SEM PRAZO",IF($K87&lt;0,"VENCIDA",IF($G87="","SEM DONO",IF($K87&lt;=7,"ESTA SEMANA",IF($K87&lt;=42,"PRÓXIMAS 6 SEMANAS","NO PRAZO"))))))))</f>
        <v>PRÓXIMAS 6 SEMANAS</v>
      </c>
      <c r="M87" s="218" t="inlineStr">
        <is>
          <t>RESTRIÇÃO</t>
        </is>
      </c>
      <c r="N87" s="235" t="n"/>
      <c r="O87" s="271" t="n"/>
      <c r="P87" s="235" t="n"/>
      <c r="Q87" s="267">
        <f>IF($B87="","",IF(AND($N87="",$O87=""),IF($M87="RISCO","SEM BASE",""),IF(AND(ISNUMBER($N87),ISNUMBER($O87)),ROUND($N87*$O87/5,0),"SEM BASE")))</f>
      </c>
      <c r="R87" s="298" t="n"/>
      <c r="S87" s="298" t="n"/>
      <c r="T87" s="218" t="n"/>
      <c r="U87" s="220" t="n"/>
      <c r="V87" s="235" t="n"/>
      <c r="W87" s="221">
        <f>IF(AND(ISNUMBER($Q87),$H87&lt;&gt;"RESOLVIDA"),COUNTIFS($Q$5:$Q$204,"&gt;"&amp;$Q87,$H$5:$H$204,"&lt;&gt;RESOLVIDA")+COUNTIFS($Q$5:$Q87,$Q87,$H$5:$H87,"&lt;&gt;RESOLVIDA"),"")</f>
      </c>
    </row>
    <row r="88">
      <c r="A88" s="218" t="inlineStr">
        <is>
          <t>R84</t>
        </is>
      </c>
      <c r="B88" s="218" t="inlineStr">
        <is>
          <t>342</t>
        </is>
      </c>
      <c r="C88" s="218" t="inlineStr">
        <is>
          <t>ADM</t>
        </is>
      </c>
      <c r="D88" s="298" t="inlineStr">
        <is>
          <t>Data de início da OS 509/2026 lida na própria OS e confirmada por escrito com a fiscalização: a 03 B10 usa 01/09/2026 (fim em 26/08/2027); o estudo REV13 e o ACOMPANHAMENTO usam 03/09/2026 (fim em 28/08/2027). Usar uma só data na 03, no estudo e no CRONOGRAMA</t>
        </is>
      </c>
      <c r="E88" s="218" t="inlineStr">
        <is>
          <t>CLIENTE</t>
        </is>
      </c>
      <c r="F88" s="220" t="n">
        <v>46318</v>
      </c>
      <c r="G88" s="218" t="inlineStr">
        <is>
          <t>Tiago Marinho</t>
        </is>
      </c>
      <c r="H88" s="218" t="inlineStr">
        <is>
          <t>ABERTA</t>
        </is>
      </c>
      <c r="I88" s="220" t="n"/>
      <c r="J88" s="269" t="inlineStr">
        <is>
          <t>auditoria 15/10, RC-05 (03 B10 e B20; REV13 03 C5; ACOMPANHAMENTO B10)</t>
        </is>
      </c>
      <c r="K88" s="221">
        <f>IF(OR($B88="",$H88="RESOLVIDA",$M88="RISCO",AND($F88="",$U88="")),"",IF($U88&lt;&gt;"",$U88,$F88)-DATA_GESTAO)</f>
        <v>7</v>
      </c>
      <c r="L88" s="222" t="str">
        <f>IF($B88="","",IF($H88="RESOLVIDA","RESOLVIDA",IF($M88="RISCO","RISCO",IF($K88="","SEM PRAZO",IF($K88&lt;0,"VENCIDA",IF($G88="","SEM DONO",IF($K88&lt;=7,"ESTA SEMANA",IF($K88&lt;=42,"PRÓXIMAS 6 SEMANAS","NO PRAZO"))))))))</f>
        <v>ESTA SEMANA</v>
      </c>
      <c r="M88" s="218" t="inlineStr">
        <is>
          <t>RESTRIÇÃO</t>
        </is>
      </c>
      <c r="N88" s="235" t="n"/>
      <c r="O88" s="271" t="n"/>
      <c r="P88" s="235" t="n"/>
      <c r="Q88" s="267">
        <f>IF($B88="","",IF(AND($N88="",$O88=""),IF($M88="RISCO","SEM BASE",""),IF(AND(ISNUMBER($N88),ISNUMBER($O88)),ROUND($N88*$O88/5,0),"SEM BASE")))</f>
      </c>
      <c r="R88" s="298" t="n"/>
      <c r="S88" s="298" t="n"/>
      <c r="T88" s="218" t="n"/>
      <c r="U88" s="220" t="n"/>
      <c r="V88" s="235" t="n"/>
      <c r="W88" s="221">
        <f>IF(AND(ISNUMBER($Q88),$H88&lt;&gt;"RESOLVIDA"),COUNTIFS($Q$5:$Q$204,"&gt;"&amp;$Q88,$H$5:$H$204,"&lt;&gt;RESOLVIDA")+COUNTIFS($Q$5:$Q88,$Q88,$H$5:$H88,"&lt;&gt;RESOLVIDA"),"")</f>
      </c>
    </row>
    <row r="89">
      <c r="A89" s="218" t="inlineStr">
        <is>
          <t>R85</t>
        </is>
      </c>
      <c r="B89" s="218" t="inlineStr">
        <is>
          <t>342</t>
        </is>
      </c>
      <c r="C89" s="218" t="inlineStr">
        <is>
          <t>ADM</t>
        </is>
      </c>
      <c r="D89" s="298" t="inlineStr">
        <is>
          <t>Endosso do seguro-garantia pedido à Junto Seguros: a apólice 03-0775-0430793 vai até 21/11/2027 e a vigência do contrato até 03/12/2027; fim do prazo, vistoria e recebimento dão cerca de 26/11/2027. Rito de recebimento planejado: conclusão comunicada por escrito, vistoria em até 15 dias, laudos provisório e definitivo antes de 03/12/2027, ou prorrogação pedida a tempo</t>
        </is>
      </c>
      <c r="E89" s="218" t="inlineStr">
        <is>
          <t>INTERNA</t>
        </is>
      </c>
      <c r="F89" s="220" t="n">
        <v>46325</v>
      </c>
      <c r="G89" s="218" t="inlineStr">
        <is>
          <t>Financeiro TAF e Thadeu</t>
        </is>
      </c>
      <c r="H89" s="218" t="inlineStr">
        <is>
          <t>ABERTA</t>
        </is>
      </c>
      <c r="I89" s="220" t="n"/>
      <c r="J89" s="269" t="inlineStr">
        <is>
          <t>03 B15; auditoria 15/10, RC-08 e CC-09; lista A, A65 (Contrato 342, Cláusula Sexta, Parágrafos Quarto a Sétimo e Décimo)</t>
        </is>
      </c>
      <c r="K89" s="221">
        <f>IF(OR($B89="",$H89="RESOLVIDA",$M89="RISCO",AND($F89="",$U89="")),"",IF($U89&lt;&gt;"",$U89,$F89)-DATA_GESTAO)</f>
        <v>14</v>
      </c>
      <c r="L89" s="222" t="str">
        <f>IF($B89="","",IF($H89="RESOLVIDA","RESOLVIDA",IF($M89="RISCO","RISCO",IF($K89="","SEM PRAZO",IF($K89&lt;0,"VENCIDA",IF($G89="","SEM DONO",IF($K89&lt;=7,"ESTA SEMANA",IF($K89&lt;=42,"PRÓXIMAS 6 SEMANAS","NO PRAZO"))))))))</f>
        <v>PRÓXIMAS 6 SEMANAS</v>
      </c>
      <c r="M89" s="218" t="inlineStr">
        <is>
          <t>RESTRIÇÃO</t>
        </is>
      </c>
      <c r="N89" s="235" t="n"/>
      <c r="O89" s="271" t="n"/>
      <c r="P89" s="235" t="n"/>
      <c r="Q89" s="267">
        <f>IF($B89="","",IF(AND($N89="",$O89=""),IF($M89="RISCO","SEM BASE",""),IF(AND(ISNUMBER($N89),ISNUMBER($O89)),ROUND($N89*$O89/5,0),"SEM BASE")))</f>
      </c>
      <c r="R89" s="298" t="n"/>
      <c r="S89" s="298" t="n"/>
      <c r="T89" s="218" t="n"/>
      <c r="U89" s="220" t="n"/>
      <c r="V89" s="235" t="n"/>
      <c r="W89" s="221">
        <f>IF(AND(ISNUMBER($Q89),$H89&lt;&gt;"RESOLVIDA"),COUNTIFS($Q$5:$Q$204,"&gt;"&amp;$Q89,$H$5:$H$204,"&lt;&gt;RESOLVIDA")+COUNTIFS($Q$5:$Q89,$Q89,$H$5:$H89,"&lt;&gt;RESOLVIDA"),"")</f>
      </c>
    </row>
    <row r="90">
      <c r="A90" s="218" t="inlineStr">
        <is>
          <t>R86</t>
        </is>
      </c>
      <c r="B90" s="218" t="inlineStr">
        <is>
          <t>342</t>
        </is>
      </c>
      <c r="C90" s="218" t="inlineStr">
        <is>
          <t>ADM</t>
        </is>
      </c>
      <c r="D90" s="298" t="inlineStr">
        <is>
          <t>ETA operando com lodo para os testes de 22/06/2027 (sem lodo não há teste da elevatória nem do tanque)</t>
        </is>
      </c>
      <c r="E90" s="218" t="inlineStr">
        <is>
          <t>CLIENTE</t>
        </is>
      </c>
      <c r="F90" s="220" t="n">
        <v>46538</v>
      </c>
      <c r="G90" s="218" t="inlineStr">
        <is>
          <t>Marko Aurélio</t>
        </is>
      </c>
      <c r="H90" s="218" t="inlineStr">
        <is>
          <t>ABERTA</t>
        </is>
      </c>
      <c r="I90" s="220" t="n"/>
      <c r="J90" s="269" t="inlineStr">
        <is>
          <t>auditoria 15/10, RC-08 (marcos de teste, comissionamento e recebimento)</t>
        </is>
      </c>
      <c r="K90" s="221">
        <f>IF(OR($B90="",$H90="RESOLVIDA",$M90="RISCO",AND($F90="",$U90="")),"",IF($U90&lt;&gt;"",$U90,$F90)-DATA_GESTAO)</f>
        <v>227</v>
      </c>
      <c r="L90" s="222" t="str">
        <f>IF($B90="","",IF($H90="RESOLVIDA","RESOLVIDA",IF($M90="RISCO","RISCO",IF($K90="","SEM PRAZO",IF($K90&lt;0,"VENCIDA",IF($G90="","SEM DONO",IF($K90&lt;=7,"ESTA SEMANA",IF($K90&lt;=42,"PRÓXIMAS 6 SEMANAS","NO PRAZO"))))))))</f>
        <v>NO PRAZO</v>
      </c>
      <c r="M90" s="218" t="inlineStr">
        <is>
          <t>RESTRIÇÃO</t>
        </is>
      </c>
      <c r="N90" s="235" t="n"/>
      <c r="O90" s="271" t="n"/>
      <c r="P90" s="235" t="n"/>
      <c r="Q90" s="267">
        <f>IF($B90="","",IF(AND($N90="",$O90=""),IF($M90="RISCO","SEM BASE",""),IF(AND(ISNUMBER($N90),ISNUMBER($O90)),ROUND($N90*$O90/5,0),"SEM BASE")))</f>
      </c>
      <c r="R90" s="298" t="n"/>
      <c r="S90" s="298" t="n"/>
      <c r="T90" s="218" t="n"/>
      <c r="U90" s="220" t="n"/>
      <c r="V90" s="235" t="n"/>
      <c r="W90" s="221">
        <f>IF(AND(ISNUMBER($Q90),$H90&lt;&gt;"RESOLVIDA"),COUNTIFS($Q$5:$Q$204,"&gt;"&amp;$Q90,$H$5:$H$204,"&lt;&gt;RESOLVIDA")+COUNTIFS($Q$5:$Q90,$Q90,$H$5:$H90,"&lt;&gt;RESOLVIDA"),"")</f>
      </c>
    </row>
    <row r="91">
      <c r="A91" s="218" t="inlineStr">
        <is>
          <t>R87</t>
        </is>
      </c>
      <c r="B91" s="218" t="inlineStr">
        <is>
          <t>281</t>
        </is>
      </c>
      <c r="C91" s="218" t="inlineStr">
        <is>
          <t>ADM</t>
        </is>
      </c>
      <c r="D91" s="298" t="inlineStr">
        <is>
          <t>Ofício à SANEAGO: a operação assistida (6 meses) conta dentro dos 660 dias? Se contar, a folga da ETA já é negativa. Levantar no contrato e no EGT o que a SANEAGO exige na entrega à operação: manual, treinamento, operação assistida, data book e recebimento</t>
        </is>
      </c>
      <c r="E91" s="218" t="inlineStr">
        <is>
          <t>CLIENTE</t>
        </is>
      </c>
      <c r="F91" s="220" t="n">
        <v>46325</v>
      </c>
      <c r="G91" s="218" t="inlineStr">
        <is>
          <t>Thadeu</t>
        </is>
      </c>
      <c r="H91" s="218" t="inlineStr">
        <is>
          <t>ABERTA</t>
        </is>
      </c>
      <c r="I91" s="220" t="n"/>
      <c r="J91" s="269" t="inlineStr">
        <is>
          <t>03 F11 (660 dias da OS); auditoria 15/10, item 4; lista A, A66</t>
        </is>
      </c>
      <c r="K91" s="221">
        <f>IF(OR($B91="",$H91="RESOLVIDA",$M91="RISCO",AND($F91="",$U91="")),"",IF($U91&lt;&gt;"",$U91,$F91)-DATA_GESTAO)</f>
        <v>14</v>
      </c>
      <c r="L91" s="222" t="str">
        <f>IF($B91="","",IF($H91="RESOLVIDA","RESOLVIDA",IF($M91="RISCO","RISCO",IF($K91="","SEM PRAZO",IF($K91&lt;0,"VENCIDA",IF($G91="","SEM DONO",IF($K91&lt;=7,"ESTA SEMANA",IF($K91&lt;=42,"PRÓXIMAS 6 SEMANAS","NO PRAZO"))))))))</f>
        <v>PRÓXIMAS 6 SEMANAS</v>
      </c>
      <c r="M91" s="218" t="inlineStr">
        <is>
          <t>RESTRIÇÃO</t>
        </is>
      </c>
      <c r="N91" s="235" t="n"/>
      <c r="O91" s="271" t="n"/>
      <c r="P91" s="235" t="n"/>
      <c r="Q91" s="267">
        <f>IF($B91="","",IF(AND($N91="",$O91=""),IF($M91="RISCO","SEM BASE",""),IF(AND(ISNUMBER($N91),ISNUMBER($O91)),ROUND($N91*$O91/5,0),"SEM BASE")))</f>
      </c>
      <c r="R91" s="298" t="n"/>
      <c r="S91" s="298" t="n"/>
      <c r="T91" s="218" t="n"/>
      <c r="U91" s="220" t="n"/>
      <c r="V91" s="235" t="n"/>
      <c r="W91" s="221">
        <f>IF(AND(ISNUMBER($Q91),$H91&lt;&gt;"RESOLVIDA"),COUNTIFS($Q$5:$Q$204,"&gt;"&amp;$Q91,$H$5:$H$204,"&lt;&gt;RESOLVIDA")+COUNTIFS($Q$5:$Q91,$Q91,$H$5:$H91,"&lt;&gt;RESOLVIDA"),"")</f>
      </c>
    </row>
    <row r="92">
      <c r="A92" s="218" t="inlineStr">
        <is>
          <t>R88</t>
        </is>
      </c>
      <c r="B92" s="218" t="inlineStr">
        <is>
          <t>343</t>
        </is>
      </c>
      <c r="C92" s="218" t="inlineStr">
        <is>
          <t>PEAD</t>
        </is>
      </c>
      <c r="D92" s="298" t="inlineStr">
        <is>
          <t>Quem fornece o tubo PEAD DN 560 e o cronograma de entrega, por escrito (a planilha de itens não tem item de fornecimento do tubo)</t>
        </is>
      </c>
      <c r="E92" s="218" t="inlineStr">
        <is>
          <t>CLIENTE</t>
        </is>
      </c>
      <c r="F92" s="220" t="n">
        <v>46318</v>
      </c>
      <c r="G92" s="218" t="inlineStr">
        <is>
          <t>Felipe</t>
        </is>
      </c>
      <c r="H92" s="218" t="inlineStr">
        <is>
          <t>ABERTA</t>
        </is>
      </c>
      <c r="I92" s="220" t="n"/>
      <c r="J92" s="269" t="inlineStr">
        <is>
          <t>auditoria 15/10, item 6 (Itens 343 B229)</t>
        </is>
      </c>
      <c r="K92" s="221">
        <f>IF(OR($B92="",$H92="RESOLVIDA",$M92="RISCO",AND($F92="",$U92="")),"",IF($U92&lt;&gt;"",$U92,$F92)-DATA_GESTAO)</f>
        <v>7</v>
      </c>
      <c r="L92" s="222" t="str">
        <f>IF($B92="","",IF($H92="RESOLVIDA","RESOLVIDA",IF($M92="RISCO","RISCO",IF($K92="","SEM PRAZO",IF($K92&lt;0,"VENCIDA",IF($G92="","SEM DONO",IF($K92&lt;=7,"ESTA SEMANA",IF($K92&lt;=42,"PRÓXIMAS 6 SEMANAS","NO PRAZO"))))))))</f>
        <v>ESTA SEMANA</v>
      </c>
      <c r="M92" s="218" t="inlineStr">
        <is>
          <t>RESTRIÇÃO</t>
        </is>
      </c>
      <c r="N92" s="235" t="n"/>
      <c r="O92" s="271" t="n"/>
      <c r="P92" s="235" t="n"/>
      <c r="Q92" s="267">
        <f>IF($B92="","",IF(AND($N92="",$O92=""),IF($M92="RISCO","SEM BASE",""),IF(AND(ISNUMBER($N92),ISNUMBER($O92)),ROUND($N92*$O92/5,0),"SEM BASE")))</f>
      </c>
      <c r="R92" s="298" t="n"/>
      <c r="S92" s="298" t="n"/>
      <c r="T92" s="218" t="n"/>
      <c r="U92" s="220" t="n"/>
      <c r="V92" s="235" t="n"/>
      <c r="W92" s="221">
        <f>IF(AND(ISNUMBER($Q92),$H92&lt;&gt;"RESOLVIDA"),COUNTIFS($Q$5:$Q$204,"&gt;"&amp;$Q92,$H$5:$H$204,"&lt;&gt;RESOLVIDA")+COUNTIFS($Q$5:$Q92,$Q92,$H$5:$H92,"&lt;&gt;RESOLVIDA"),"")</f>
      </c>
    </row>
    <row r="93">
      <c r="A93" s="218" t="inlineStr">
        <is>
          <t>R89</t>
        </is>
      </c>
      <c r="B93" s="218" t="inlineStr">
        <is>
          <t>342</t>
        </is>
      </c>
      <c r="C93" s="218" t="inlineStr">
        <is>
          <t>ADM</t>
        </is>
      </c>
      <c r="D93" s="234" t="str">
        <f>"Thadeu nomeia quem responde por Compras e quem responde pelo Financeiro TAF (vale para as 3 obras), dá dono à R55 e à R76 e redistribui a carga do Marko Aurélio. Abertas hoje: "&amp;COUNTIFS($G$5:$G$204,"Compras",$H$5:$H$204,"ABERTA")&amp;" com Compras, "&amp;COUNTIFS($G$5:$G$204,"Financeiro TAF",$H$5:$H$204,"ABERTA")&amp;" com Financeiro TAF, "&amp;(COUNTIFS($G$5:$G$204,"Gerente da 343*",$H$5:$H$204,"ABERTA")+COUNTIFS($G$5:$G$204,"Administrativo",$H$5:$H$204,"ABERTA"))&amp;" com Gerente da 343 ou Administrativo, "&amp;COUNTIFS($G$5:$G$204,"",$B$5:$B$204,"&lt;&gt;",$H$5:$H$204,"ABERTA")&amp;" sem dono e "&amp;COUNTIFS($G$5:$G$204,"Marko Aurélio",$H$5:$H$204,"ABERTA")&amp;" com o Marko Aurélio."</f>
        <v>Thadeu nomeia quem responde por Compras e quem responde pelo Financeiro TAF (vale para as 3 obras), dá dono à R55 e à R76 e redistribui a carga do Marko Aurélio. Abertas hoje: 12 com Compras, 3 com Financeiro TAF, 4 com Gerente da 343 ou Administrativo, 2 sem dono e 23 com o Marko Aurélio.</v>
      </c>
      <c r="E93" s="218" t="inlineStr">
        <is>
          <t>INTERNA</t>
        </is>
      </c>
      <c r="F93" s="220" t="n">
        <v>46314</v>
      </c>
      <c r="G93" s="218" t="inlineStr">
        <is>
          <t>Thadeu</t>
        </is>
      </c>
      <c r="H93" s="218" t="inlineStr">
        <is>
          <t>ABERTA</t>
        </is>
      </c>
      <c r="I93" s="220" t="n"/>
      <c r="J93" s="269" t="inlineStr">
        <is>
          <t>auditoria 15/10, RC-07 (dono cinza na coluna G = setor sem pessoa)</t>
        </is>
      </c>
      <c r="K93" s="221">
        <f>IF(OR($B93="",$H93="RESOLVIDA",$M93="RISCO",AND($F93="",$U93="")),"",IF($U93&lt;&gt;"",$U93,$F93)-DATA_GESTAO)</f>
        <v>3</v>
      </c>
      <c r="L93" s="222" t="str">
        <f>IF($B93="","",IF($H93="RESOLVIDA","RESOLVIDA",IF($M93="RISCO","RISCO",IF($K93="","SEM PRAZO",IF($K93&lt;0,"VENCIDA",IF($G93="","SEM DONO",IF($K93&lt;=7,"ESTA SEMANA",IF($K93&lt;=42,"PRÓXIMAS 6 SEMANAS","NO PRAZO"))))))))</f>
        <v>ESTA SEMANA</v>
      </c>
      <c r="M93" s="218" t="inlineStr">
        <is>
          <t>RESTRIÇÃO</t>
        </is>
      </c>
      <c r="N93" s="235" t="n"/>
      <c r="O93" s="271" t="n"/>
      <c r="P93" s="235" t="n"/>
      <c r="Q93" s="267">
        <f>IF($B93="","",IF(AND($N93="",$O93=""),IF($M93="RISCO","SEM BASE",""),IF(AND(ISNUMBER($N93),ISNUMBER($O93)),ROUND($N93*$O93/5,0),"SEM BASE")))</f>
      </c>
      <c r="R93" s="298" t="n"/>
      <c r="S93" s="298" t="n"/>
      <c r="T93" s="218" t="n"/>
      <c r="U93" s="220" t="n"/>
      <c r="V93" s="235" t="n"/>
      <c r="W93" s="221">
        <f>IF(AND(ISNUMBER($Q93),$H93&lt;&gt;"RESOLVIDA"),COUNTIFS($Q$5:$Q$204,"&gt;"&amp;$Q93,$H$5:$H$204,"&lt;&gt;RESOLVIDA")+COUNTIFS($Q$5:$Q93,$Q93,$H$5:$H93,"&lt;&gt;RESOLVIDA"),"")</f>
      </c>
    </row>
    <row r="94">
      <c r="A94" s="218" t="inlineStr">
        <is>
          <t>R90</t>
        </is>
      </c>
      <c r="B94" s="218" t="inlineStr">
        <is>
          <t>342</t>
        </is>
      </c>
      <c r="C94" s="218" t="inlineStr">
        <is>
          <t>ADM</t>
        </is>
      </c>
      <c r="D94" s="298" t="inlineStr">
        <is>
          <t>Remanescentes do contrato anterior (CT 30000273/2025) na área confirmados com a fiscalização; se houver, laudo de vistoria entregue antes do detalhamento executivo da etapa, para o passivo ficar com a SANEAGO</t>
        </is>
      </c>
      <c r="E94" s="218" t="inlineStr">
        <is>
          <t>CLIENTE</t>
        </is>
      </c>
      <c r="F94" s="220" t="n">
        <v>46314</v>
      </c>
      <c r="G94" s="218" t="inlineStr">
        <is>
          <t>Tiago Marinho</t>
        </is>
      </c>
      <c r="H94" s="218" t="inlineStr">
        <is>
          <t>ABERTA</t>
        </is>
      </c>
      <c r="I94" s="220" t="n"/>
      <c r="J94" s="269" t="inlineStr">
        <is>
          <t>lista A, A04 (Anexo IX item 26, p. 4; ACOMPANHAMENTO P05 sem resposta)</t>
        </is>
      </c>
      <c r="K94" s="221">
        <f>IF(OR($B94="",$H94="RESOLVIDA",$M94="RISCO",AND($F94="",$U94="")),"",IF($U94&lt;&gt;"",$U94,$F94)-DATA_GESTAO)</f>
        <v>3</v>
      </c>
      <c r="L94" s="222" t="str">
        <f>IF($B94="","",IF($H94="RESOLVIDA","RESOLVIDA",IF($M94="RISCO","RISCO",IF($K94="","SEM PRAZO",IF($K94&lt;0,"VENCIDA",IF($G94="","SEM DONO",IF($K94&lt;=7,"ESTA SEMANA",IF($K94&lt;=42,"PRÓXIMAS 6 SEMANAS","NO PRAZO"))))))))</f>
        <v>ESTA SEMANA</v>
      </c>
      <c r="M94" s="218" t="inlineStr">
        <is>
          <t>RESTRIÇÃO</t>
        </is>
      </c>
      <c r="N94" s="235" t="n"/>
      <c r="O94" s="271" t="n"/>
      <c r="P94" s="235" t="n"/>
      <c r="Q94" s="267">
        <f>IF($B94="","",IF(AND($N94="",$O94=""),IF($M94="RISCO","SEM BASE",""),IF(AND(ISNUMBER($N94),ISNUMBER($O94)),ROUND($N94*$O94/5,0),"SEM BASE")))</f>
      </c>
      <c r="R94" s="298" t="n"/>
      <c r="S94" s="298" t="n"/>
      <c r="T94" s="218" t="n"/>
      <c r="U94" s="220" t="n"/>
      <c r="V94" s="235" t="n"/>
      <c r="W94" s="221">
        <f>IF(AND(ISNUMBER($Q94),$H94&lt;&gt;"RESOLVIDA"),COUNTIFS($Q$5:$Q$204,"&gt;"&amp;$Q94,$H$5:$H$204,"&lt;&gt;RESOLVIDA")+COUNTIFS($Q$5:$Q94,$Q94,$H$5:$H94,"&lt;&gt;RESOLVIDA"),"")</f>
      </c>
    </row>
    <row r="95">
      <c r="A95" s="218" t="inlineStr">
        <is>
          <t>R91</t>
        </is>
      </c>
      <c r="B95" s="218" t="inlineStr">
        <is>
          <t>342</t>
        </is>
      </c>
      <c r="C95" s="218" t="inlineStr">
        <is>
          <t>ADM</t>
        </is>
      </c>
      <c r="D95" s="298" t="inlineStr">
        <is>
          <t>Diário de Obra da 342 aberto no canteiro desde 19/10, atualizado pelo RT, com os comunicados à fiscalização; formato e entrega combinados com a fiscalização</t>
        </is>
      </c>
      <c r="E95" s="218" t="inlineStr">
        <is>
          <t>CLIENTE</t>
        </is>
      </c>
      <c r="F95" s="220" t="n">
        <v>46314</v>
      </c>
      <c r="G95" s="218" t="inlineStr">
        <is>
          <t>Marko Aurélio</t>
        </is>
      </c>
      <c r="H95" s="218" t="inlineStr">
        <is>
          <t>ABERTA</t>
        </is>
      </c>
      <c r="I95" s="220" t="n"/>
      <c r="J95" s="269" t="inlineStr">
        <is>
          <t>lista A, A06 e A28 (Contrato 342, Cláusula Décima Quarta, Parágrafo Décimo; ACOMPANHAMENTO P38 sem resposta)</t>
        </is>
      </c>
      <c r="K95" s="221">
        <f>IF(OR($B95="",$H95="RESOLVIDA",$M95="RISCO",AND($F95="",$U95="")),"",IF($U95&lt;&gt;"",$U95,$F95)-DATA_GESTAO)</f>
        <v>3</v>
      </c>
      <c r="L95" s="222" t="str">
        <f>IF($B95="","",IF($H95="RESOLVIDA","RESOLVIDA",IF($M95="RISCO","RISCO",IF($K95="","SEM PRAZO",IF($K95&lt;0,"VENCIDA",IF($G95="","SEM DONO",IF($K95&lt;=7,"ESTA SEMANA",IF($K95&lt;=42,"PRÓXIMAS 6 SEMANAS","NO PRAZO"))))))))</f>
        <v>ESTA SEMANA</v>
      </c>
      <c r="M95" s="218" t="inlineStr">
        <is>
          <t>RESTRIÇÃO</t>
        </is>
      </c>
      <c r="N95" s="235" t="n"/>
      <c r="O95" s="271" t="n"/>
      <c r="P95" s="235" t="n"/>
      <c r="Q95" s="267">
        <f>IF($B95="","",IF(AND($N95="",$O95=""),IF($M95="RISCO","SEM BASE",""),IF(AND(ISNUMBER($N95),ISNUMBER($O95)),ROUND($N95*$O95/5,0),"SEM BASE")))</f>
      </c>
      <c r="R95" s="298" t="n"/>
      <c r="S95" s="298" t="n"/>
      <c r="T95" s="218" t="n"/>
      <c r="U95" s="220" t="n"/>
      <c r="V95" s="235" t="n"/>
      <c r="W95" s="221">
        <f>IF(AND(ISNUMBER($Q95),$H95&lt;&gt;"RESOLVIDA"),COUNTIFS($Q$5:$Q$204,"&gt;"&amp;$Q95,$H$5:$H$204,"&lt;&gt;RESOLVIDA")+COUNTIFS($Q$5:$Q95,$Q95,$H$5:$H95,"&lt;&gt;RESOLVIDA"),"")</f>
      </c>
    </row>
    <row r="96">
      <c r="A96" s="218" t="inlineStr">
        <is>
          <t>R92</t>
        </is>
      </c>
      <c r="B96" s="218" t="inlineStr">
        <is>
          <t>342</t>
        </is>
      </c>
      <c r="C96" s="218" t="inlineStr">
        <is>
          <t>3.1.1</t>
        </is>
      </c>
      <c r="D96" s="298" t="inlineStr">
        <is>
          <t>Terceirizados da 342 comunicados à fiscalização antes de começarem (Plano de Trabalho, seção 3)</t>
        </is>
      </c>
      <c r="E96" s="218" t="inlineStr">
        <is>
          <t>CLIENTE</t>
        </is>
      </c>
      <c r="F96" s="220" t="n">
        <v>46314</v>
      </c>
      <c r="G96" s="218" t="inlineStr">
        <is>
          <t>Tiago Marinho</t>
        </is>
      </c>
      <c r="H96" s="218" t="inlineStr">
        <is>
          <t>ABERTA</t>
        </is>
      </c>
      <c r="I96" s="220" t="n"/>
      <c r="J96" s="269" t="inlineStr">
        <is>
          <t>lista A, A13 (ACOMPANHAMENTO P34 sem resposta)</t>
        </is>
      </c>
      <c r="K96" s="221">
        <f>IF(OR($B96="",$H96="RESOLVIDA",$M96="RISCO",AND($F96="",$U96="")),"",IF($U96&lt;&gt;"",$U96,$F96)-DATA_GESTAO)</f>
        <v>3</v>
      </c>
      <c r="L96" s="222" t="str">
        <f>IF($B96="","",IF($H96="RESOLVIDA","RESOLVIDA",IF($M96="RISCO","RISCO",IF($K96="","SEM PRAZO",IF($K96&lt;0,"VENCIDA",IF($G96="","SEM DONO",IF($K96&lt;=7,"ESTA SEMANA",IF($K96&lt;=42,"PRÓXIMAS 6 SEMANAS","NO PRAZO"))))))))</f>
        <v>ESTA SEMANA</v>
      </c>
      <c r="M96" s="218" t="inlineStr">
        <is>
          <t>RESTRIÇÃO</t>
        </is>
      </c>
      <c r="N96" s="235" t="n"/>
      <c r="O96" s="271" t="n"/>
      <c r="P96" s="235" t="n"/>
      <c r="Q96" s="267">
        <f>IF($B96="","",IF(AND($N96="",$O96=""),IF($M96="RISCO","SEM BASE",""),IF(AND(ISNUMBER($N96),ISNUMBER($O96)),ROUND($N96*$O96/5,0),"SEM BASE")))</f>
      </c>
      <c r="R96" s="298" t="n"/>
      <c r="S96" s="298" t="n"/>
      <c r="T96" s="218" t="n"/>
      <c r="U96" s="220" t="n"/>
      <c r="V96" s="235" t="n"/>
      <c r="W96" s="221">
        <f>IF(AND(ISNUMBER($Q96),$H96&lt;&gt;"RESOLVIDA"),COUNTIFS($Q$5:$Q$204,"&gt;"&amp;$Q96,$H$5:$H$204,"&lt;&gt;RESOLVIDA")+COUNTIFS($Q$5:$Q96,$Q96,$H$5:$H96,"&lt;&gt;RESOLVIDA"),"")</f>
      </c>
    </row>
    <row r="97">
      <c r="A97" s="218" t="inlineStr">
        <is>
          <t>R93</t>
        </is>
      </c>
      <c r="B97" s="218" t="inlineStr">
        <is>
          <t>343</t>
        </is>
      </c>
      <c r="C97" s="218" t="inlineStr">
        <is>
          <t>ADM</t>
        </is>
      </c>
      <c r="D97" s="234" t="str">
        <f>"Terceiros previstos na 343 para out e nov/26 (R$ "&amp;ROUND('04. PLANO DAS OBRAS'!$S$22/1000,0)&amp;" mil, 04 S22) identificados, com contrato e prazo; dizer se a solda de termofusão já está nesse valor (R39)."</f>
        <v>Terceiros previstos na 343 para out e nov/26 (R$ 343 mil, 04 S22) identificados, com contrato e prazo; dizer se a solda de termofusão já está nesse valor (R39).</v>
      </c>
      <c r="E97" s="218" t="inlineStr">
        <is>
          <t>INTERNA</t>
        </is>
      </c>
      <c r="F97" s="220" t="n">
        <v>46325</v>
      </c>
      <c r="G97" s="218" t="inlineStr">
        <is>
          <t>Mauro Lúcio e Thadeu</t>
        </is>
      </c>
      <c r="H97" s="218" t="inlineStr">
        <is>
          <t>ABERTA</t>
        </is>
      </c>
      <c r="I97" s="220" t="n"/>
      <c r="J97" s="269" t="inlineStr">
        <is>
          <t>lista A, A56; auditoria 15/10, item 6 (perguntar ao orçamentista o que são os terceiros)</t>
        </is>
      </c>
      <c r="K97" s="221">
        <f>IF(OR($B97="",$H97="RESOLVIDA",$M97="RISCO",AND($F97="",$U97="")),"",IF($U97&lt;&gt;"",$U97,$F97)-DATA_GESTAO)</f>
        <v>14</v>
      </c>
      <c r="L97" s="222" t="str">
        <f>IF($B97="","",IF($H97="RESOLVIDA","RESOLVIDA",IF($M97="RISCO","RISCO",IF($K97="","SEM PRAZO",IF($K97&lt;0,"VENCIDA",IF($G97="","SEM DONO",IF($K97&lt;=7,"ESTA SEMANA",IF($K97&lt;=42,"PRÓXIMAS 6 SEMANAS","NO PRAZO"))))))))</f>
        <v>PRÓXIMAS 6 SEMANAS</v>
      </c>
      <c r="M97" s="218" t="inlineStr">
        <is>
          <t>RESTRIÇÃO</t>
        </is>
      </c>
      <c r="N97" s="235" t="n"/>
      <c r="O97" s="271" t="n"/>
      <c r="P97" s="235" t="n"/>
      <c r="Q97" s="267">
        <f>IF($B97="","",IF(AND($N97="",$O97=""),IF($M97="RISCO","SEM BASE",""),IF(AND(ISNUMBER($N97),ISNUMBER($O97)),ROUND($N97*$O97/5,0),"SEM BASE")))</f>
      </c>
      <c r="R97" s="298" t="n"/>
      <c r="S97" s="298" t="n"/>
      <c r="T97" s="218" t="n"/>
      <c r="U97" s="220" t="n"/>
      <c r="V97" s="235" t="n"/>
      <c r="W97" s="221">
        <f>IF(AND(ISNUMBER($Q97),$H97&lt;&gt;"RESOLVIDA"),COUNTIFS($Q$5:$Q$204,"&gt;"&amp;$Q97,$H$5:$H$204,"&lt;&gt;RESOLVIDA")+COUNTIFS($Q$5:$Q97,$Q97,$H$5:$H97,"&lt;&gt;RESOLVIDA"),"")</f>
      </c>
    </row>
    <row r="98">
      <c r="A98" s="218" t="inlineStr">
        <is>
          <t>R94</t>
        </is>
      </c>
      <c r="B98" s="218" t="inlineStr">
        <is>
          <t>342</t>
        </is>
      </c>
      <c r="C98" s="218" t="inlineStr">
        <is>
          <t>BM</t>
        </is>
      </c>
      <c r="D98" s="298" t="inlineStr">
        <is>
          <t>UN a até 5 dias do corte: evento pago só na conclusão que termina a 5 dias ou menos do corte do BM. Se escorregar, passa para o BM seguinte (cerca de R$ 10 mil de juro por mês, o estudo interno estima)</t>
        </is>
      </c>
      <c r="E98" s="218" t="n"/>
      <c r="F98" s="220" t="n"/>
      <c r="G98" s="218" t="inlineStr">
        <is>
          <t>Tiago Marinho</t>
        </is>
      </c>
      <c r="H98" s="218" t="inlineStr">
        <is>
          <t>MONITORAR</t>
        </is>
      </c>
      <c r="I98" s="220" t="n"/>
      <c r="J98" s="269" t="inlineStr">
        <is>
          <t>'CRONOGRAMA PROJECT' E74:I103 (soma dos eventos UN com fim a até 5 dias do corte); auditoria 15/10, item 9. P e I: proposta da auditoria para Marko Aurélio e Tiago Marinho validarem</t>
        </is>
      </c>
      <c r="K98" s="221">
        <f>IF(OR($B98="",$H98="RESOLVIDA",$M98="RISCO",AND($F98="",$U98="")),"",IF($U98&lt;&gt;"",$U98,$F98)-DATA_GESTAO)</f>
      </c>
      <c r="L98" s="222" t="str">
        <f>IF($B98="","",IF($H98="RESOLVIDA","RESOLVIDA",IF($M98="RISCO","RISCO",IF($K98="","SEM PRAZO",IF($K98&lt;0,"VENCIDA",IF($G98="","SEM DONO",IF($K98&lt;=7,"ESTA SEMANA",IF($K98&lt;=42,"PRÓXIMAS 6 SEMANAS","NO PRAZO"))))))))</f>
        <v>RISCO</v>
      </c>
      <c r="M98" s="218" t="inlineStr">
        <is>
          <t>RISCO</t>
        </is>
      </c>
      <c r="N98" s="330" t="n">
        <v>3</v>
      </c>
      <c r="O98" s="267">
        <f>SUMPRODUCT((LEFT('CRONOGRAMA PROJECT'!$E$74:$E$103,2)="UN")*('CRONOGRAMA PROJECT'!$I$74:$I$103-'CRONOGRAMA PROJECT'!$H$74:$H$103&gt;=0)*('CRONOGRAMA PROJECT'!$I$74:$I$103-'CRONOGRAMA PROJECT'!$H$74:$H$103&lt;=5)*'CRONOGRAMA PROJECT'!$F$74:$F$103)</f>
        <v>684962.62</v>
      </c>
      <c r="P98" s="330" t="n">
        <v>30</v>
      </c>
      <c r="Q98" s="267">
        <f>IF($B98="","",IF(AND($N98="",$O98=""),IF($M98="RISCO","SEM BASE",""),IF(AND(ISNUMBER($N98),ISNUMBER($O98)),ROUND($N98*$O98/5,0),"SEM BASE")))</f>
        <v>410978</v>
      </c>
      <c r="R98" s="298" t="inlineStr">
        <is>
          <t>Trava interna: concluir o evento UN 5 dias úteis antes do corte, com lista de conferência do atesto da fiscalização</t>
        </is>
      </c>
      <c r="S98" s="298" t="inlineStr">
        <is>
          <t>Evento UN na 05A terminando a menos de 5 dias úteis do corte</t>
        </is>
      </c>
      <c r="T98" s="218" t="n"/>
      <c r="U98" s="220" t="n"/>
      <c r="V98" s="235" t="n"/>
      <c r="W98" s="221">
        <f>IF(AND(ISNUMBER($Q98),$H98&lt;&gt;"RESOLVIDA"),COUNTIFS($Q$5:$Q$204,"&gt;"&amp;$Q98,$H$5:$H$204,"&lt;&gt;RESOLVIDA")+COUNTIFS($Q$5:$Q98,$Q98,$H$5:$H98,"&lt;&gt;RESOLVIDA"),"")</f>
        <v>1</v>
      </c>
    </row>
    <row r="99">
      <c r="A99" s="218" t="inlineStr">
        <is>
          <t>R95</t>
        </is>
      </c>
      <c r="B99" s="218" t="inlineStr">
        <is>
          <t>342</t>
        </is>
      </c>
      <c r="C99" s="218" t="inlineStr">
        <is>
          <t>ADM</t>
        </is>
      </c>
      <c r="D99" s="298" t="inlineStr">
        <is>
          <t>Aprovação da SANEAGO demora (traçado, projetos, eventograma): o FoFo não chega e o BM do corte de 20/12 perde cerca de R$ 325 mil brutos; o recebimento passa de 15/01 para 15/02/2027 (o estudo interno estima)</t>
        </is>
      </c>
      <c r="E99" s="218" t="inlineStr">
        <is>
          <t>CLIENTE</t>
        </is>
      </c>
      <c r="F99" s="220" t="n"/>
      <c r="G99" s="218" t="inlineStr">
        <is>
          <t>Marko Aurélio</t>
        </is>
      </c>
      <c r="H99" s="218" t="inlineStr">
        <is>
          <t>MONITORAR</t>
        </is>
      </c>
      <c r="I99" s="220" t="n"/>
      <c r="J99" s="269" t="inlineStr">
        <is>
          <t>auditoria 15/10, item 3 (BM03, corte de 20/12) e CC-04. P e I: proposta da auditoria para Marko Aurélio e Tiago Marinho validarem</t>
        </is>
      </c>
      <c r="K99" s="221">
        <f>IF(OR($B99="",$H99="RESOLVIDA",$M99="RISCO",AND($F99="",$U99="")),"",IF($U99&lt;&gt;"",$U99,$F99)-DATA_GESTAO)</f>
      </c>
      <c r="L99" s="222" t="str">
        <f>IF($B99="","",IF($H99="RESOLVIDA","RESOLVIDA",IF($M99="RISCO","RISCO",IF($K99="","SEM PRAZO",IF($K99&lt;0,"VENCIDA",IF($G99="","SEM DONO",IF($K99&lt;=7,"ESTA SEMANA",IF($K99&lt;=42,"PRÓXIMAS 6 SEMANAS","NO PRAZO"))))))))</f>
        <v>RISCO</v>
      </c>
      <c r="M99" s="218" t="inlineStr">
        <is>
          <t>RISCO</t>
        </is>
      </c>
      <c r="N99" s="330" t="n">
        <v>4</v>
      </c>
      <c r="O99" s="321" t="n">
        <v>325000</v>
      </c>
      <c r="P99" s="330" t="n">
        <v>31</v>
      </c>
      <c r="Q99" s="267">
        <f>IF($B99="","",IF(AND($N99="",$O99=""),IF($M99="RISCO","SEM BASE",""),IF(AND(ISNUMBER($N99),ISNUMBER($O99)),ROUND($N99*$O99/5,0),"SEM BASE")))</f>
        <v>260000</v>
      </c>
      <c r="R99" s="298" t="inlineStr">
        <is>
          <t>Protocolar tudo com número e data e cobrar por escrito depois de 5 dias úteis. Aprovar a Rev04 até 27/11 vale R$ 132.394 no corte de 20/12 (o estudo interno estima)</t>
        </is>
      </c>
      <c r="S99" s="298" t="inlineStr">
        <is>
          <t>5 dias úteis sem resposta depois do protocolo (R07, R09, R30)</t>
        </is>
      </c>
      <c r="T99" s="218" t="n"/>
      <c r="U99" s="220" t="n"/>
      <c r="V99" s="235" t="n"/>
      <c r="W99" s="221">
        <f>IF(AND(ISNUMBER($Q99),$H99&lt;&gt;"RESOLVIDA"),COUNTIFS($Q$5:$Q$204,"&gt;"&amp;$Q99,$H$5:$H$204,"&lt;&gt;RESOLVIDA")+COUNTIFS($Q$5:$Q99,$Q99,$H$5:$H99,"&lt;&gt;RESOLVIDA"),"")</f>
        <v>2</v>
      </c>
    </row>
    <row r="100">
      <c r="A100" s="218" t="inlineStr">
        <is>
          <t>R96</t>
        </is>
      </c>
      <c r="B100" s="218" t="inlineStr">
        <is>
          <t>342</t>
        </is>
      </c>
      <c r="C100" s="218" t="inlineStr">
        <is>
          <t>3.6.7</t>
        </is>
      </c>
      <c r="D100" s="298" t="inlineStr">
        <is>
          <t>Fabricação das bombas atrasa: conjuntos motor-bomba com fabricação longa e tipo ainda não confirmado (R70); o evento só é pago na conclusão</t>
        </is>
      </c>
      <c r="E100" s="218" t="inlineStr">
        <is>
          <t>FORNECEDOR</t>
        </is>
      </c>
      <c r="F100" s="220" t="n"/>
      <c r="G100" s="218" t="inlineStr">
        <is>
          <t>Marko Aurélio</t>
        </is>
      </c>
      <c r="H100" s="218" t="inlineStr">
        <is>
          <t>MONITORAR</t>
        </is>
      </c>
      <c r="I100" s="220" t="n"/>
      <c r="J100" s="269" t="inlineStr">
        <is>
          <t>'CRONOGRAMA PROJECT', linha do 3.6.7 (valor e fim); auditoria 15/10, item 8. P e I: proposta da auditoria para Marko Aurélio e Tiago Marinho validarem</t>
        </is>
      </c>
      <c r="K100" s="221">
        <f>IF(OR($B100="",$H100="RESOLVIDA",$M100="RISCO",AND($F100="",$U100="")),"",IF($U100&lt;&gt;"",$U100,$F100)-DATA_GESTAO)</f>
      </c>
      <c r="L100" s="222" t="str">
        <f>IF($B100="","",IF($H100="RESOLVIDA","RESOLVIDA",IF($M100="RISCO","RISCO",IF($K100="","SEM PRAZO",IF($K100&lt;0,"VENCIDA",IF($G100="","SEM DONO",IF($K100&lt;=7,"ESTA SEMANA",IF($K100&lt;=42,"PRÓXIMAS 6 SEMANAS","NO PRAZO"))))))))</f>
        <v>RISCO</v>
      </c>
      <c r="M100" s="218" t="inlineStr">
        <is>
          <t>RISCO</t>
        </is>
      </c>
      <c r="N100" s="330" t="n">
        <v>3</v>
      </c>
      <c r="O100" s="267">
        <f>SUMIFS('CRONOGRAMA PROJECT'!$F$74:$F$103,'CRONOGRAMA PROJECT'!$A$74:$A$103,"3.6.7")</f>
        <v>196129.57</v>
      </c>
      <c r="P100" s="330" t="n">
        <v>30</v>
      </c>
      <c r="Q100" s="267">
        <f>IF($B100="","",IF(AND($N100="",$O100=""),IF($M100="RISCO","SEM BASE",""),IF(AND(ISNUMBER($N100),ISNUMBER($O100)),ROUND($N100*$O100/5,0),"SEM BASE")))</f>
        <v>117678</v>
      </c>
      <c r="R100" s="298" t="inlineStr">
        <is>
          <t>Fechar o tipo com o fiscal (R70) e pedir na cotação prazo de fabricação, multa e supervisão de montagem (R28)</t>
        </is>
      </c>
      <c r="S100" s="298" t="inlineStr">
        <is>
          <t>Prazo de fabricação cotado acima de 90 dias (pedido em 20/02/2027, R28; montagem em 21/05/2027)</t>
        </is>
      </c>
      <c r="T100" s="218" t="n"/>
      <c r="U100" s="220" t="n"/>
      <c r="V100" s="235" t="n"/>
      <c r="W100" s="221">
        <f>IF(AND(ISNUMBER($Q100),$H100&lt;&gt;"RESOLVIDA"),COUNTIFS($Q$5:$Q$204,"&gt;"&amp;$Q100,$H$5:$H$204,"&lt;&gt;RESOLVIDA")+COUNTIFS($Q$5:$Q100,$Q100,$H$5:$H100,"&lt;&gt;RESOLVIDA"),"")</f>
        <v>4</v>
      </c>
    </row>
    <row r="101">
      <c r="A101" s="218" t="inlineStr">
        <is>
          <t>R97</t>
        </is>
      </c>
      <c r="B101" s="218" t="inlineStr">
        <is>
          <t>342</t>
        </is>
      </c>
      <c r="C101" s="218" t="inlineStr">
        <is>
          <t>3.5.2</t>
        </is>
      </c>
      <c r="D101" s="298" t="inlineStr">
        <is>
          <t>Chuva acima da normal do INMET: de novembro a março o fator de chuva é 0,73 a 0,79, e o plano usa 0,844 o ano todo. Com 0,76 a estrutura do tanque (3.5.2) passa para o corte de 20/02/2027 (o estudo interno estima)</t>
        </is>
      </c>
      <c r="E101" s="218" t="inlineStr">
        <is>
          <t>INTERNA</t>
        </is>
      </c>
      <c r="F101" s="220" t="n"/>
      <c r="G101" s="218" t="inlineStr">
        <is>
          <t>Marko Aurélio</t>
        </is>
      </c>
      <c r="H101" s="218" t="inlineStr">
        <is>
          <t>MONITORAR</t>
        </is>
      </c>
      <c r="I101" s="220" t="n"/>
      <c r="J101" s="269" t="inlineStr">
        <is>
          <t>Estudo REV13 03 C79 e E77; auditoria 15/10, item 9 (fator por mês: R$ 38.038 a menos). P e I: proposta da auditoria para Marko Aurélio e Tiago Marinho validarem</t>
        </is>
      </c>
      <c r="K101" s="221">
        <f>IF(OR($B101="",$H101="RESOLVIDA",$M101="RISCO",AND($F101="",$U101="")),"",IF($U101&lt;&gt;"",$U101,$F101)-DATA_GESTAO)</f>
      </c>
      <c r="L101" s="222" t="str">
        <f>IF($B101="","",IF($H101="RESOLVIDA","RESOLVIDA",IF($M101="RISCO","RISCO",IF($K101="","SEM PRAZO",IF($K101&lt;0,"VENCIDA",IF($G101="","SEM DONO",IF($K101&lt;=7,"ESTA SEMANA",IF($K101&lt;=42,"PRÓXIMAS 6 SEMANAS","NO PRAZO"))))))))</f>
        <v>RISCO</v>
      </c>
      <c r="M101" s="218" t="inlineStr">
        <is>
          <t>RISCO</t>
        </is>
      </c>
      <c r="N101" s="330" t="n">
        <v>3</v>
      </c>
      <c r="O101" s="321" t="n">
        <v>38038</v>
      </c>
      <c r="P101" s="330" t="n">
        <v>31</v>
      </c>
      <c r="Q101" s="267">
        <f>IF($B101="","",IF(AND($N101="",$O101=""),IF($M101="RISCO","SEM BASE",""),IF(AND(ISNUMBER($N101),ISNUMBER($O101)),ROUND($N101*$O101/5,0),"SEM BASE")))</f>
        <v>22823</v>
      </c>
      <c r="R101" s="298" t="inlineStr">
        <is>
          <t>Tabela de 12 meses de chuva do INMET no estudo REV13 (fator por mês). Resposta à chuva no tanque definida e cotada antes da escavação: drenagem provisória, proteção e bombeamento (lista A, A48). Só a chuva acima da normal, provada no diário, sustenta pedido de prazo</t>
        </is>
      </c>
      <c r="S101" s="298" t="inlineStr">
        <is>
          <t>Dias de chuva no mês acima da normal do INMET (diário de obra)</t>
        </is>
      </c>
      <c r="T101" s="218" t="n"/>
      <c r="U101" s="220" t="n"/>
      <c r="V101" s="235" t="n"/>
      <c r="W101" s="221">
        <f>IF(AND(ISNUMBER($Q101),$H101&lt;&gt;"RESOLVIDA"),COUNTIFS($Q$5:$Q$204,"&gt;"&amp;$Q101,$H$5:$H$204,"&lt;&gt;RESOLVIDA")+COUNTIFS($Q$5:$Q101,$Q101,$H$5:$H101,"&lt;&gt;RESOLVIDA"),"")</f>
        <v>5</v>
      </c>
    </row>
    <row r="102">
      <c r="A102" s="218" t="inlineStr">
        <is>
          <t>R98</t>
        </is>
      </c>
      <c r="B102" s="218" t="inlineStr">
        <is>
          <t>342</t>
        </is>
      </c>
      <c r="C102" s="218" t="inlineStr">
        <is>
          <t>ADM</t>
        </is>
      </c>
      <c r="D102" s="298" t="inlineStr">
        <is>
          <t>Recesso de fim de ano: a 02 e o estudo só param nos feriados; um recesso de 24/12 a 01/01 tira dias úteis de dezembro, mês de pico do histograma</t>
        </is>
      </c>
      <c r="E102" s="218" t="inlineStr">
        <is>
          <t>INTERNA</t>
        </is>
      </c>
      <c r="F102" s="220" t="n"/>
      <c r="G102" s="218" t="inlineStr">
        <is>
          <t>Tiago Marinho</t>
        </is>
      </c>
      <c r="H102" s="218" t="inlineStr">
        <is>
          <t>MONITORAR</t>
        </is>
      </c>
      <c r="I102" s="220" t="n"/>
      <c r="J102" s="269" t="inlineStr">
        <is>
          <t>02. PARÂMETROS (feriados); HISTOGRAMA PLANEJADO; lista A, A60; auditoria 15/10, item 9. Impacto em R$ sem base até o estudo recalcular</t>
        </is>
      </c>
      <c r="K102" s="221">
        <f>IF(OR($B102="",$H102="RESOLVIDA",$M102="RISCO",AND($F102="",$U102="")),"",IF($U102&lt;&gt;"",$U102,$F102)-DATA_GESTAO)</f>
      </c>
      <c r="L102" s="222" t="str">
        <f>IF($B102="","",IF($H102="RESOLVIDA","RESOLVIDA",IF($M102="RISCO","RISCO",IF($K102="","SEM PRAZO",IF($K102&lt;0,"VENCIDA",IF($G102="","SEM DONO",IF($K102&lt;=7,"ESTA SEMANA",IF($K102&lt;=42,"PRÓXIMAS 6 SEMANAS","NO PRAZO"))))))))</f>
        <v>RISCO</v>
      </c>
      <c r="M102" s="218" t="inlineStr">
        <is>
          <t>RISCO</t>
        </is>
      </c>
      <c r="N102" s="330" t="n">
        <v>4</v>
      </c>
      <c r="O102" s="271" t="n"/>
      <c r="P102" s="221">
        <f>NETWORKDAYS(DATE(2026,12,24),DATE(2027,1,1),FERIADOS_342)</f>
        <v>5</v>
      </c>
      <c r="Q102" s="267" t="str">
        <f>IF($B102="","",IF(AND($N102="",$O102=""),IF($M102="RISCO","SEM BASE",""),IF(AND(ISNUMBER($N102),ISNUMBER($O102)),ROUND($N102*$O102/5,0),"SEM BASE")))</f>
        <v>SEM BASE</v>
      </c>
      <c r="R102" s="298" t="inlineStr">
        <is>
          <t>Thadeu decide o recesso por obra até 13/11/2026 e lança os dias como feriado na 02 (lista A, A60)</t>
        </is>
      </c>
      <c r="S102" s="298" t="inlineStr">
        <is>
          <t>Sem decisão em 13/11/2026</t>
        </is>
      </c>
      <c r="T102" s="218" t="n"/>
      <c r="U102" s="220" t="n"/>
      <c r="V102" s="235" t="n"/>
      <c r="W102" s="221">
        <f>IF(AND(ISNUMBER($Q102),$H102&lt;&gt;"RESOLVIDA"),COUNTIFS($Q$5:$Q$204,"&gt;"&amp;$Q102,$H$5:$H$204,"&lt;&gt;RESOLVIDA")+COUNTIFS($Q$5:$Q102,$Q102,$H$5:$H102,"&lt;&gt;RESOLVIDA"),"")</f>
      </c>
    </row>
    <row r="103">
      <c r="A103" s="218" t="inlineStr">
        <is>
          <t>R99</t>
        </is>
      </c>
      <c r="B103" s="218" t="inlineStr">
        <is>
          <t>343</t>
        </is>
      </c>
      <c r="C103" s="218" t="inlineStr">
        <is>
          <t>PEAD</t>
        </is>
      </c>
      <c r="D103" s="298" t="inlineStr">
        <is>
          <t>Ritmo do PEAD abaixo de 80 m/dia: a 40 m/dia o fim vai para janeiro e custa cerca de R$ 201 mil a mais; cada dia a menos de PEAD custa cerca de R$ 6.363 (estimativa da auditoria)</t>
        </is>
      </c>
      <c r="E103" s="218" t="inlineStr">
        <is>
          <t>INTERNA</t>
        </is>
      </c>
      <c r="F103" s="220" t="n"/>
      <c r="G103" s="218" t="inlineStr">
        <is>
          <t>Gerente da 343 (Thadeu nomeia, R42)</t>
        </is>
      </c>
      <c r="H103" s="218" t="inlineStr">
        <is>
          <t>MONITORAR</t>
        </is>
      </c>
      <c r="I103" s="220" t="n"/>
      <c r="J103" s="269" t="inlineStr">
        <is>
          <t>auditoria 15/10, item 6. P e I: proposta da auditoria para Mauro Lúcio validar (80 m/dia sem fonte)</t>
        </is>
      </c>
      <c r="K103" s="221">
        <f>IF(OR($B103="",$H103="RESOLVIDA",$M103="RISCO",AND($F103="",$U103="")),"",IF($U103&lt;&gt;"",$U103,$F103)-DATA_GESTAO)</f>
      </c>
      <c r="L103" s="222" t="str">
        <f>IF($B103="","",IF($H103="RESOLVIDA","RESOLVIDA",IF($M103="RISCO","RISCO",IF($K103="","SEM PRAZO",IF($K103&lt;0,"VENCIDA",IF($G103="","SEM DONO",IF($K103&lt;=7,"ESTA SEMANA",IF($K103&lt;=42,"PRÓXIMAS 6 SEMANAS","NO PRAZO"))))))))</f>
        <v>RISCO</v>
      </c>
      <c r="M103" s="218" t="inlineStr">
        <is>
          <t>RISCO</t>
        </is>
      </c>
      <c r="N103" s="330" t="n">
        <v>3</v>
      </c>
      <c r="O103" s="321" t="n">
        <v>201000</v>
      </c>
      <c r="P103" s="235" t="n"/>
      <c r="Q103" s="267">
        <f>IF($B103="","",IF(AND($N103="",$O103=""),IF($M103="RISCO","SEM BASE",""),IF(AND(ISNUMBER($N103),ISNUMBER($O103)),ROUND($N103*$O103/5,0),"SEM BASE")))</f>
        <v>120600</v>
      </c>
      <c r="R103" s="298" t="inlineStr">
        <is>
          <t>Apontar os metros por dia desde o início (R36) e comparar com 80 m/dia toda sexta; chuva e interferência no diário</t>
        </is>
      </c>
      <c r="S103" s="298" t="inlineStr">
        <is>
          <t>2 dias seguidos abaixo de 80 m/dia</t>
        </is>
      </c>
      <c r="T103" s="218" t="n"/>
      <c r="U103" s="220" t="n"/>
      <c r="V103" s="235" t="n"/>
      <c r="W103" s="221">
        <f>IF(AND(ISNUMBER($Q103),$H103&lt;&gt;"RESOLVIDA"),COUNTIFS($Q$5:$Q$204,"&gt;"&amp;$Q103,$H$5:$H$204,"&lt;&gt;RESOLVIDA")+COUNTIFS($Q$5:$Q103,$Q103,$H$5:$H103,"&lt;&gt;RESOLVIDA"),"")</f>
        <v>3</v>
      </c>
    </row>
    <row r="104" s="71">
      <c r="A104" s="218" t="inlineStr">
        <is>
          <t>R100</t>
        </is>
      </c>
      <c r="B104" s="218" t="inlineStr">
        <is>
          <t>281</t>
        </is>
      </c>
      <c r="C104" s="218" t="inlineStr">
        <is>
          <t>281-7.1</t>
        </is>
      </c>
      <c r="D104" s="298" t="inlineStr">
        <is>
          <t>ETA da 281 não termina até 11/11/2027: do 7.1.4 ao 7.1.8 são 11 BMs e tudo depende do projeto aprovado e da OC (R44). Cada mês além de 11/11/2027 custa cerca de R$ 32.215 à TAF (piso)</t>
        </is>
      </c>
      <c r="E104" s="218" t="inlineStr">
        <is>
          <t>PROJETO</t>
        </is>
      </c>
      <c r="F104" s="220" t="n"/>
      <c r="G104" s="218" t="inlineStr">
        <is>
          <t>Thadeu</t>
        </is>
      </c>
      <c r="H104" s="218" t="inlineStr">
        <is>
          <t>MONITORAR</t>
        </is>
      </c>
      <c r="I104" s="220" t="n"/>
      <c r="J104" s="269" t="inlineStr">
        <is>
          <t>auditoria 15/10, item 4. P e I: proposta da auditoria para Ricarlos e Thadeu validarem</t>
        </is>
      </c>
      <c r="K104" s="221">
        <f>IF(OR($B104="",$H104="RESOLVIDA",$M104="RISCO",AND($F104="",$U104="")),"",IF($U104&lt;&gt;"",$U104,$F104)-DATA_GESTAO)</f>
      </c>
      <c r="L104" s="222" t="str">
        <f>IF($B104="","",IF($H104="RESOLVIDA","RESOLVIDA",IF($M104="RISCO","RISCO",IF($K104="","SEM PRAZO",IF($K104&lt;0,"VENCIDA",IF($G104="","SEM DONO",IF($K104&lt;=7,"ESTA SEMANA",IF($K104&lt;=42,"PRÓXIMAS 6 SEMANAS","NO PRAZO"))))))))</f>
        <v>RISCO</v>
      </c>
      <c r="M104" s="218" t="inlineStr">
        <is>
          <t>RISCO</t>
        </is>
      </c>
      <c r="N104" s="330" t="n">
        <v>3</v>
      </c>
      <c r="O104" s="321" t="n">
        <v>32215</v>
      </c>
      <c r="P104" s="330" t="n">
        <v>30</v>
      </c>
      <c r="Q104" s="267">
        <f>IF($B104="","",IF(AND($N104="",$O104=""),IF($M104="RISCO","SEM BASE",""),IF(AND(ISNUMBER($N104),ISNUMBER($O104)),ROUND($N104*$O104/5,0),"SEM BASE")))</f>
        <v>19329</v>
      </c>
      <c r="R104" s="298" t="inlineStr">
        <is>
          <t>Projeto aprovado e OC até 20/12/2026 (R44); ofício sobre a operação assistida nos 660 dias (R87)</t>
        </is>
      </c>
      <c r="S104" s="298" t="inlineStr">
        <is>
          <t>R44 sem projeto aprovado e OC em 20/12/2026</t>
        </is>
      </c>
      <c r="T104" s="218" t="n"/>
      <c r="U104" s="220" t="n"/>
      <c r="V104" s="235" t="n"/>
      <c r="W104" s="221">
        <f>IF(AND(ISNUMBER($Q104),$H104&lt;&gt;"RESOLVIDA"),COUNTIFS($Q$5:$Q$204,"&gt;"&amp;$Q104,$H$5:$H$204,"&lt;&gt;RESOLVIDA")+COUNTIFS($Q$5:$Q104,$Q104,$H$5:$H104,"&lt;&gt;RESOLVIDA"),"")</f>
        <v>6</v>
      </c>
    </row>
    <row r="105">
      <c r="A105" s="218" t="inlineStr">
        <is>
          <t>R101</t>
        </is>
      </c>
      <c r="B105" s="218" t="inlineStr">
        <is>
          <t>343</t>
        </is>
      </c>
      <c r="C105" s="218" t="inlineStr">
        <is>
          <t>ADM</t>
        </is>
      </c>
      <c r="D105" s="298" t="inlineStr">
        <is>
          <t>Plano mensal do motor da 343 completo: hoje ele não tem a mobilização, topografia e ART da frente F01 (R$ 69.473,68, aba 08 G20) nem a contingência (R$ 31.372,67, aba 09 C8), e o PEAD tem R$ 4.428,05 a mais que o orçamento. Resultado: o caixa da 343 (FLUXO e 04 linhas 20 a 24) tem R$ 96.418 a menos de saída que o custo do motor (04 D30). Incluir no plano do motor e copiar para a 04 linhas 18 e 20 a 23 (o FLUXO segue a 04)</t>
        </is>
      </c>
      <c r="E105" s="218" t="inlineStr">
        <is>
          <t>INTERNA</t>
        </is>
      </c>
      <c r="F105" s="220" t="n">
        <v>46318</v>
      </c>
      <c r="G105" s="218" t="inlineStr">
        <is>
          <t>Mauro Lúcio</t>
        </is>
      </c>
      <c r="H105" s="218" t="inlineStr">
        <is>
          <t>ABERTA</t>
        </is>
      </c>
      <c r="I105" s="220" t="n"/>
      <c r="J105" s="269" t="inlineStr">
        <is>
          <t>auditoria 15/10, 343V-6; conferido no motor em 15/10 (MOTOR TAF\ESTUDOS\TAF 343 CAESB SOBRADINHO - PLANEJAMENTO.xlsx: aba 09 C9 = 3.702.036,00; abas 13 AE11 e 19 G23 = 3.605.617,71); 13. CHECKS E16</t>
        </is>
      </c>
      <c r="K105" s="221">
        <f>IF(OR($B105="",$H105="RESOLVIDA",$M105="RISCO",AND($F105="",$U105="")),"",IF($U105&lt;&gt;"",$U105,$F105)-DATA_GESTAO)</f>
        <v>7</v>
      </c>
      <c r="L105" s="222" t="str">
        <f>IF($B105="","",IF($H105="RESOLVIDA","RESOLVIDA",IF($M105="RISCO","RISCO",IF($K105="","SEM PRAZO",IF($K105&lt;0,"VENCIDA",IF($G105="","SEM DONO",IF($K105&lt;=7,"ESTA SEMANA",IF($K105&lt;=42,"PRÓXIMAS 6 SEMANAS","NO PRAZO"))))))))</f>
        <v>ESTA SEMANA</v>
      </c>
      <c r="M105" s="218" t="inlineStr">
        <is>
          <t>RESTRIÇÃO</t>
        </is>
      </c>
      <c r="N105" s="330" t="n"/>
      <c r="O105" s="321" t="n"/>
      <c r="P105" s="330" t="n"/>
      <c r="Q105" s="267">
        <f>IF($B105="","",IF(AND($N105="",$O105=""),IF($M105="RISCO","SEM BASE",""),IF(AND(ISNUMBER($N105),ISNUMBER($O105)),ROUND($N105*$O105/5,0),"SEM BASE")))</f>
      </c>
      <c r="R105" s="298" t="inlineStr">
        <is>
          <t>O custo total do motor (04 D30) é o completo e vale para a margem (01A P5). O caixa fica R$ 96.418 otimista até o plano mensal ser corrigido</t>
        </is>
      </c>
      <c r="S105" s="298" t="n"/>
      <c r="T105" s="218" t="n"/>
      <c r="U105" s="220" t="n"/>
      <c r="V105" s="235" t="n"/>
      <c r="W105" s="221">
        <f>IF(AND(ISNUMBER($Q105),$H105&lt;&gt;"RESOLVIDA"),COUNTIFS($Q$5:$Q$204,"&gt;"&amp;$Q105,$H$5:$H$204,"&lt;&gt;RESOLVIDA")+COUNTIFS($Q$5:$Q105,$Q105,$H$5:$H105,"&lt;&gt;RESOLVIDA"),"")</f>
      </c>
    </row>
    <row r="106">
      <c r="A106" s="218" t="inlineStr">
        <is>
          <t>R102</t>
        </is>
      </c>
      <c r="B106" s="218" t="inlineStr">
        <is>
          <t>281</t>
        </is>
      </c>
      <c r="C106" s="218" t="inlineStr">
        <is>
          <t>ADM</t>
        </is>
      </c>
      <c r="D106" s="298" t="inlineStr">
        <is>
          <t>Novas datas para os marcos da 281 (MIT 180 vencido com 88,3%; MIT 450 atrasado no plano) e a multa prevista para marco perdido, lida no contrato 30000415/2025 e no art. 182 do RG00.0048</t>
        </is>
      </c>
      <c r="E106" s="218" t="inlineStr">
        <is>
          <t>CLIENTE</t>
        </is>
      </c>
      <c r="F106" s="220" t="n">
        <v>46318</v>
      </c>
      <c r="G106" s="218" t="inlineStr">
        <is>
          <t>Ricarlos</t>
        </is>
      </c>
      <c r="H106" s="218" t="inlineStr">
        <is>
          <t>ABERTA</t>
        </is>
      </c>
      <c r="I106" s="220" t="n"/>
      <c r="J106" s="269" t="inlineStr">
        <is>
          <t>LINHA DE BASE TAF A32:M41 (marcos da 281); auditoria 15/10, item 4</t>
        </is>
      </c>
      <c r="K106" s="221">
        <f>IF(OR($B106="",$H106="RESOLVIDA",$M106="RISCO",AND($F106="",$U106="")),"",IF($U106&lt;&gt;"",$U106,$F106)-DATA_GESTAO)</f>
        <v>7</v>
      </c>
      <c r="L106" s="222" t="str">
        <f>IF($B106="","",IF($H106="RESOLVIDA","RESOLVIDA",IF($M106="RISCO","RISCO",IF($K106="","SEM PRAZO",IF($K106&lt;0,"VENCIDA",IF($G106="","SEM DONO",IF($K106&lt;=7,"ESTA SEMANA",IF($K106&lt;=42,"PRÓXIMAS 6 SEMANAS","NO PRAZO"))))))))</f>
        <v>ESTA SEMANA</v>
      </c>
      <c r="M106" s="218" t="inlineStr">
        <is>
          <t>RESTRIÇÃO</t>
        </is>
      </c>
      <c r="N106" s="330" t="n"/>
      <c r="O106" s="321" t="n"/>
      <c r="P106" s="330" t="n"/>
      <c r="Q106" s="267">
        <f>IF($B106="","",IF(AND($N106="",$O106=""),IF($M106="RISCO","SEM BASE",""),IF(AND(ISNUMBER($N106),ISNUMBER($O106)),ROUND($N106*$O106/5,0),"SEM BASE")))</f>
      </c>
      <c r="R106" s="298" t="inlineStr">
        <is>
          <t>Sem data nova, cada marco vencido fica exposto à multa do contrato</t>
        </is>
      </c>
      <c r="S106" s="298" t="n"/>
      <c r="T106" s="218" t="n"/>
      <c r="U106" s="220" t="n"/>
      <c r="V106" s="235" t="n"/>
      <c r="W106" s="221">
        <f>IF(AND(ISNUMBER($Q106),$H106&lt;&gt;"RESOLVIDA"),COUNTIFS($Q$5:$Q$204,"&gt;"&amp;$Q106,$H$5:$H$204,"&lt;&gt;RESOLVIDA")+COUNTIFS($Q$5:$Q106,$Q106,$H$5:$H106,"&lt;&gt;RESOLVIDA"),"")</f>
      </c>
    </row>
    <row r="107">
      <c r="A107" s="218" t="n"/>
      <c r="B107" s="218" t="n"/>
      <c r="C107" s="218" t="n"/>
      <c r="D107" s="298" t="n"/>
      <c r="E107" s="218" t="n"/>
      <c r="F107" s="220" t="n"/>
      <c r="G107" s="218" t="n"/>
      <c r="H107" s="218" t="n"/>
      <c r="I107" s="220" t="n"/>
      <c r="J107" s="269" t="n"/>
      <c r="K107" s="221">
        <f>IF(OR($B107="",$H107="RESOLVIDA",$M107="RISCO",AND($F107="",$U107="")),"",IF($U107&lt;&gt;"",$U107,$F107)-DATA_GESTAO)</f>
      </c>
      <c r="L107" s="222">
        <f>IF($B107="","",IF($H107="RESOLVIDA","RESOLVIDA",IF($M107="RISCO","RISCO",IF($K107="","SEM PRAZO",IF($K107&lt;0,"VENCIDA",IF($G107="","SEM DONO",IF($K107&lt;=7,"ESTA SEMANA",IF($K107&lt;=42,"PRÓXIMAS 6 SEMANAS","NO PRAZO"))))))))</f>
      </c>
      <c r="M107" s="218" t="n"/>
      <c r="N107" s="330" t="n"/>
      <c r="O107" s="321" t="n"/>
      <c r="P107" s="330" t="n"/>
      <c r="Q107" s="267">
        <f>IF($B107="","",IF(AND($N107="",$O107=""),IF($M107="RISCO","SEM BASE",""),IF(AND(ISNUMBER($N107),ISNUMBER($O107)),ROUND($N107*$O107/5,0),"SEM BASE")))</f>
      </c>
      <c r="R107" s="298" t="n"/>
      <c r="S107" s="298" t="n"/>
      <c r="T107" s="218" t="n"/>
      <c r="U107" s="220" t="n"/>
      <c r="V107" s="235" t="n"/>
      <c r="W107" s="221">
        <f>IF(AND(ISNUMBER($Q107),$H107&lt;&gt;"RESOLVIDA"),COUNTIFS($Q$5:$Q$204,"&gt;"&amp;$Q107,$H$5:$H$204,"&lt;&gt;RESOLVIDA")+COUNTIFS($Q$5:$Q107,$Q107,$H$5:$H107,"&lt;&gt;RESOLVIDA"),"")</f>
      </c>
    </row>
    <row r="108">
      <c r="A108" s="218" t="n"/>
      <c r="B108" s="218" t="n"/>
      <c r="C108" s="218" t="n"/>
      <c r="D108" s="298" t="n"/>
      <c r="E108" s="218" t="n"/>
      <c r="F108" s="220" t="n"/>
      <c r="G108" s="218" t="n"/>
      <c r="H108" s="218" t="n"/>
      <c r="I108" s="220" t="n"/>
      <c r="J108" s="269" t="n"/>
      <c r="K108" s="221">
        <f>IF(OR($B108="",$H108="RESOLVIDA",$M108="RISCO",AND($F108="",$U108="")),"",IF($U108&lt;&gt;"",$U108,$F108)-DATA_GESTAO)</f>
      </c>
      <c r="L108" s="222">
        <f>IF($B108="","",IF($H108="RESOLVIDA","RESOLVIDA",IF($M108="RISCO","RISCO",IF($K108="","SEM PRAZO",IF($K108&lt;0,"VENCIDA",IF($G108="","SEM DONO",IF($K108&lt;=7,"ESTA SEMANA",IF($K108&lt;=42,"PRÓXIMAS 6 SEMANAS","NO PRAZO"))))))))</f>
      </c>
      <c r="M108" s="218" t="n"/>
      <c r="N108" s="330" t="n"/>
      <c r="O108" s="321" t="n"/>
      <c r="P108" s="330" t="n"/>
      <c r="Q108" s="267">
        <f>IF($B108="","",IF(AND($N108="",$O108=""),IF($M108="RISCO","SEM BASE",""),IF(AND(ISNUMBER($N108),ISNUMBER($O108)),ROUND($N108*$O108/5,0),"SEM BASE")))</f>
      </c>
      <c r="R108" s="298" t="n"/>
      <c r="S108" s="298" t="n"/>
      <c r="T108" s="218" t="n"/>
      <c r="U108" s="220" t="n"/>
      <c r="V108" s="235" t="n"/>
      <c r="W108" s="221">
        <f>IF(AND(ISNUMBER($Q108),$H108&lt;&gt;"RESOLVIDA"),COUNTIFS($Q$5:$Q$204,"&gt;"&amp;$Q108,$H$5:$H$204,"&lt;&gt;RESOLVIDA")+COUNTIFS($Q$5:$Q108,$Q108,$H$5:$H108,"&lt;&gt;RESOLVIDA"),"")</f>
      </c>
    </row>
    <row r="109">
      <c r="A109" s="218" t="n"/>
      <c r="B109" s="218" t="n"/>
      <c r="C109" s="218" t="n"/>
      <c r="D109" s="298" t="n"/>
      <c r="E109" s="218" t="n"/>
      <c r="F109" s="220" t="n"/>
      <c r="G109" s="218" t="n"/>
      <c r="H109" s="218" t="n"/>
      <c r="I109" s="220" t="n"/>
      <c r="J109" s="269" t="n"/>
      <c r="K109" s="221">
        <f>IF(OR($B109="",$H109="RESOLVIDA",$M109="RISCO",AND($F109="",$U109="")),"",IF($U109&lt;&gt;"",$U109,$F109)-DATA_GESTAO)</f>
      </c>
      <c r="L109" s="222">
        <f>IF($B109="","",IF($H109="RESOLVIDA","RESOLVIDA",IF($M109="RISCO","RISCO",IF($K109="","SEM PRAZO",IF($K109&lt;0,"VENCIDA",IF($G109="","SEM DONO",IF($K109&lt;=7,"ESTA SEMANA",IF($K109&lt;=42,"PRÓXIMAS 6 SEMANAS","NO PRAZO"))))))))</f>
      </c>
      <c r="M109" s="218" t="n"/>
      <c r="N109" s="330" t="n"/>
      <c r="O109" s="321" t="n"/>
      <c r="P109" s="330" t="n"/>
      <c r="Q109" s="267">
        <f>IF($B109="","",IF(AND($N109="",$O109=""),IF($M109="RISCO","SEM BASE",""),IF(AND(ISNUMBER($N109),ISNUMBER($O109)),ROUND($N109*$O109/5,0),"SEM BASE")))</f>
      </c>
      <c r="R109" s="298" t="n"/>
      <c r="S109" s="298" t="n"/>
      <c r="T109" s="218" t="n"/>
      <c r="U109" s="220" t="n"/>
      <c r="V109" s="235" t="n"/>
      <c r="W109" s="221">
        <f>IF(AND(ISNUMBER($Q109),$H109&lt;&gt;"RESOLVIDA"),COUNTIFS($Q$5:$Q$204,"&gt;"&amp;$Q109,$H$5:$H$204,"&lt;&gt;RESOLVIDA")+COUNTIFS($Q$5:$Q109,$Q109,$H$5:$H109,"&lt;&gt;RESOLVIDA"),"")</f>
      </c>
    </row>
    <row r="110">
      <c r="A110" s="218" t="n"/>
      <c r="B110" s="218" t="n"/>
      <c r="C110" s="218" t="n"/>
      <c r="D110" s="298" t="n"/>
      <c r="E110" s="218" t="n"/>
      <c r="F110" s="220" t="n"/>
      <c r="G110" s="218" t="n"/>
      <c r="H110" s="218" t="n"/>
      <c r="I110" s="220" t="n"/>
      <c r="J110" s="269" t="n"/>
      <c r="K110" s="221">
        <f>IF(OR($B110="",$H110="RESOLVIDA",$M110="RISCO",AND($F110="",$U110="")),"",IF($U110&lt;&gt;"",$U110,$F110)-DATA_GESTAO)</f>
      </c>
      <c r="L110" s="222">
        <f>IF($B110="","",IF($H110="RESOLVIDA","RESOLVIDA",IF($M110="RISCO","RISCO",IF($K110="","SEM PRAZO",IF($K110&lt;0,"VENCIDA",IF($G110="","SEM DONO",IF($K110&lt;=7,"ESTA SEMANA",IF($K110&lt;=42,"PRÓXIMAS 6 SEMANAS","NO PRAZO"))))))))</f>
      </c>
      <c r="M110" s="218" t="n"/>
      <c r="N110" s="330" t="n"/>
      <c r="O110" s="321" t="n"/>
      <c r="P110" s="330" t="n"/>
      <c r="Q110" s="267">
        <f>IF($B110="","",IF(AND($N110="",$O110=""),IF($M110="RISCO","SEM BASE",""),IF(AND(ISNUMBER($N110),ISNUMBER($O110)),ROUND($N110*$O110/5,0),"SEM BASE")))</f>
      </c>
      <c r="R110" s="298" t="n"/>
      <c r="S110" s="298" t="n"/>
      <c r="T110" s="218" t="n"/>
      <c r="U110" s="220" t="n"/>
      <c r="V110" s="235" t="n"/>
      <c r="W110" s="221">
        <f>IF(AND(ISNUMBER($Q110),$H110&lt;&gt;"RESOLVIDA"),COUNTIFS($Q$5:$Q$204,"&gt;"&amp;$Q110,$H$5:$H$204,"&lt;&gt;RESOLVIDA")+COUNTIFS($Q$5:$Q110,$Q110,$H$5:$H110,"&lt;&gt;RESOLVIDA"),"")</f>
      </c>
    </row>
    <row r="111">
      <c r="A111" s="218" t="n"/>
      <c r="B111" s="218" t="n"/>
      <c r="C111" s="218" t="n"/>
      <c r="D111" s="298" t="n"/>
      <c r="E111" s="218" t="n"/>
      <c r="F111" s="220" t="n"/>
      <c r="G111" s="218" t="n"/>
      <c r="H111" s="218" t="n"/>
      <c r="I111" s="220" t="n"/>
      <c r="J111" s="269" t="n"/>
      <c r="K111" s="221">
        <f>IF(OR($B111="",$H111="RESOLVIDA",$M111="RISCO",AND($F111="",$U111="")),"",IF($U111&lt;&gt;"",$U111,$F111)-DATA_GESTAO)</f>
      </c>
      <c r="L111" s="222">
        <f>IF($B111="","",IF($H111="RESOLVIDA","RESOLVIDA",IF($M111="RISCO","RISCO",IF($K111="","SEM PRAZO",IF($K111&lt;0,"VENCIDA",IF($G111="","SEM DONO",IF($K111&lt;=7,"ESTA SEMANA",IF($K111&lt;=42,"PRÓXIMAS 6 SEMANAS","NO PRAZO"))))))))</f>
      </c>
      <c r="M111" s="218" t="n"/>
      <c r="N111" s="330" t="n"/>
      <c r="O111" s="321" t="n"/>
      <c r="P111" s="330" t="n"/>
      <c r="Q111" s="267">
        <f>IF($B111="","",IF(AND($N111="",$O111=""),IF($M111="RISCO","SEM BASE",""),IF(AND(ISNUMBER($N111),ISNUMBER($O111)),ROUND($N111*$O111/5,0),"SEM BASE")))</f>
      </c>
      <c r="R111" s="298" t="n"/>
      <c r="S111" s="298" t="n"/>
      <c r="T111" s="218" t="n"/>
      <c r="U111" s="220" t="n"/>
      <c r="V111" s="235" t="n"/>
      <c r="W111" s="221">
        <f>IF(AND(ISNUMBER($Q111),$H111&lt;&gt;"RESOLVIDA"),COUNTIFS($Q$5:$Q$204,"&gt;"&amp;$Q111,$H$5:$H$204,"&lt;&gt;RESOLVIDA")+COUNTIFS($Q$5:$Q111,$Q111,$H$5:$H111,"&lt;&gt;RESOLVIDA"),"")</f>
      </c>
    </row>
    <row r="112">
      <c r="A112" s="218" t="n"/>
      <c r="B112" s="218" t="n"/>
      <c r="C112" s="218" t="n"/>
      <c r="D112" s="298" t="n"/>
      <c r="E112" s="218" t="n"/>
      <c r="F112" s="220" t="n"/>
      <c r="G112" s="218" t="n"/>
      <c r="H112" s="218" t="n"/>
      <c r="I112" s="220" t="n"/>
      <c r="J112" s="269" t="n"/>
      <c r="K112" s="221">
        <f>IF(OR($B112="",$H112="RESOLVIDA",$M112="RISCO",AND($F112="",$U112="")),"",IF($U112&lt;&gt;"",$U112,$F112)-DATA_GESTAO)</f>
      </c>
      <c r="L112" s="222">
        <f>IF($B112="","",IF($H112="RESOLVIDA","RESOLVIDA",IF($M112="RISCO","RISCO",IF($K112="","SEM PRAZO",IF($K112&lt;0,"VENCIDA",IF($G112="","SEM DONO",IF($K112&lt;=7,"ESTA SEMANA",IF($K112&lt;=42,"PRÓXIMAS 6 SEMANAS","NO PRAZO"))))))))</f>
      </c>
      <c r="M112" s="218" t="n"/>
      <c r="N112" s="330" t="n"/>
      <c r="O112" s="321" t="n"/>
      <c r="P112" s="330" t="n"/>
      <c r="Q112" s="267">
        <f>IF($B112="","",IF(AND($N112="",$O112=""),IF($M112="RISCO","SEM BASE",""),IF(AND(ISNUMBER($N112),ISNUMBER($O112)),ROUND($N112*$O112/5,0),"SEM BASE")))</f>
      </c>
      <c r="R112" s="298" t="n"/>
      <c r="S112" s="298" t="n"/>
      <c r="T112" s="218" t="n"/>
      <c r="U112" s="220" t="n"/>
      <c r="V112" s="235" t="n"/>
      <c r="W112" s="221">
        <f>IF(AND(ISNUMBER($Q112),$H112&lt;&gt;"RESOLVIDA"),COUNTIFS($Q$5:$Q$204,"&gt;"&amp;$Q112,$H$5:$H$204,"&lt;&gt;RESOLVIDA")+COUNTIFS($Q$5:$Q112,$Q112,$H$5:$H112,"&lt;&gt;RESOLVIDA"),"")</f>
      </c>
    </row>
    <row r="113">
      <c r="A113" s="218" t="n"/>
      <c r="B113" s="218" t="n"/>
      <c r="C113" s="218" t="n"/>
      <c r="D113" s="298" t="n"/>
      <c r="E113" s="218" t="n"/>
      <c r="F113" s="220" t="n"/>
      <c r="G113" s="218" t="n"/>
      <c r="H113" s="218" t="n"/>
      <c r="I113" s="220" t="n"/>
      <c r="J113" s="269" t="n"/>
      <c r="K113" s="221">
        <f>IF(OR($B113="",$H113="RESOLVIDA",$M113="RISCO",AND($F113="",$U113="")),"",IF($U113&lt;&gt;"",$U113,$F113)-DATA_GESTAO)</f>
      </c>
      <c r="L113" s="222">
        <f>IF($B113="","",IF($H113="RESOLVIDA","RESOLVIDA",IF($M113="RISCO","RISCO",IF($K113="","SEM PRAZO",IF($K113&lt;0,"VENCIDA",IF($G113="","SEM DONO",IF($K113&lt;=7,"ESTA SEMANA",IF($K113&lt;=42,"PRÓXIMAS 6 SEMANAS","NO PRAZO"))))))))</f>
      </c>
      <c r="M113" s="218" t="n"/>
      <c r="N113" s="330" t="n"/>
      <c r="O113" s="321" t="n"/>
      <c r="P113" s="330" t="n"/>
      <c r="Q113" s="267">
        <f>IF($B113="","",IF(AND($N113="",$O113=""),IF($M113="RISCO","SEM BASE",""),IF(AND(ISNUMBER($N113),ISNUMBER($O113)),ROUND($N113*$O113/5,0),"SEM BASE")))</f>
      </c>
      <c r="R113" s="298" t="n"/>
      <c r="S113" s="298" t="n"/>
      <c r="T113" s="218" t="n"/>
      <c r="U113" s="220" t="n"/>
      <c r="V113" s="235" t="n"/>
      <c r="W113" s="221">
        <f>IF(AND(ISNUMBER($Q113),$H113&lt;&gt;"RESOLVIDA"),COUNTIFS($Q$5:$Q$204,"&gt;"&amp;$Q113,$H$5:$H$204,"&lt;&gt;RESOLVIDA")+COUNTIFS($Q$5:$Q113,$Q113,$H$5:$H113,"&lt;&gt;RESOLVIDA"),"")</f>
      </c>
    </row>
    <row r="114">
      <c r="A114" s="218" t="n"/>
      <c r="B114" s="218" t="n"/>
      <c r="C114" s="218" t="n"/>
      <c r="D114" s="298" t="n"/>
      <c r="E114" s="218" t="n"/>
      <c r="F114" s="220" t="n"/>
      <c r="G114" s="218" t="n"/>
      <c r="H114" s="218" t="n"/>
      <c r="I114" s="220" t="n"/>
      <c r="J114" s="269" t="n"/>
      <c r="K114" s="221">
        <f>IF(OR($B114="",$H114="RESOLVIDA",$M114="RISCO",AND($F114="",$U114="")),"",IF($U114&lt;&gt;"",$U114,$F114)-DATA_GESTAO)</f>
      </c>
      <c r="L114" s="222">
        <f>IF($B114="","",IF($H114="RESOLVIDA","RESOLVIDA",IF($M114="RISCO","RISCO",IF($K114="","SEM PRAZO",IF($K114&lt;0,"VENCIDA",IF($G114="","SEM DONO",IF($K114&lt;=7,"ESTA SEMANA",IF($K114&lt;=42,"PRÓXIMAS 6 SEMANAS","NO PRAZO"))))))))</f>
      </c>
      <c r="M114" s="218" t="n"/>
      <c r="N114" s="330" t="n"/>
      <c r="O114" s="321" t="n"/>
      <c r="P114" s="330" t="n"/>
      <c r="Q114" s="267">
        <f>IF($B114="","",IF(AND($N114="",$O114=""),IF($M114="RISCO","SEM BASE",""),IF(AND(ISNUMBER($N114),ISNUMBER($O114)),ROUND($N114*$O114/5,0),"SEM BASE")))</f>
      </c>
      <c r="R114" s="298" t="n"/>
      <c r="S114" s="298" t="n"/>
      <c r="T114" s="218" t="n"/>
      <c r="U114" s="220" t="n"/>
      <c r="V114" s="235" t="n"/>
      <c r="W114" s="221">
        <f>IF(AND(ISNUMBER($Q114),$H114&lt;&gt;"RESOLVIDA"),COUNTIFS($Q$5:$Q$204,"&gt;"&amp;$Q114,$H$5:$H$204,"&lt;&gt;RESOLVIDA")+COUNTIFS($Q$5:$Q114,$Q114,$H$5:$H114,"&lt;&gt;RESOLVIDA"),"")</f>
      </c>
    </row>
    <row r="115">
      <c r="A115" s="218" t="n"/>
      <c r="B115" s="218" t="n"/>
      <c r="C115" s="218" t="n"/>
      <c r="D115" s="298" t="n"/>
      <c r="E115" s="218" t="n"/>
      <c r="F115" s="220" t="n"/>
      <c r="G115" s="218" t="n"/>
      <c r="H115" s="218" t="n"/>
      <c r="I115" s="220" t="n"/>
      <c r="J115" s="269" t="n"/>
      <c r="K115" s="221">
        <f>IF(OR($B115="",$H115="RESOLVIDA",$M115="RISCO",AND($F115="",$U115="")),"",IF($U115&lt;&gt;"",$U115,$F115)-DATA_GESTAO)</f>
      </c>
      <c r="L115" s="222">
        <f>IF($B115="","",IF($H115="RESOLVIDA","RESOLVIDA",IF($M115="RISCO","RISCO",IF($K115="","SEM PRAZO",IF($K115&lt;0,"VENCIDA",IF($G115="","SEM DONO",IF($K115&lt;=7,"ESTA SEMANA",IF($K115&lt;=42,"PRÓXIMAS 6 SEMANAS","NO PRAZO"))))))))</f>
      </c>
      <c r="M115" s="218" t="n"/>
      <c r="N115" s="330" t="n"/>
      <c r="O115" s="321" t="n"/>
      <c r="P115" s="330" t="n"/>
      <c r="Q115" s="267">
        <f>IF($B115="","",IF(AND($N115="",$O115=""),IF($M115="RISCO","SEM BASE",""),IF(AND(ISNUMBER($N115),ISNUMBER($O115)),ROUND($N115*$O115/5,0),"SEM BASE")))</f>
      </c>
      <c r="R115" s="298" t="n"/>
      <c r="S115" s="298" t="n"/>
      <c r="T115" s="218" t="n"/>
      <c r="U115" s="220" t="n"/>
      <c r="V115" s="235" t="n"/>
      <c r="W115" s="221">
        <f>IF(AND(ISNUMBER($Q115),$H115&lt;&gt;"RESOLVIDA"),COUNTIFS($Q$5:$Q$204,"&gt;"&amp;$Q115,$H$5:$H$204,"&lt;&gt;RESOLVIDA")+COUNTIFS($Q$5:$Q115,$Q115,$H$5:$H115,"&lt;&gt;RESOLVIDA"),"")</f>
      </c>
    </row>
    <row r="116">
      <c r="A116" s="218" t="n"/>
      <c r="B116" s="218" t="n"/>
      <c r="C116" s="218" t="n"/>
      <c r="D116" s="298" t="n"/>
      <c r="E116" s="218" t="n"/>
      <c r="F116" s="220" t="n"/>
      <c r="G116" s="218" t="n"/>
      <c r="H116" s="218" t="n"/>
      <c r="I116" s="220" t="n"/>
      <c r="J116" s="269" t="n"/>
      <c r="K116" s="221">
        <f>IF(OR($B116="",$H116="RESOLVIDA",$M116="RISCO",AND($F116="",$U116="")),"",IF($U116&lt;&gt;"",$U116,$F116)-DATA_GESTAO)</f>
      </c>
      <c r="L116" s="222">
        <f>IF($B116="","",IF($H116="RESOLVIDA","RESOLVIDA",IF($M116="RISCO","RISCO",IF($K116="","SEM PRAZO",IF($K116&lt;0,"VENCIDA",IF($G116="","SEM DONO",IF($K116&lt;=7,"ESTA SEMANA",IF($K116&lt;=42,"PRÓXIMAS 6 SEMANAS","NO PRAZO"))))))))</f>
      </c>
      <c r="M116" s="218" t="n"/>
      <c r="N116" s="330" t="n"/>
      <c r="O116" s="321" t="n"/>
      <c r="P116" s="330" t="n"/>
      <c r="Q116" s="267">
        <f>IF($B116="","",IF(AND($N116="",$O116=""),IF($M116="RISCO","SEM BASE",""),IF(AND(ISNUMBER($N116),ISNUMBER($O116)),ROUND($N116*$O116/5,0),"SEM BASE")))</f>
      </c>
      <c r="R116" s="298" t="n"/>
      <c r="S116" s="298" t="n"/>
      <c r="T116" s="218" t="n"/>
      <c r="U116" s="220" t="n"/>
      <c r="V116" s="235" t="n"/>
      <c r="W116" s="221">
        <f>IF(AND(ISNUMBER($Q116),$H116&lt;&gt;"RESOLVIDA"),COUNTIFS($Q$5:$Q$204,"&gt;"&amp;$Q116,$H$5:$H$204,"&lt;&gt;RESOLVIDA")+COUNTIFS($Q$5:$Q116,$Q116,$H$5:$H116,"&lt;&gt;RESOLVIDA"),"")</f>
      </c>
    </row>
    <row r="117">
      <c r="A117" s="218" t="n"/>
      <c r="B117" s="218" t="n"/>
      <c r="C117" s="218" t="n"/>
      <c r="D117" s="298" t="n"/>
      <c r="E117" s="218" t="n"/>
      <c r="F117" s="220" t="n"/>
      <c r="G117" s="218" t="n"/>
      <c r="H117" s="218" t="n"/>
      <c r="I117" s="220" t="n"/>
      <c r="J117" s="269" t="n"/>
      <c r="K117" s="221">
        <f>IF(OR($B117="",$H117="RESOLVIDA",$M117="RISCO",AND($F117="",$U117="")),"",IF($U117&lt;&gt;"",$U117,$F117)-DATA_GESTAO)</f>
      </c>
      <c r="L117" s="222">
        <f>IF($B117="","",IF($H117="RESOLVIDA","RESOLVIDA",IF($M117="RISCO","RISCO",IF($K117="","SEM PRAZO",IF($K117&lt;0,"VENCIDA",IF($G117="","SEM DONO",IF($K117&lt;=7,"ESTA SEMANA",IF($K117&lt;=42,"PRÓXIMAS 6 SEMANAS","NO PRAZO"))))))))</f>
      </c>
      <c r="M117" s="218" t="n"/>
      <c r="N117" s="330" t="n"/>
      <c r="O117" s="321" t="n"/>
      <c r="P117" s="330" t="n"/>
      <c r="Q117" s="267">
        <f>IF($B117="","",IF(AND($N117="",$O117=""),IF($M117="RISCO","SEM BASE",""),IF(AND(ISNUMBER($N117),ISNUMBER($O117)),ROUND($N117*$O117/5,0),"SEM BASE")))</f>
      </c>
      <c r="R117" s="298" t="n"/>
      <c r="S117" s="298" t="n"/>
      <c r="T117" s="218" t="n"/>
      <c r="U117" s="220" t="n"/>
      <c r="V117" s="235" t="n"/>
      <c r="W117" s="221">
        <f>IF(AND(ISNUMBER($Q117),$H117&lt;&gt;"RESOLVIDA"),COUNTIFS($Q$5:$Q$204,"&gt;"&amp;$Q117,$H$5:$H$204,"&lt;&gt;RESOLVIDA")+COUNTIFS($Q$5:$Q117,$Q117,$H$5:$H117,"&lt;&gt;RESOLVIDA"),"")</f>
      </c>
    </row>
    <row r="118">
      <c r="A118" s="218" t="n"/>
      <c r="B118" s="218" t="n"/>
      <c r="C118" s="218" t="n"/>
      <c r="D118" s="298" t="n"/>
      <c r="E118" s="218" t="n"/>
      <c r="F118" s="220" t="n"/>
      <c r="G118" s="218" t="n"/>
      <c r="H118" s="218" t="n"/>
      <c r="I118" s="220" t="n"/>
      <c r="J118" s="269" t="n"/>
      <c r="K118" s="221">
        <f>IF(OR($B118="",$H118="RESOLVIDA",$M118="RISCO",AND($F118="",$U118="")),"",IF($U118&lt;&gt;"",$U118,$F118)-DATA_GESTAO)</f>
      </c>
      <c r="L118" s="222">
        <f>IF($B118="","",IF($H118="RESOLVIDA","RESOLVIDA",IF($M118="RISCO","RISCO",IF($K118="","SEM PRAZO",IF($K118&lt;0,"VENCIDA",IF($G118="","SEM DONO",IF($K118&lt;=7,"ESTA SEMANA",IF($K118&lt;=42,"PRÓXIMAS 6 SEMANAS","NO PRAZO"))))))))</f>
      </c>
      <c r="M118" s="218" t="n"/>
      <c r="N118" s="330" t="n"/>
      <c r="O118" s="321" t="n"/>
      <c r="P118" s="330" t="n"/>
      <c r="Q118" s="267">
        <f>IF($B118="","",IF(AND($N118="",$O118=""),IF($M118="RISCO","SEM BASE",""),IF(AND(ISNUMBER($N118),ISNUMBER($O118)),ROUND($N118*$O118/5,0),"SEM BASE")))</f>
      </c>
      <c r="R118" s="298" t="n"/>
      <c r="S118" s="298" t="n"/>
      <c r="T118" s="218" t="n"/>
      <c r="U118" s="220" t="n"/>
      <c r="V118" s="235" t="n"/>
      <c r="W118" s="221">
        <f>IF(AND(ISNUMBER($Q118),$H118&lt;&gt;"RESOLVIDA"),COUNTIFS($Q$5:$Q$204,"&gt;"&amp;$Q118,$H$5:$H$204,"&lt;&gt;RESOLVIDA")+COUNTIFS($Q$5:$Q118,$Q118,$H$5:$H118,"&lt;&gt;RESOLVIDA"),"")</f>
      </c>
    </row>
    <row r="119">
      <c r="A119" s="218" t="n"/>
      <c r="B119" s="218" t="n"/>
      <c r="C119" s="218" t="n"/>
      <c r="D119" s="298" t="n"/>
      <c r="E119" s="218" t="n"/>
      <c r="F119" s="220" t="n"/>
      <c r="G119" s="218" t="n"/>
      <c r="H119" s="218" t="n"/>
      <c r="I119" s="220" t="n"/>
      <c r="J119" s="269" t="n"/>
      <c r="K119" s="221">
        <f>IF(OR($B119="",$H119="RESOLVIDA",$M119="RISCO",AND($F119="",$U119="")),"",IF($U119&lt;&gt;"",$U119,$F119)-DATA_GESTAO)</f>
      </c>
      <c r="L119" s="222">
        <f>IF($B119="","",IF($H119="RESOLVIDA","RESOLVIDA",IF($M119="RISCO","RISCO",IF($K119="","SEM PRAZO",IF($K119&lt;0,"VENCIDA",IF($G119="","SEM DONO",IF($K119&lt;=7,"ESTA SEMANA",IF($K119&lt;=42,"PRÓXIMAS 6 SEMANAS","NO PRAZO"))))))))</f>
      </c>
      <c r="M119" s="218" t="n"/>
      <c r="N119" s="330" t="n"/>
      <c r="O119" s="321" t="n"/>
      <c r="P119" s="330" t="n"/>
      <c r="Q119" s="267">
        <f>IF($B119="","",IF(AND($N119="",$O119=""),IF($M119="RISCO","SEM BASE",""),IF(AND(ISNUMBER($N119),ISNUMBER($O119)),ROUND($N119*$O119/5,0),"SEM BASE")))</f>
      </c>
      <c r="R119" s="298" t="n"/>
      <c r="S119" s="298" t="n"/>
      <c r="T119" s="218" t="n"/>
      <c r="U119" s="220" t="n"/>
      <c r="V119" s="235" t="n"/>
      <c r="W119" s="221">
        <f>IF(AND(ISNUMBER($Q119),$H119&lt;&gt;"RESOLVIDA"),COUNTIFS($Q$5:$Q$204,"&gt;"&amp;$Q119,$H$5:$H$204,"&lt;&gt;RESOLVIDA")+COUNTIFS($Q$5:$Q119,$Q119,$H$5:$H119,"&lt;&gt;RESOLVIDA"),"")</f>
      </c>
    </row>
    <row r="120">
      <c r="A120" s="218" t="n"/>
      <c r="B120" s="218" t="n"/>
      <c r="C120" s="218" t="n"/>
      <c r="D120" s="298" t="n"/>
      <c r="E120" s="218" t="n"/>
      <c r="F120" s="220" t="n"/>
      <c r="G120" s="218" t="n"/>
      <c r="H120" s="218" t="n"/>
      <c r="I120" s="220" t="n"/>
      <c r="J120" s="269" t="n"/>
      <c r="K120" s="221">
        <f>IF(OR($B120="",$H120="RESOLVIDA",$M120="RISCO",AND($F120="",$U120="")),"",IF($U120&lt;&gt;"",$U120,$F120)-DATA_GESTAO)</f>
      </c>
      <c r="L120" s="222">
        <f>IF($B120="","",IF($H120="RESOLVIDA","RESOLVIDA",IF($M120="RISCO","RISCO",IF($K120="","SEM PRAZO",IF($K120&lt;0,"VENCIDA",IF($G120="","SEM DONO",IF($K120&lt;=7,"ESTA SEMANA",IF($K120&lt;=42,"PRÓXIMAS 6 SEMANAS","NO PRAZO"))))))))</f>
      </c>
      <c r="M120" s="218" t="n"/>
      <c r="N120" s="330" t="n"/>
      <c r="O120" s="321" t="n"/>
      <c r="P120" s="330" t="n"/>
      <c r="Q120" s="267">
        <f>IF($B120="","",IF(AND($N120="",$O120=""),IF($M120="RISCO","SEM BASE",""),IF(AND(ISNUMBER($N120),ISNUMBER($O120)),ROUND($N120*$O120/5,0),"SEM BASE")))</f>
      </c>
      <c r="R120" s="298" t="n"/>
      <c r="S120" s="298" t="n"/>
      <c r="T120" s="218" t="n"/>
      <c r="U120" s="220" t="n"/>
      <c r="V120" s="235" t="n"/>
      <c r="W120" s="221">
        <f>IF(AND(ISNUMBER($Q120),$H120&lt;&gt;"RESOLVIDA"),COUNTIFS($Q$5:$Q$204,"&gt;"&amp;$Q120,$H$5:$H$204,"&lt;&gt;RESOLVIDA")+COUNTIFS($Q$5:$Q120,$Q120,$H$5:$H120,"&lt;&gt;RESOLVIDA"),"")</f>
      </c>
    </row>
    <row r="121">
      <c r="A121" s="218" t="n"/>
      <c r="B121" s="218" t="n"/>
      <c r="C121" s="218" t="n"/>
      <c r="D121" s="298" t="n"/>
      <c r="E121" s="218" t="n"/>
      <c r="F121" s="220" t="n"/>
      <c r="G121" s="218" t="n"/>
      <c r="H121" s="218" t="n"/>
      <c r="I121" s="220" t="n"/>
      <c r="J121" s="269" t="n"/>
      <c r="K121" s="221">
        <f>IF(OR($B121="",$H121="RESOLVIDA",$M121="RISCO",AND($F121="",$U121="")),"",IF($U121&lt;&gt;"",$U121,$F121)-DATA_GESTAO)</f>
      </c>
      <c r="L121" s="222">
        <f>IF($B121="","",IF($H121="RESOLVIDA","RESOLVIDA",IF($M121="RISCO","RISCO",IF($K121="","SEM PRAZO",IF($K121&lt;0,"VENCIDA",IF($G121="","SEM DONO",IF($K121&lt;=7,"ESTA SEMANA",IF($K121&lt;=42,"PRÓXIMAS 6 SEMANAS","NO PRAZO"))))))))</f>
      </c>
      <c r="M121" s="218" t="n"/>
      <c r="N121" s="330" t="n"/>
      <c r="O121" s="321" t="n"/>
      <c r="P121" s="330" t="n"/>
      <c r="Q121" s="267">
        <f>IF($B121="","",IF(AND($N121="",$O121=""),IF($M121="RISCO","SEM BASE",""),IF(AND(ISNUMBER($N121),ISNUMBER($O121)),ROUND($N121*$O121/5,0),"SEM BASE")))</f>
      </c>
      <c r="R121" s="298" t="n"/>
      <c r="S121" s="298" t="n"/>
      <c r="T121" s="218" t="n"/>
      <c r="U121" s="220" t="n"/>
      <c r="V121" s="235" t="n"/>
      <c r="W121" s="221">
        <f>IF(AND(ISNUMBER($Q121),$H121&lt;&gt;"RESOLVIDA"),COUNTIFS($Q$5:$Q$204,"&gt;"&amp;$Q121,$H$5:$H$204,"&lt;&gt;RESOLVIDA")+COUNTIFS($Q$5:$Q121,$Q121,$H$5:$H121,"&lt;&gt;RESOLVIDA"),"")</f>
      </c>
    </row>
    <row r="122">
      <c r="A122" s="218" t="n"/>
      <c r="B122" s="218" t="n"/>
      <c r="C122" s="218" t="n"/>
      <c r="D122" s="298" t="n"/>
      <c r="E122" s="218" t="n"/>
      <c r="F122" s="220" t="n"/>
      <c r="G122" s="218" t="n"/>
      <c r="H122" s="218" t="n"/>
      <c r="I122" s="220" t="n"/>
      <c r="J122" s="269" t="n"/>
      <c r="K122" s="221">
        <f>IF(OR($B122="",$H122="RESOLVIDA",$M122="RISCO",AND($F122="",$U122="")),"",IF($U122&lt;&gt;"",$U122,$F122)-DATA_GESTAO)</f>
      </c>
      <c r="L122" s="222">
        <f>IF($B122="","",IF($H122="RESOLVIDA","RESOLVIDA",IF($M122="RISCO","RISCO",IF($K122="","SEM PRAZO",IF($K122&lt;0,"VENCIDA",IF($G122="","SEM DONO",IF($K122&lt;=7,"ESTA SEMANA",IF($K122&lt;=42,"PRÓXIMAS 6 SEMANAS","NO PRAZO"))))))))</f>
      </c>
      <c r="M122" s="218" t="n"/>
      <c r="N122" s="330" t="n"/>
      <c r="O122" s="321" t="n"/>
      <c r="P122" s="330" t="n"/>
      <c r="Q122" s="267">
        <f>IF($B122="","",IF(AND($N122="",$O122=""),IF($M122="RISCO","SEM BASE",""),IF(AND(ISNUMBER($N122),ISNUMBER($O122)),ROUND($N122*$O122/5,0),"SEM BASE")))</f>
      </c>
      <c r="R122" s="298" t="n"/>
      <c r="S122" s="298" t="n"/>
      <c r="T122" s="218" t="n"/>
      <c r="U122" s="220" t="n"/>
      <c r="V122" s="235" t="n"/>
      <c r="W122" s="221">
        <f>IF(AND(ISNUMBER($Q122),$H122&lt;&gt;"RESOLVIDA"),COUNTIFS($Q$5:$Q$204,"&gt;"&amp;$Q122,$H$5:$H$204,"&lt;&gt;RESOLVIDA")+COUNTIFS($Q$5:$Q122,$Q122,$H$5:$H122,"&lt;&gt;RESOLVIDA"),"")</f>
      </c>
    </row>
    <row r="123">
      <c r="A123" s="218" t="n"/>
      <c r="B123" s="218" t="n"/>
      <c r="C123" s="218" t="n"/>
      <c r="D123" s="298" t="n"/>
      <c r="E123" s="218" t="n"/>
      <c r="F123" s="220" t="n"/>
      <c r="G123" s="218" t="n"/>
      <c r="H123" s="218" t="n"/>
      <c r="I123" s="220" t="n"/>
      <c r="J123" s="269" t="n"/>
      <c r="K123" s="221">
        <f>IF(OR($B123="",$H123="RESOLVIDA",$M123="RISCO",AND($F123="",$U123="")),"",IF($U123&lt;&gt;"",$U123,$F123)-DATA_GESTAO)</f>
      </c>
      <c r="L123" s="222">
        <f>IF($B123="","",IF($H123="RESOLVIDA","RESOLVIDA",IF($M123="RISCO","RISCO",IF($K123="","SEM PRAZO",IF($K123&lt;0,"VENCIDA",IF($G123="","SEM DONO",IF($K123&lt;=7,"ESTA SEMANA",IF($K123&lt;=42,"PRÓXIMAS 6 SEMANAS","NO PRAZO"))))))))</f>
      </c>
      <c r="M123" s="218" t="n"/>
      <c r="N123" s="330" t="n"/>
      <c r="O123" s="321" t="n"/>
      <c r="P123" s="330" t="n"/>
      <c r="Q123" s="267">
        <f>IF($B123="","",IF(AND($N123="",$O123=""),IF($M123="RISCO","SEM BASE",""),IF(AND(ISNUMBER($N123),ISNUMBER($O123)),ROUND($N123*$O123/5,0),"SEM BASE")))</f>
      </c>
      <c r="R123" s="298" t="n"/>
      <c r="S123" s="298" t="n"/>
      <c r="T123" s="218" t="n"/>
      <c r="U123" s="220" t="n"/>
      <c r="V123" s="235" t="n"/>
      <c r="W123" s="221">
        <f>IF(AND(ISNUMBER($Q123),$H123&lt;&gt;"RESOLVIDA"),COUNTIFS($Q$5:$Q$204,"&gt;"&amp;$Q123,$H$5:$H$204,"&lt;&gt;RESOLVIDA")+COUNTIFS($Q$5:$Q123,$Q123,$H$5:$H123,"&lt;&gt;RESOLVIDA"),"")</f>
      </c>
    </row>
    <row r="124">
      <c r="A124" s="218" t="n"/>
      <c r="B124" s="218" t="n"/>
      <c r="C124" s="218" t="n"/>
      <c r="D124" s="298" t="n"/>
      <c r="E124" s="218" t="n"/>
      <c r="F124" s="220" t="n"/>
      <c r="G124" s="218" t="n"/>
      <c r="H124" s="218" t="n"/>
      <c r="I124" s="220" t="n"/>
      <c r="J124" s="269" t="n"/>
      <c r="K124" s="221">
        <f>IF(OR($B124="",$H124="RESOLVIDA",$M124="RISCO",AND($F124="",$U124="")),"",IF($U124&lt;&gt;"",$U124,$F124)-DATA_GESTAO)</f>
      </c>
      <c r="L124" s="222">
        <f>IF($B124="","",IF($H124="RESOLVIDA","RESOLVIDA",IF($M124="RISCO","RISCO",IF($K124="","SEM PRAZO",IF($K124&lt;0,"VENCIDA",IF($G124="","SEM DONO",IF($K124&lt;=7,"ESTA SEMANA",IF($K124&lt;=42,"PRÓXIMAS 6 SEMANAS","NO PRAZO"))))))))</f>
      </c>
      <c r="M124" s="218" t="n"/>
      <c r="N124" s="330" t="n"/>
      <c r="O124" s="321" t="n"/>
      <c r="P124" s="330" t="n"/>
      <c r="Q124" s="267">
        <f>IF($B124="","",IF(AND($N124="",$O124=""),IF($M124="RISCO","SEM BASE",""),IF(AND(ISNUMBER($N124),ISNUMBER($O124)),ROUND($N124*$O124/5,0),"SEM BASE")))</f>
      </c>
      <c r="R124" s="298" t="n"/>
      <c r="S124" s="298" t="n"/>
      <c r="T124" s="218" t="n"/>
      <c r="U124" s="220" t="n"/>
      <c r="V124" s="235" t="n"/>
      <c r="W124" s="221">
        <f>IF(AND(ISNUMBER($Q124),$H124&lt;&gt;"RESOLVIDA"),COUNTIFS($Q$5:$Q$204,"&gt;"&amp;$Q124,$H$5:$H$204,"&lt;&gt;RESOLVIDA")+COUNTIFS($Q$5:$Q124,$Q124,$H$5:$H124,"&lt;&gt;RESOLVIDA"),"")</f>
      </c>
    </row>
    <row r="125">
      <c r="A125" s="218" t="n"/>
      <c r="B125" s="218" t="n"/>
      <c r="C125" s="218" t="n"/>
      <c r="D125" s="298" t="n"/>
      <c r="E125" s="218" t="n"/>
      <c r="F125" s="220" t="n"/>
      <c r="G125" s="218" t="n"/>
      <c r="H125" s="218" t="n"/>
      <c r="I125" s="220" t="n"/>
      <c r="J125" s="269" t="n"/>
      <c r="K125" s="221">
        <f>IF(OR($B125="",$H125="RESOLVIDA",$M125="RISCO",AND($F125="",$U125="")),"",IF($U125&lt;&gt;"",$U125,$F125)-DATA_GESTAO)</f>
      </c>
      <c r="L125" s="222">
        <f>IF($B125="","",IF($H125="RESOLVIDA","RESOLVIDA",IF($M125="RISCO","RISCO",IF($K125="","SEM PRAZO",IF($K125&lt;0,"VENCIDA",IF($G125="","SEM DONO",IF($K125&lt;=7,"ESTA SEMANA",IF($K125&lt;=42,"PRÓXIMAS 6 SEMANAS","NO PRAZO"))))))))</f>
      </c>
      <c r="M125" s="218" t="n"/>
      <c r="N125" s="330" t="n"/>
      <c r="O125" s="321" t="n"/>
      <c r="P125" s="330" t="n"/>
      <c r="Q125" s="267">
        <f>IF($B125="","",IF(AND($N125="",$O125=""),IF($M125="RISCO","SEM BASE",""),IF(AND(ISNUMBER($N125),ISNUMBER($O125)),ROUND($N125*$O125/5,0),"SEM BASE")))</f>
      </c>
      <c r="R125" s="298" t="n"/>
      <c r="S125" s="298" t="n"/>
      <c r="T125" s="218" t="n"/>
      <c r="U125" s="220" t="n"/>
      <c r="V125" s="235" t="n"/>
      <c r="W125" s="221">
        <f>IF(AND(ISNUMBER($Q125),$H125&lt;&gt;"RESOLVIDA"),COUNTIFS($Q$5:$Q$204,"&gt;"&amp;$Q125,$H$5:$H$204,"&lt;&gt;RESOLVIDA")+COUNTIFS($Q$5:$Q125,$Q125,$H$5:$H125,"&lt;&gt;RESOLVIDA"),"")</f>
      </c>
    </row>
    <row r="126">
      <c r="A126" s="218" t="n"/>
      <c r="B126" s="218" t="n"/>
      <c r="C126" s="218" t="n"/>
      <c r="D126" s="298" t="n"/>
      <c r="E126" s="218" t="n"/>
      <c r="F126" s="220" t="n"/>
      <c r="G126" s="218" t="n"/>
      <c r="H126" s="218" t="n"/>
      <c r="I126" s="220" t="n"/>
      <c r="J126" s="269" t="n"/>
      <c r="K126" s="221">
        <f>IF(OR($B126="",$H126="RESOLVIDA",$M126="RISCO",AND($F126="",$U126="")),"",IF($U126&lt;&gt;"",$U126,$F126)-DATA_GESTAO)</f>
      </c>
      <c r="L126" s="222">
        <f>IF($B126="","",IF($H126="RESOLVIDA","RESOLVIDA",IF($M126="RISCO","RISCO",IF($K126="","SEM PRAZO",IF($K126&lt;0,"VENCIDA",IF($G126="","SEM DONO",IF($K126&lt;=7,"ESTA SEMANA",IF($K126&lt;=42,"PRÓXIMAS 6 SEMANAS","NO PRAZO"))))))))</f>
      </c>
      <c r="M126" s="218" t="n"/>
      <c r="N126" s="330" t="n"/>
      <c r="O126" s="321" t="n"/>
      <c r="P126" s="330" t="n"/>
      <c r="Q126" s="267">
        <f>IF($B126="","",IF(AND($N126="",$O126=""),IF($M126="RISCO","SEM BASE",""),IF(AND(ISNUMBER($N126),ISNUMBER($O126)),ROUND($N126*$O126/5,0),"SEM BASE")))</f>
      </c>
      <c r="R126" s="298" t="n"/>
      <c r="S126" s="298" t="n"/>
      <c r="T126" s="218" t="n"/>
      <c r="U126" s="220" t="n"/>
      <c r="V126" s="235" t="n"/>
      <c r="W126" s="221">
        <f>IF(AND(ISNUMBER($Q126),$H126&lt;&gt;"RESOLVIDA"),COUNTIFS($Q$5:$Q$204,"&gt;"&amp;$Q126,$H$5:$H$204,"&lt;&gt;RESOLVIDA")+COUNTIFS($Q$5:$Q126,$Q126,$H$5:$H126,"&lt;&gt;RESOLVIDA"),"")</f>
      </c>
    </row>
    <row r="127">
      <c r="A127" s="218" t="n"/>
      <c r="B127" s="218" t="n"/>
      <c r="C127" s="218" t="n"/>
      <c r="D127" s="298" t="n"/>
      <c r="E127" s="218" t="n"/>
      <c r="F127" s="220" t="n"/>
      <c r="G127" s="218" t="n"/>
      <c r="H127" s="218" t="n"/>
      <c r="I127" s="220" t="n"/>
      <c r="J127" s="269" t="n"/>
      <c r="K127" s="221">
        <f>IF(OR($B127="",$H127="RESOLVIDA",$M127="RISCO",AND($F127="",$U127="")),"",IF($U127&lt;&gt;"",$U127,$F127)-DATA_GESTAO)</f>
      </c>
      <c r="L127" s="222">
        <f>IF($B127="","",IF($H127="RESOLVIDA","RESOLVIDA",IF($M127="RISCO","RISCO",IF($K127="","SEM PRAZO",IF($K127&lt;0,"VENCIDA",IF($G127="","SEM DONO",IF($K127&lt;=7,"ESTA SEMANA",IF($K127&lt;=42,"PRÓXIMAS 6 SEMANAS","NO PRAZO"))))))))</f>
      </c>
      <c r="M127" s="218" t="n"/>
      <c r="N127" s="330" t="n"/>
      <c r="O127" s="321" t="n"/>
      <c r="P127" s="330" t="n"/>
      <c r="Q127" s="267">
        <f>IF($B127="","",IF(AND($N127="",$O127=""),IF($M127="RISCO","SEM BASE",""),IF(AND(ISNUMBER($N127),ISNUMBER($O127)),ROUND($N127*$O127/5,0),"SEM BASE")))</f>
      </c>
      <c r="R127" s="298" t="n"/>
      <c r="S127" s="298" t="n"/>
      <c r="T127" s="218" t="n"/>
      <c r="U127" s="220" t="n"/>
      <c r="V127" s="235" t="n"/>
      <c r="W127" s="221">
        <f>IF(AND(ISNUMBER($Q127),$H127&lt;&gt;"RESOLVIDA"),COUNTIFS($Q$5:$Q$204,"&gt;"&amp;$Q127,$H$5:$H$204,"&lt;&gt;RESOLVIDA")+COUNTIFS($Q$5:$Q127,$Q127,$H$5:$H127,"&lt;&gt;RESOLVIDA"),"")</f>
      </c>
    </row>
    <row r="128">
      <c r="A128" s="218" t="n"/>
      <c r="B128" s="218" t="n"/>
      <c r="C128" s="218" t="n"/>
      <c r="D128" s="298" t="n"/>
      <c r="E128" s="218" t="n"/>
      <c r="F128" s="220" t="n"/>
      <c r="G128" s="218" t="n"/>
      <c r="H128" s="218" t="n"/>
      <c r="I128" s="220" t="n"/>
      <c r="J128" s="269" t="n"/>
      <c r="K128" s="221">
        <f>IF(OR($B128="",$H128="RESOLVIDA",$M128="RISCO",AND($F128="",$U128="")),"",IF($U128&lt;&gt;"",$U128,$F128)-DATA_GESTAO)</f>
      </c>
      <c r="L128" s="222">
        <f>IF($B128="","",IF($H128="RESOLVIDA","RESOLVIDA",IF($M128="RISCO","RISCO",IF($K128="","SEM PRAZO",IF($K128&lt;0,"VENCIDA",IF($G128="","SEM DONO",IF($K128&lt;=7,"ESTA SEMANA",IF($K128&lt;=42,"PRÓXIMAS 6 SEMANAS","NO PRAZO"))))))))</f>
      </c>
      <c r="M128" s="218" t="n"/>
      <c r="N128" s="330" t="n"/>
      <c r="O128" s="321" t="n"/>
      <c r="P128" s="330" t="n"/>
      <c r="Q128" s="267">
        <f>IF($B128="","",IF(AND($N128="",$O128=""),IF($M128="RISCO","SEM BASE",""),IF(AND(ISNUMBER($N128),ISNUMBER($O128)),ROUND($N128*$O128/5,0),"SEM BASE")))</f>
      </c>
      <c r="R128" s="298" t="n"/>
      <c r="S128" s="298" t="n"/>
      <c r="T128" s="218" t="n"/>
      <c r="U128" s="220" t="n"/>
      <c r="V128" s="235" t="n"/>
      <c r="W128" s="221">
        <f>IF(AND(ISNUMBER($Q128),$H128&lt;&gt;"RESOLVIDA"),COUNTIFS($Q$5:$Q$204,"&gt;"&amp;$Q128,$H$5:$H$204,"&lt;&gt;RESOLVIDA")+COUNTIFS($Q$5:$Q128,$Q128,$H$5:$H128,"&lt;&gt;RESOLVIDA"),"")</f>
      </c>
    </row>
    <row r="129">
      <c r="A129" s="218" t="n"/>
      <c r="B129" s="218" t="n"/>
      <c r="C129" s="218" t="n"/>
      <c r="D129" s="298" t="n"/>
      <c r="E129" s="218" t="n"/>
      <c r="F129" s="220" t="n"/>
      <c r="G129" s="218" t="n"/>
      <c r="H129" s="218" t="n"/>
      <c r="I129" s="220" t="n"/>
      <c r="J129" s="269" t="n"/>
      <c r="K129" s="221">
        <f>IF(OR($B129="",$H129="RESOLVIDA",$M129="RISCO",AND($F129="",$U129="")),"",IF($U129&lt;&gt;"",$U129,$F129)-DATA_GESTAO)</f>
      </c>
      <c r="L129" s="222">
        <f>IF($B129="","",IF($H129="RESOLVIDA","RESOLVIDA",IF($M129="RISCO","RISCO",IF($K129="","SEM PRAZO",IF($K129&lt;0,"VENCIDA",IF($G129="","SEM DONO",IF($K129&lt;=7,"ESTA SEMANA",IF($K129&lt;=42,"PRÓXIMAS 6 SEMANAS","NO PRAZO"))))))))</f>
      </c>
      <c r="M129" s="218" t="n"/>
      <c r="N129" s="330" t="n"/>
      <c r="O129" s="321" t="n"/>
      <c r="P129" s="330" t="n"/>
      <c r="Q129" s="267">
        <f>IF($B129="","",IF(AND($N129="",$O129=""),IF($M129="RISCO","SEM BASE",""),IF(AND(ISNUMBER($N129),ISNUMBER($O129)),ROUND($N129*$O129/5,0),"SEM BASE")))</f>
      </c>
      <c r="R129" s="298" t="n"/>
      <c r="S129" s="298" t="n"/>
      <c r="T129" s="218" t="n"/>
      <c r="U129" s="220" t="n"/>
      <c r="V129" s="235" t="n"/>
      <c r="W129" s="221">
        <f>IF(AND(ISNUMBER($Q129),$H129&lt;&gt;"RESOLVIDA"),COUNTIFS($Q$5:$Q$204,"&gt;"&amp;$Q129,$H$5:$H$204,"&lt;&gt;RESOLVIDA")+COUNTIFS($Q$5:$Q129,$Q129,$H$5:$H129,"&lt;&gt;RESOLVIDA"),"")</f>
      </c>
    </row>
    <row r="130">
      <c r="A130" s="218" t="n"/>
      <c r="B130" s="218" t="n"/>
      <c r="C130" s="218" t="n"/>
      <c r="D130" s="298" t="n"/>
      <c r="E130" s="218" t="n"/>
      <c r="F130" s="220" t="n"/>
      <c r="G130" s="218" t="n"/>
      <c r="H130" s="218" t="n"/>
      <c r="I130" s="220" t="n"/>
      <c r="J130" s="269" t="n"/>
      <c r="K130" s="221">
        <f>IF(OR($B130="",$H130="RESOLVIDA",$M130="RISCO",AND($F130="",$U130="")),"",IF($U130&lt;&gt;"",$U130,$F130)-DATA_GESTAO)</f>
      </c>
      <c r="L130" s="222">
        <f>IF($B130="","",IF($H130="RESOLVIDA","RESOLVIDA",IF($M130="RISCO","RISCO",IF($K130="","SEM PRAZO",IF($K130&lt;0,"VENCIDA",IF($G130="","SEM DONO",IF($K130&lt;=7,"ESTA SEMANA",IF($K130&lt;=42,"PRÓXIMAS 6 SEMANAS","NO PRAZO"))))))))</f>
      </c>
      <c r="M130" s="218" t="n"/>
      <c r="N130" s="330" t="n"/>
      <c r="O130" s="321" t="n"/>
      <c r="P130" s="330" t="n"/>
      <c r="Q130" s="267">
        <f>IF($B130="","",IF(AND($N130="",$O130=""),IF($M130="RISCO","SEM BASE",""),IF(AND(ISNUMBER($N130),ISNUMBER($O130)),ROUND($N130*$O130/5,0),"SEM BASE")))</f>
      </c>
      <c r="R130" s="298" t="n"/>
      <c r="S130" s="298" t="n"/>
      <c r="T130" s="218" t="n"/>
      <c r="U130" s="220" t="n"/>
      <c r="V130" s="235" t="n"/>
      <c r="W130" s="221">
        <f>IF(AND(ISNUMBER($Q130),$H130&lt;&gt;"RESOLVIDA"),COUNTIFS($Q$5:$Q$204,"&gt;"&amp;$Q130,$H$5:$H$204,"&lt;&gt;RESOLVIDA")+COUNTIFS($Q$5:$Q130,$Q130,$H$5:$H130,"&lt;&gt;RESOLVIDA"),"")</f>
      </c>
    </row>
    <row r="131">
      <c r="A131" s="218" t="n"/>
      <c r="B131" s="218" t="n"/>
      <c r="C131" s="218" t="n"/>
      <c r="D131" s="298" t="n"/>
      <c r="E131" s="218" t="n"/>
      <c r="F131" s="220" t="n"/>
      <c r="G131" s="218" t="n"/>
      <c r="H131" s="218" t="n"/>
      <c r="I131" s="220" t="n"/>
      <c r="J131" s="269" t="n"/>
      <c r="K131" s="221">
        <f>IF(OR($B131="",$H131="RESOLVIDA",$M131="RISCO",AND($F131="",$U131="")),"",IF($U131&lt;&gt;"",$U131,$F131)-DATA_GESTAO)</f>
      </c>
      <c r="L131" s="222">
        <f>IF($B131="","",IF($H131="RESOLVIDA","RESOLVIDA",IF($M131="RISCO","RISCO",IF($K131="","SEM PRAZO",IF($K131&lt;0,"VENCIDA",IF($G131="","SEM DONO",IF($K131&lt;=7,"ESTA SEMANA",IF($K131&lt;=42,"PRÓXIMAS 6 SEMANAS","NO PRAZO"))))))))</f>
      </c>
      <c r="M131" s="218" t="n"/>
      <c r="N131" s="330" t="n"/>
      <c r="O131" s="321" t="n"/>
      <c r="P131" s="330" t="n"/>
      <c r="Q131" s="267">
        <f>IF($B131="","",IF(AND($N131="",$O131=""),IF($M131="RISCO","SEM BASE",""),IF(AND(ISNUMBER($N131),ISNUMBER($O131)),ROUND($N131*$O131/5,0),"SEM BASE")))</f>
      </c>
      <c r="R131" s="298" t="n"/>
      <c r="S131" s="298" t="n"/>
      <c r="T131" s="218" t="n"/>
      <c r="U131" s="220" t="n"/>
      <c r="V131" s="235" t="n"/>
      <c r="W131" s="221">
        <f>IF(AND(ISNUMBER($Q131),$H131&lt;&gt;"RESOLVIDA"),COUNTIFS($Q$5:$Q$204,"&gt;"&amp;$Q131,$H$5:$H$204,"&lt;&gt;RESOLVIDA")+COUNTIFS($Q$5:$Q131,$Q131,$H$5:$H131,"&lt;&gt;RESOLVIDA"),"")</f>
      </c>
    </row>
    <row r="132">
      <c r="A132" s="218" t="n"/>
      <c r="B132" s="218" t="n"/>
      <c r="C132" s="218" t="n"/>
      <c r="D132" s="298" t="n"/>
      <c r="E132" s="218" t="n"/>
      <c r="F132" s="220" t="n"/>
      <c r="G132" s="218" t="n"/>
      <c r="H132" s="218" t="n"/>
      <c r="I132" s="220" t="n"/>
      <c r="J132" s="269" t="n"/>
      <c r="K132" s="221">
        <f>IF(OR($B132="",$H132="RESOLVIDA",$M132="RISCO",AND($F132="",$U132="")),"",IF($U132&lt;&gt;"",$U132,$F132)-DATA_GESTAO)</f>
      </c>
      <c r="L132" s="222">
        <f>IF($B132="","",IF($H132="RESOLVIDA","RESOLVIDA",IF($M132="RISCO","RISCO",IF($K132="","SEM PRAZO",IF($K132&lt;0,"VENCIDA",IF($G132="","SEM DONO",IF($K132&lt;=7,"ESTA SEMANA",IF($K132&lt;=42,"PRÓXIMAS 6 SEMANAS","NO PRAZO"))))))))</f>
      </c>
      <c r="M132" s="218" t="n"/>
      <c r="N132" s="330" t="n"/>
      <c r="O132" s="321" t="n"/>
      <c r="P132" s="330" t="n"/>
      <c r="Q132" s="267">
        <f>IF($B132="","",IF(AND($N132="",$O132=""),IF($M132="RISCO","SEM BASE",""),IF(AND(ISNUMBER($N132),ISNUMBER($O132)),ROUND($N132*$O132/5,0),"SEM BASE")))</f>
      </c>
      <c r="R132" s="298" t="n"/>
      <c r="S132" s="298" t="n"/>
      <c r="T132" s="218" t="n"/>
      <c r="U132" s="220" t="n"/>
      <c r="V132" s="235" t="n"/>
      <c r="W132" s="221">
        <f>IF(AND(ISNUMBER($Q132),$H132&lt;&gt;"RESOLVIDA"),COUNTIFS($Q$5:$Q$204,"&gt;"&amp;$Q132,$H$5:$H$204,"&lt;&gt;RESOLVIDA")+COUNTIFS($Q$5:$Q132,$Q132,$H$5:$H132,"&lt;&gt;RESOLVIDA"),"")</f>
      </c>
    </row>
    <row r="133">
      <c r="A133" s="218" t="n"/>
      <c r="B133" s="218" t="n"/>
      <c r="C133" s="218" t="n"/>
      <c r="D133" s="298" t="n"/>
      <c r="E133" s="218" t="n"/>
      <c r="F133" s="220" t="n"/>
      <c r="G133" s="218" t="n"/>
      <c r="H133" s="218" t="n"/>
      <c r="I133" s="220" t="n"/>
      <c r="J133" s="269" t="n"/>
      <c r="K133" s="221">
        <f>IF(OR($B133="",$H133="RESOLVIDA",$M133="RISCO",AND($F133="",$U133="")),"",IF($U133&lt;&gt;"",$U133,$F133)-DATA_GESTAO)</f>
      </c>
      <c r="L133" s="222">
        <f>IF($B133="","",IF($H133="RESOLVIDA","RESOLVIDA",IF($M133="RISCO","RISCO",IF($K133="","SEM PRAZO",IF($K133&lt;0,"VENCIDA",IF($G133="","SEM DONO",IF($K133&lt;=7,"ESTA SEMANA",IF($K133&lt;=42,"PRÓXIMAS 6 SEMANAS","NO PRAZO"))))))))</f>
      </c>
      <c r="M133" s="218" t="n"/>
      <c r="N133" s="330" t="n"/>
      <c r="O133" s="321" t="n"/>
      <c r="P133" s="330" t="n"/>
      <c r="Q133" s="267">
        <f>IF($B133="","",IF(AND($N133="",$O133=""),IF($M133="RISCO","SEM BASE",""),IF(AND(ISNUMBER($N133),ISNUMBER($O133)),ROUND($N133*$O133/5,0),"SEM BASE")))</f>
      </c>
      <c r="R133" s="298" t="n"/>
      <c r="S133" s="298" t="n"/>
      <c r="T133" s="218" t="n"/>
      <c r="U133" s="220" t="n"/>
      <c r="V133" s="235" t="n"/>
      <c r="W133" s="221">
        <f>IF(AND(ISNUMBER($Q133),$H133&lt;&gt;"RESOLVIDA"),COUNTIFS($Q$5:$Q$204,"&gt;"&amp;$Q133,$H$5:$H$204,"&lt;&gt;RESOLVIDA")+COUNTIFS($Q$5:$Q133,$Q133,$H$5:$H133,"&lt;&gt;RESOLVIDA"),"")</f>
      </c>
    </row>
    <row r="134">
      <c r="A134" s="218" t="n"/>
      <c r="B134" s="218" t="n"/>
      <c r="C134" s="218" t="n"/>
      <c r="D134" s="298" t="n"/>
      <c r="E134" s="218" t="n"/>
      <c r="F134" s="220" t="n"/>
      <c r="G134" s="218" t="n"/>
      <c r="H134" s="218" t="n"/>
      <c r="I134" s="220" t="n"/>
      <c r="J134" s="269" t="n"/>
      <c r="K134" s="221">
        <f>IF(OR($B134="",$H134="RESOLVIDA",$M134="RISCO",AND($F134="",$U134="")),"",IF($U134&lt;&gt;"",$U134,$F134)-DATA_GESTAO)</f>
      </c>
      <c r="L134" s="222">
        <f>IF($B134="","",IF($H134="RESOLVIDA","RESOLVIDA",IF($M134="RISCO","RISCO",IF($K134="","SEM PRAZO",IF($K134&lt;0,"VENCIDA",IF($G134="","SEM DONO",IF($K134&lt;=7,"ESTA SEMANA",IF($K134&lt;=42,"PRÓXIMAS 6 SEMANAS","NO PRAZO"))))))))</f>
      </c>
      <c r="M134" s="218" t="n"/>
      <c r="N134" s="330" t="n"/>
      <c r="O134" s="321" t="n"/>
      <c r="P134" s="330" t="n"/>
      <c r="Q134" s="267">
        <f>IF($B134="","",IF(AND($N134="",$O134=""),IF($M134="RISCO","SEM BASE",""),IF(AND(ISNUMBER($N134),ISNUMBER($O134)),ROUND($N134*$O134/5,0),"SEM BASE")))</f>
      </c>
      <c r="R134" s="298" t="n"/>
      <c r="S134" s="298" t="n"/>
      <c r="T134" s="218" t="n"/>
      <c r="U134" s="220" t="n"/>
      <c r="V134" s="235" t="n"/>
      <c r="W134" s="221">
        <f>IF(AND(ISNUMBER($Q134),$H134&lt;&gt;"RESOLVIDA"),COUNTIFS($Q$5:$Q$204,"&gt;"&amp;$Q134,$H$5:$H$204,"&lt;&gt;RESOLVIDA")+COUNTIFS($Q$5:$Q134,$Q134,$H$5:$H134,"&lt;&gt;RESOLVIDA"),"")</f>
      </c>
    </row>
    <row r="135">
      <c r="A135" s="218" t="n"/>
      <c r="B135" s="218" t="n"/>
      <c r="C135" s="218" t="n"/>
      <c r="D135" s="298" t="n"/>
      <c r="E135" s="218" t="n"/>
      <c r="F135" s="220" t="n"/>
      <c r="G135" s="218" t="n"/>
      <c r="H135" s="218" t="n"/>
      <c r="I135" s="220" t="n"/>
      <c r="J135" s="269" t="n"/>
      <c r="K135" s="221">
        <f>IF(OR($B135="",$H135="RESOLVIDA",$M135="RISCO",AND($F135="",$U135="")),"",IF($U135&lt;&gt;"",$U135,$F135)-DATA_GESTAO)</f>
      </c>
      <c r="L135" s="222">
        <f>IF($B135="","",IF($H135="RESOLVIDA","RESOLVIDA",IF($M135="RISCO","RISCO",IF($K135="","SEM PRAZO",IF($K135&lt;0,"VENCIDA",IF($G135="","SEM DONO",IF($K135&lt;=7,"ESTA SEMANA",IF($K135&lt;=42,"PRÓXIMAS 6 SEMANAS","NO PRAZO"))))))))</f>
      </c>
      <c r="M135" s="218" t="n"/>
      <c r="N135" s="330" t="n"/>
      <c r="O135" s="321" t="n"/>
      <c r="P135" s="330" t="n"/>
      <c r="Q135" s="267">
        <f>IF($B135="","",IF(AND($N135="",$O135=""),IF($M135="RISCO","SEM BASE",""),IF(AND(ISNUMBER($N135),ISNUMBER($O135)),ROUND($N135*$O135/5,0),"SEM BASE")))</f>
      </c>
      <c r="R135" s="298" t="n"/>
      <c r="S135" s="298" t="n"/>
      <c r="T135" s="218" t="n"/>
      <c r="U135" s="220" t="n"/>
      <c r="V135" s="235" t="n"/>
      <c r="W135" s="221">
        <f>IF(AND(ISNUMBER($Q135),$H135&lt;&gt;"RESOLVIDA"),COUNTIFS($Q$5:$Q$204,"&gt;"&amp;$Q135,$H$5:$H$204,"&lt;&gt;RESOLVIDA")+COUNTIFS($Q$5:$Q135,$Q135,$H$5:$H135,"&lt;&gt;RESOLVIDA"),"")</f>
      </c>
    </row>
    <row r="136">
      <c r="A136" s="218" t="n"/>
      <c r="B136" s="218" t="n"/>
      <c r="C136" s="218" t="n"/>
      <c r="D136" s="298" t="n"/>
      <c r="E136" s="218" t="n"/>
      <c r="F136" s="220" t="n"/>
      <c r="G136" s="218" t="n"/>
      <c r="H136" s="218" t="n"/>
      <c r="I136" s="220" t="n"/>
      <c r="J136" s="269" t="n"/>
      <c r="K136" s="221">
        <f>IF(OR($B136="",$H136="RESOLVIDA",$M136="RISCO",AND($F136="",$U136="")),"",IF($U136&lt;&gt;"",$U136,$F136)-DATA_GESTAO)</f>
      </c>
      <c r="L136" s="222">
        <f>IF($B136="","",IF($H136="RESOLVIDA","RESOLVIDA",IF($M136="RISCO","RISCO",IF($K136="","SEM PRAZO",IF($K136&lt;0,"VENCIDA",IF($G136="","SEM DONO",IF($K136&lt;=7,"ESTA SEMANA",IF($K136&lt;=42,"PRÓXIMAS 6 SEMANAS","NO PRAZO"))))))))</f>
      </c>
      <c r="M136" s="218" t="n"/>
      <c r="N136" s="330" t="n"/>
      <c r="O136" s="321" t="n"/>
      <c r="P136" s="330" t="n"/>
      <c r="Q136" s="267">
        <f>IF($B136="","",IF(AND($N136="",$O136=""),IF($M136="RISCO","SEM BASE",""),IF(AND(ISNUMBER($N136),ISNUMBER($O136)),ROUND($N136*$O136/5,0),"SEM BASE")))</f>
      </c>
      <c r="R136" s="298" t="n"/>
      <c r="S136" s="298" t="n"/>
      <c r="T136" s="218" t="n"/>
      <c r="U136" s="220" t="n"/>
      <c r="V136" s="235" t="n"/>
      <c r="W136" s="221">
        <f>IF(AND(ISNUMBER($Q136),$H136&lt;&gt;"RESOLVIDA"),COUNTIFS($Q$5:$Q$204,"&gt;"&amp;$Q136,$H$5:$H$204,"&lt;&gt;RESOLVIDA")+COUNTIFS($Q$5:$Q136,$Q136,$H$5:$H136,"&lt;&gt;RESOLVIDA"),"")</f>
      </c>
    </row>
    <row r="137">
      <c r="A137" s="218" t="n"/>
      <c r="B137" s="218" t="n"/>
      <c r="C137" s="218" t="n"/>
      <c r="D137" s="298" t="n"/>
      <c r="E137" s="218" t="n"/>
      <c r="F137" s="220" t="n"/>
      <c r="G137" s="218" t="n"/>
      <c r="H137" s="218" t="n"/>
      <c r="I137" s="220" t="n"/>
      <c r="J137" s="269" t="n"/>
      <c r="K137" s="221">
        <f>IF(OR($B137="",$H137="RESOLVIDA",$M137="RISCO",AND($F137="",$U137="")),"",IF($U137&lt;&gt;"",$U137,$F137)-DATA_GESTAO)</f>
      </c>
      <c r="L137" s="222">
        <f>IF($B137="","",IF($H137="RESOLVIDA","RESOLVIDA",IF($M137="RISCO","RISCO",IF($K137="","SEM PRAZO",IF($K137&lt;0,"VENCIDA",IF($G137="","SEM DONO",IF($K137&lt;=7,"ESTA SEMANA",IF($K137&lt;=42,"PRÓXIMAS 6 SEMANAS","NO PRAZO"))))))))</f>
      </c>
      <c r="M137" s="218" t="n"/>
      <c r="N137" s="330" t="n"/>
      <c r="O137" s="321" t="n"/>
      <c r="P137" s="330" t="n"/>
      <c r="Q137" s="267">
        <f>IF($B137="","",IF(AND($N137="",$O137=""),IF($M137="RISCO","SEM BASE",""),IF(AND(ISNUMBER($N137),ISNUMBER($O137)),ROUND($N137*$O137/5,0),"SEM BASE")))</f>
      </c>
      <c r="R137" s="298" t="n"/>
      <c r="S137" s="298" t="n"/>
      <c r="T137" s="218" t="n"/>
      <c r="U137" s="220" t="n"/>
      <c r="V137" s="235" t="n"/>
      <c r="W137" s="221">
        <f>IF(AND(ISNUMBER($Q137),$H137&lt;&gt;"RESOLVIDA"),COUNTIFS($Q$5:$Q$204,"&gt;"&amp;$Q137,$H$5:$H$204,"&lt;&gt;RESOLVIDA")+COUNTIFS($Q$5:$Q137,$Q137,$H$5:$H137,"&lt;&gt;RESOLVIDA"),"")</f>
      </c>
    </row>
    <row r="138">
      <c r="A138" s="218" t="n"/>
      <c r="B138" s="218" t="n"/>
      <c r="C138" s="218" t="n"/>
      <c r="D138" s="298" t="n"/>
      <c r="E138" s="218" t="n"/>
      <c r="F138" s="220" t="n"/>
      <c r="G138" s="218" t="n"/>
      <c r="H138" s="218" t="n"/>
      <c r="I138" s="220" t="n"/>
      <c r="J138" s="269" t="n"/>
      <c r="K138" s="221">
        <f>IF(OR($B138="",$H138="RESOLVIDA",$M138="RISCO",AND($F138="",$U138="")),"",IF($U138&lt;&gt;"",$U138,$F138)-DATA_GESTAO)</f>
      </c>
      <c r="L138" s="222">
        <f>IF($B138="","",IF($H138="RESOLVIDA","RESOLVIDA",IF($M138="RISCO","RISCO",IF($K138="","SEM PRAZO",IF($K138&lt;0,"VENCIDA",IF($G138="","SEM DONO",IF($K138&lt;=7,"ESTA SEMANA",IF($K138&lt;=42,"PRÓXIMAS 6 SEMANAS","NO PRAZO"))))))))</f>
      </c>
      <c r="M138" s="218" t="n"/>
      <c r="N138" s="330" t="n"/>
      <c r="O138" s="321" t="n"/>
      <c r="P138" s="330" t="n"/>
      <c r="Q138" s="267">
        <f>IF($B138="","",IF(AND($N138="",$O138=""),IF($M138="RISCO","SEM BASE",""),IF(AND(ISNUMBER($N138),ISNUMBER($O138)),ROUND($N138*$O138/5,0),"SEM BASE")))</f>
      </c>
      <c r="R138" s="298" t="n"/>
      <c r="S138" s="298" t="n"/>
      <c r="T138" s="218" t="n"/>
      <c r="U138" s="220" t="n"/>
      <c r="V138" s="235" t="n"/>
      <c r="W138" s="221">
        <f>IF(AND(ISNUMBER($Q138),$H138&lt;&gt;"RESOLVIDA"),COUNTIFS($Q$5:$Q$204,"&gt;"&amp;$Q138,$H$5:$H$204,"&lt;&gt;RESOLVIDA")+COUNTIFS($Q$5:$Q138,$Q138,$H$5:$H138,"&lt;&gt;RESOLVIDA"),"")</f>
      </c>
    </row>
    <row r="139">
      <c r="A139" s="218" t="n"/>
      <c r="B139" s="218" t="n"/>
      <c r="C139" s="218" t="n"/>
      <c r="D139" s="298" t="n"/>
      <c r="E139" s="218" t="n"/>
      <c r="F139" s="220" t="n"/>
      <c r="G139" s="218" t="n"/>
      <c r="H139" s="218" t="n"/>
      <c r="I139" s="220" t="n"/>
      <c r="J139" s="269" t="n"/>
      <c r="K139" s="221">
        <f>IF(OR($B139="",$H139="RESOLVIDA",$M139="RISCO",AND($F139="",$U139="")),"",IF($U139&lt;&gt;"",$U139,$F139)-DATA_GESTAO)</f>
      </c>
      <c r="L139" s="222">
        <f>IF($B139="","",IF($H139="RESOLVIDA","RESOLVIDA",IF($M139="RISCO","RISCO",IF($K139="","SEM PRAZO",IF($K139&lt;0,"VENCIDA",IF($G139="","SEM DONO",IF($K139&lt;=7,"ESTA SEMANA",IF($K139&lt;=42,"PRÓXIMAS 6 SEMANAS","NO PRAZO"))))))))</f>
      </c>
      <c r="M139" s="218" t="n"/>
      <c r="N139" s="330" t="n"/>
      <c r="O139" s="321" t="n"/>
      <c r="P139" s="330" t="n"/>
      <c r="Q139" s="267">
        <f>IF($B139="","",IF(AND($N139="",$O139=""),IF($M139="RISCO","SEM BASE",""),IF(AND(ISNUMBER($N139),ISNUMBER($O139)),ROUND($N139*$O139/5,0),"SEM BASE")))</f>
      </c>
      <c r="R139" s="298" t="n"/>
      <c r="S139" s="298" t="n"/>
      <c r="T139" s="218" t="n"/>
      <c r="U139" s="220" t="n"/>
      <c r="V139" s="235" t="n"/>
      <c r="W139" s="221">
        <f>IF(AND(ISNUMBER($Q139),$H139&lt;&gt;"RESOLVIDA"),COUNTIFS($Q$5:$Q$204,"&gt;"&amp;$Q139,$H$5:$H$204,"&lt;&gt;RESOLVIDA")+COUNTIFS($Q$5:$Q139,$Q139,$H$5:$H139,"&lt;&gt;RESOLVIDA"),"")</f>
      </c>
    </row>
    <row r="140">
      <c r="A140" s="218" t="n"/>
      <c r="B140" s="218" t="n"/>
      <c r="C140" s="218" t="n"/>
      <c r="D140" s="298" t="n"/>
      <c r="E140" s="218" t="n"/>
      <c r="F140" s="220" t="n"/>
      <c r="G140" s="218" t="n"/>
      <c r="H140" s="218" t="n"/>
      <c r="I140" s="220" t="n"/>
      <c r="J140" s="269" t="n"/>
      <c r="K140" s="221">
        <f>IF(OR($B140="",$H140="RESOLVIDA",$M140="RISCO",AND($F140="",$U140="")),"",IF($U140&lt;&gt;"",$U140,$F140)-DATA_GESTAO)</f>
      </c>
      <c r="L140" s="222">
        <f>IF($B140="","",IF($H140="RESOLVIDA","RESOLVIDA",IF($M140="RISCO","RISCO",IF($K140="","SEM PRAZO",IF($K140&lt;0,"VENCIDA",IF($G140="","SEM DONO",IF($K140&lt;=7,"ESTA SEMANA",IF($K140&lt;=42,"PRÓXIMAS 6 SEMANAS","NO PRAZO"))))))))</f>
      </c>
      <c r="M140" s="218" t="n"/>
      <c r="N140" s="330" t="n"/>
      <c r="O140" s="321" t="n"/>
      <c r="P140" s="330" t="n"/>
      <c r="Q140" s="267">
        <f>IF($B140="","",IF(AND($N140="",$O140=""),IF($M140="RISCO","SEM BASE",""),IF(AND(ISNUMBER($N140),ISNUMBER($O140)),ROUND($N140*$O140/5,0),"SEM BASE")))</f>
      </c>
      <c r="R140" s="298" t="n"/>
      <c r="S140" s="298" t="n"/>
      <c r="T140" s="218" t="n"/>
      <c r="U140" s="220" t="n"/>
      <c r="V140" s="235" t="n"/>
      <c r="W140" s="221">
        <f>IF(AND(ISNUMBER($Q140),$H140&lt;&gt;"RESOLVIDA"),COUNTIFS($Q$5:$Q$204,"&gt;"&amp;$Q140,$H$5:$H$204,"&lt;&gt;RESOLVIDA")+COUNTIFS($Q$5:$Q140,$Q140,$H$5:$H140,"&lt;&gt;RESOLVIDA"),"")</f>
      </c>
    </row>
    <row r="141">
      <c r="A141" s="218" t="n"/>
      <c r="B141" s="218" t="n"/>
      <c r="C141" s="218" t="n"/>
      <c r="D141" s="298" t="n"/>
      <c r="E141" s="218" t="n"/>
      <c r="F141" s="220" t="n"/>
      <c r="G141" s="218" t="n"/>
      <c r="H141" s="218" t="n"/>
      <c r="I141" s="220" t="n"/>
      <c r="J141" s="269" t="n"/>
      <c r="K141" s="221">
        <f>IF(OR($B141="",$H141="RESOLVIDA",$M141="RISCO",AND($F141="",$U141="")),"",IF($U141&lt;&gt;"",$U141,$F141)-DATA_GESTAO)</f>
      </c>
      <c r="L141" s="222">
        <f>IF($B141="","",IF($H141="RESOLVIDA","RESOLVIDA",IF($M141="RISCO","RISCO",IF($K141="","SEM PRAZO",IF($K141&lt;0,"VENCIDA",IF($G141="","SEM DONO",IF($K141&lt;=7,"ESTA SEMANA",IF($K141&lt;=42,"PRÓXIMAS 6 SEMANAS","NO PRAZO"))))))))</f>
      </c>
      <c r="M141" s="218" t="n"/>
      <c r="N141" s="330" t="n"/>
      <c r="O141" s="321" t="n"/>
      <c r="P141" s="330" t="n"/>
      <c r="Q141" s="267">
        <f>IF($B141="","",IF(AND($N141="",$O141=""),IF($M141="RISCO","SEM BASE",""),IF(AND(ISNUMBER($N141),ISNUMBER($O141)),ROUND($N141*$O141/5,0),"SEM BASE")))</f>
      </c>
      <c r="R141" s="298" t="n"/>
      <c r="S141" s="298" t="n"/>
      <c r="T141" s="218" t="n"/>
      <c r="U141" s="220" t="n"/>
      <c r="V141" s="235" t="n"/>
      <c r="W141" s="221">
        <f>IF(AND(ISNUMBER($Q141),$H141&lt;&gt;"RESOLVIDA"),COUNTIFS($Q$5:$Q$204,"&gt;"&amp;$Q141,$H$5:$H$204,"&lt;&gt;RESOLVIDA")+COUNTIFS($Q$5:$Q141,$Q141,$H$5:$H141,"&lt;&gt;RESOLVIDA"),"")</f>
      </c>
    </row>
    <row r="142">
      <c r="A142" s="218" t="n"/>
      <c r="B142" s="218" t="n"/>
      <c r="C142" s="218" t="n"/>
      <c r="D142" s="298" t="n"/>
      <c r="E142" s="218" t="n"/>
      <c r="F142" s="220" t="n"/>
      <c r="G142" s="218" t="n"/>
      <c r="H142" s="218" t="n"/>
      <c r="I142" s="220" t="n"/>
      <c r="J142" s="269" t="n"/>
      <c r="K142" s="221">
        <f>IF(OR($B142="",$H142="RESOLVIDA",$M142="RISCO",AND($F142="",$U142="")),"",IF($U142&lt;&gt;"",$U142,$F142)-DATA_GESTAO)</f>
      </c>
      <c r="L142" s="222">
        <f>IF($B142="","",IF($H142="RESOLVIDA","RESOLVIDA",IF($M142="RISCO","RISCO",IF($K142="","SEM PRAZO",IF($K142&lt;0,"VENCIDA",IF($G142="","SEM DONO",IF($K142&lt;=7,"ESTA SEMANA",IF($K142&lt;=42,"PRÓXIMAS 6 SEMANAS","NO PRAZO"))))))))</f>
      </c>
      <c r="M142" s="218" t="n"/>
      <c r="N142" s="330" t="n"/>
      <c r="O142" s="321" t="n"/>
      <c r="P142" s="330" t="n"/>
      <c r="Q142" s="267">
        <f>IF($B142="","",IF(AND($N142="",$O142=""),IF($M142="RISCO","SEM BASE",""),IF(AND(ISNUMBER($N142),ISNUMBER($O142)),ROUND($N142*$O142/5,0),"SEM BASE")))</f>
      </c>
      <c r="R142" s="298" t="n"/>
      <c r="S142" s="298" t="n"/>
      <c r="T142" s="218" t="n"/>
      <c r="U142" s="220" t="n"/>
      <c r="V142" s="235" t="n"/>
      <c r="W142" s="221">
        <f>IF(AND(ISNUMBER($Q142),$H142&lt;&gt;"RESOLVIDA"),COUNTIFS($Q$5:$Q$204,"&gt;"&amp;$Q142,$H$5:$H$204,"&lt;&gt;RESOLVIDA")+COUNTIFS($Q$5:$Q142,$Q142,$H$5:$H142,"&lt;&gt;RESOLVIDA"),"")</f>
      </c>
    </row>
    <row r="143">
      <c r="A143" s="218" t="n"/>
      <c r="B143" s="218" t="n"/>
      <c r="C143" s="218" t="n"/>
      <c r="D143" s="298" t="n"/>
      <c r="E143" s="218" t="n"/>
      <c r="F143" s="220" t="n"/>
      <c r="G143" s="218" t="n"/>
      <c r="H143" s="218" t="n"/>
      <c r="I143" s="220" t="n"/>
      <c r="J143" s="269" t="n"/>
      <c r="K143" s="221">
        <f>IF(OR($B143="",$H143="RESOLVIDA",$M143="RISCO",AND($F143="",$U143="")),"",IF($U143&lt;&gt;"",$U143,$F143)-DATA_GESTAO)</f>
      </c>
      <c r="L143" s="222">
        <f>IF($B143="","",IF($H143="RESOLVIDA","RESOLVIDA",IF($M143="RISCO","RISCO",IF($K143="","SEM PRAZO",IF($K143&lt;0,"VENCIDA",IF($G143="","SEM DONO",IF($K143&lt;=7,"ESTA SEMANA",IF($K143&lt;=42,"PRÓXIMAS 6 SEMANAS","NO PRAZO"))))))))</f>
      </c>
      <c r="M143" s="218" t="n"/>
      <c r="N143" s="330" t="n"/>
      <c r="O143" s="321" t="n"/>
      <c r="P143" s="330" t="n"/>
      <c r="Q143" s="267">
        <f>IF($B143="","",IF(AND($N143="",$O143=""),IF($M143="RISCO","SEM BASE",""),IF(AND(ISNUMBER($N143),ISNUMBER($O143)),ROUND($N143*$O143/5,0),"SEM BASE")))</f>
      </c>
      <c r="R143" s="298" t="n"/>
      <c r="S143" s="298" t="n"/>
      <c r="T143" s="218" t="n"/>
      <c r="U143" s="220" t="n"/>
      <c r="V143" s="235" t="n"/>
      <c r="W143" s="221">
        <f>IF(AND(ISNUMBER($Q143),$H143&lt;&gt;"RESOLVIDA"),COUNTIFS($Q$5:$Q$204,"&gt;"&amp;$Q143,$H$5:$H$204,"&lt;&gt;RESOLVIDA")+COUNTIFS($Q$5:$Q143,$Q143,$H$5:$H143,"&lt;&gt;RESOLVIDA"),"")</f>
      </c>
    </row>
    <row r="144">
      <c r="A144" s="218" t="n"/>
      <c r="B144" s="218" t="n"/>
      <c r="C144" s="218" t="n"/>
      <c r="D144" s="298" t="n"/>
      <c r="E144" s="218" t="n"/>
      <c r="F144" s="220" t="n"/>
      <c r="G144" s="218" t="n"/>
      <c r="H144" s="218" t="n"/>
      <c r="I144" s="220" t="n"/>
      <c r="J144" s="269" t="n"/>
      <c r="K144" s="221">
        <f>IF(OR($B144="",$H144="RESOLVIDA",$M144="RISCO",AND($F144="",$U144="")),"",IF($U144&lt;&gt;"",$U144,$F144)-DATA_GESTAO)</f>
      </c>
      <c r="L144" s="222">
        <f>IF($B144="","",IF($H144="RESOLVIDA","RESOLVIDA",IF($M144="RISCO","RISCO",IF($K144="","SEM PRAZO",IF($K144&lt;0,"VENCIDA",IF($G144="","SEM DONO",IF($K144&lt;=7,"ESTA SEMANA",IF($K144&lt;=42,"PRÓXIMAS 6 SEMANAS","NO PRAZO"))))))))</f>
      </c>
      <c r="M144" s="218" t="n"/>
      <c r="N144" s="330" t="n"/>
      <c r="O144" s="321" t="n"/>
      <c r="P144" s="330" t="n"/>
      <c r="Q144" s="267">
        <f>IF($B144="","",IF(AND($N144="",$O144=""),IF($M144="RISCO","SEM BASE",""),IF(AND(ISNUMBER($N144),ISNUMBER($O144)),ROUND($N144*$O144/5,0),"SEM BASE")))</f>
      </c>
      <c r="R144" s="298" t="n"/>
      <c r="S144" s="298" t="n"/>
      <c r="T144" s="218" t="n"/>
      <c r="U144" s="220" t="n"/>
      <c r="V144" s="235" t="n"/>
      <c r="W144" s="221">
        <f>IF(AND(ISNUMBER($Q144),$H144&lt;&gt;"RESOLVIDA"),COUNTIFS($Q$5:$Q$204,"&gt;"&amp;$Q144,$H$5:$H$204,"&lt;&gt;RESOLVIDA")+COUNTIFS($Q$5:$Q144,$Q144,$H$5:$H144,"&lt;&gt;RESOLVIDA"),"")</f>
      </c>
    </row>
    <row r="145">
      <c r="A145" s="218" t="n"/>
      <c r="B145" s="218" t="n"/>
      <c r="C145" s="218" t="n"/>
      <c r="D145" s="298" t="n"/>
      <c r="E145" s="218" t="n"/>
      <c r="F145" s="220" t="n"/>
      <c r="G145" s="218" t="n"/>
      <c r="H145" s="218" t="n"/>
      <c r="I145" s="220" t="n"/>
      <c r="J145" s="269" t="n"/>
      <c r="K145" s="221">
        <f>IF(OR($B145="",$H145="RESOLVIDA",$M145="RISCO",AND($F145="",$U145="")),"",IF($U145&lt;&gt;"",$U145,$F145)-DATA_GESTAO)</f>
      </c>
      <c r="L145" s="222">
        <f>IF($B145="","",IF($H145="RESOLVIDA","RESOLVIDA",IF($M145="RISCO","RISCO",IF($K145="","SEM PRAZO",IF($K145&lt;0,"VENCIDA",IF($G145="","SEM DONO",IF($K145&lt;=7,"ESTA SEMANA",IF($K145&lt;=42,"PRÓXIMAS 6 SEMANAS","NO PRAZO"))))))))</f>
      </c>
      <c r="M145" s="218" t="n"/>
      <c r="N145" s="330" t="n"/>
      <c r="O145" s="321" t="n"/>
      <c r="P145" s="330" t="n"/>
      <c r="Q145" s="267">
        <f>IF($B145="","",IF(AND($N145="",$O145=""),IF($M145="RISCO","SEM BASE",""),IF(AND(ISNUMBER($N145),ISNUMBER($O145)),ROUND($N145*$O145/5,0),"SEM BASE")))</f>
      </c>
      <c r="R145" s="298" t="n"/>
      <c r="S145" s="298" t="n"/>
      <c r="T145" s="218" t="n"/>
      <c r="U145" s="220" t="n"/>
      <c r="V145" s="235" t="n"/>
      <c r="W145" s="221">
        <f>IF(AND(ISNUMBER($Q145),$H145&lt;&gt;"RESOLVIDA"),COUNTIFS($Q$5:$Q$204,"&gt;"&amp;$Q145,$H$5:$H$204,"&lt;&gt;RESOLVIDA")+COUNTIFS($Q$5:$Q145,$Q145,$H$5:$H145,"&lt;&gt;RESOLVIDA"),"")</f>
      </c>
    </row>
    <row r="146">
      <c r="A146" s="218" t="n"/>
      <c r="B146" s="218" t="n"/>
      <c r="C146" s="218" t="n"/>
      <c r="D146" s="298" t="n"/>
      <c r="E146" s="218" t="n"/>
      <c r="F146" s="220" t="n"/>
      <c r="G146" s="218" t="n"/>
      <c r="H146" s="218" t="n"/>
      <c r="I146" s="220" t="n"/>
      <c r="J146" s="269" t="n"/>
      <c r="K146" s="221">
        <f>IF(OR($B146="",$H146="RESOLVIDA",$M146="RISCO",AND($F146="",$U146="")),"",IF($U146&lt;&gt;"",$U146,$F146)-DATA_GESTAO)</f>
      </c>
      <c r="L146" s="222">
        <f>IF($B146="","",IF($H146="RESOLVIDA","RESOLVIDA",IF($M146="RISCO","RISCO",IF($K146="","SEM PRAZO",IF($K146&lt;0,"VENCIDA",IF($G146="","SEM DONO",IF($K146&lt;=7,"ESTA SEMANA",IF($K146&lt;=42,"PRÓXIMAS 6 SEMANAS","NO PRAZO"))))))))</f>
      </c>
      <c r="M146" s="218" t="n"/>
      <c r="N146" s="330" t="n"/>
      <c r="O146" s="321" t="n"/>
      <c r="P146" s="330" t="n"/>
      <c r="Q146" s="267">
        <f>IF($B146="","",IF(AND($N146="",$O146=""),IF($M146="RISCO","SEM BASE",""),IF(AND(ISNUMBER($N146),ISNUMBER($O146)),ROUND($N146*$O146/5,0),"SEM BASE")))</f>
      </c>
      <c r="R146" s="298" t="n"/>
      <c r="S146" s="298" t="n"/>
      <c r="T146" s="218" t="n"/>
      <c r="U146" s="220" t="n"/>
      <c r="V146" s="235" t="n"/>
      <c r="W146" s="221">
        <f>IF(AND(ISNUMBER($Q146),$H146&lt;&gt;"RESOLVIDA"),COUNTIFS($Q$5:$Q$204,"&gt;"&amp;$Q146,$H$5:$H$204,"&lt;&gt;RESOLVIDA")+COUNTIFS($Q$5:$Q146,$Q146,$H$5:$H146,"&lt;&gt;RESOLVIDA"),"")</f>
      </c>
    </row>
    <row r="147">
      <c r="A147" s="218" t="n"/>
      <c r="B147" s="218" t="n"/>
      <c r="C147" s="218" t="n"/>
      <c r="D147" s="298" t="n"/>
      <c r="E147" s="218" t="n"/>
      <c r="F147" s="220" t="n"/>
      <c r="G147" s="218" t="n"/>
      <c r="H147" s="218" t="n"/>
      <c r="I147" s="220" t="n"/>
      <c r="J147" s="269" t="n"/>
      <c r="K147" s="221">
        <f>IF(OR($B147="",$H147="RESOLVIDA",$M147="RISCO",AND($F147="",$U147="")),"",IF($U147&lt;&gt;"",$U147,$F147)-DATA_GESTAO)</f>
      </c>
      <c r="L147" s="222">
        <f>IF($B147="","",IF($H147="RESOLVIDA","RESOLVIDA",IF($M147="RISCO","RISCO",IF($K147="","SEM PRAZO",IF($K147&lt;0,"VENCIDA",IF($G147="","SEM DONO",IF($K147&lt;=7,"ESTA SEMANA",IF($K147&lt;=42,"PRÓXIMAS 6 SEMANAS","NO PRAZO"))))))))</f>
      </c>
      <c r="M147" s="218" t="n"/>
      <c r="N147" s="330" t="n"/>
      <c r="O147" s="321" t="n"/>
      <c r="P147" s="330" t="n"/>
      <c r="Q147" s="267">
        <f>IF($B147="","",IF(AND($N147="",$O147=""),IF($M147="RISCO","SEM BASE",""),IF(AND(ISNUMBER($N147),ISNUMBER($O147)),ROUND($N147*$O147/5,0),"SEM BASE")))</f>
      </c>
      <c r="R147" s="298" t="n"/>
      <c r="S147" s="298" t="n"/>
      <c r="T147" s="218" t="n"/>
      <c r="U147" s="220" t="n"/>
      <c r="V147" s="235" t="n"/>
      <c r="W147" s="221">
        <f>IF(AND(ISNUMBER($Q147),$H147&lt;&gt;"RESOLVIDA"),COUNTIFS($Q$5:$Q$204,"&gt;"&amp;$Q147,$H$5:$H$204,"&lt;&gt;RESOLVIDA")+COUNTIFS($Q$5:$Q147,$Q147,$H$5:$H147,"&lt;&gt;RESOLVIDA"),"")</f>
      </c>
    </row>
    <row r="148">
      <c r="A148" s="218" t="n"/>
      <c r="B148" s="218" t="n"/>
      <c r="C148" s="218" t="n"/>
      <c r="D148" s="298" t="n"/>
      <c r="E148" s="218" t="n"/>
      <c r="F148" s="220" t="n"/>
      <c r="G148" s="218" t="n"/>
      <c r="H148" s="218" t="n"/>
      <c r="I148" s="220" t="n"/>
      <c r="J148" s="269" t="n"/>
      <c r="K148" s="221">
        <f>IF(OR($B148="",$H148="RESOLVIDA",$M148="RISCO",AND($F148="",$U148="")),"",IF($U148&lt;&gt;"",$U148,$F148)-DATA_GESTAO)</f>
      </c>
      <c r="L148" s="222">
        <f>IF($B148="","",IF($H148="RESOLVIDA","RESOLVIDA",IF($M148="RISCO","RISCO",IF($K148="","SEM PRAZO",IF($K148&lt;0,"VENCIDA",IF($G148="","SEM DONO",IF($K148&lt;=7,"ESTA SEMANA",IF($K148&lt;=42,"PRÓXIMAS 6 SEMANAS","NO PRAZO"))))))))</f>
      </c>
      <c r="M148" s="218" t="n"/>
      <c r="N148" s="330" t="n"/>
      <c r="O148" s="321" t="n"/>
      <c r="P148" s="330" t="n"/>
      <c r="Q148" s="267">
        <f>IF($B148="","",IF(AND($N148="",$O148=""),IF($M148="RISCO","SEM BASE",""),IF(AND(ISNUMBER($N148),ISNUMBER($O148)),ROUND($N148*$O148/5,0),"SEM BASE")))</f>
      </c>
      <c r="R148" s="298" t="n"/>
      <c r="S148" s="298" t="n"/>
      <c r="T148" s="218" t="n"/>
      <c r="U148" s="220" t="n"/>
      <c r="V148" s="235" t="n"/>
      <c r="W148" s="221">
        <f>IF(AND(ISNUMBER($Q148),$H148&lt;&gt;"RESOLVIDA"),COUNTIFS($Q$5:$Q$204,"&gt;"&amp;$Q148,$H$5:$H$204,"&lt;&gt;RESOLVIDA")+COUNTIFS($Q$5:$Q148,$Q148,$H$5:$H148,"&lt;&gt;RESOLVIDA"),"")</f>
      </c>
    </row>
    <row r="149">
      <c r="A149" s="218" t="n"/>
      <c r="B149" s="218" t="n"/>
      <c r="C149" s="218" t="n"/>
      <c r="D149" s="298" t="n"/>
      <c r="E149" s="218" t="n"/>
      <c r="F149" s="220" t="n"/>
      <c r="G149" s="218" t="n"/>
      <c r="H149" s="218" t="n"/>
      <c r="I149" s="220" t="n"/>
      <c r="J149" s="269" t="n"/>
      <c r="K149" s="221">
        <f>IF(OR($B149="",$H149="RESOLVIDA",$M149="RISCO",AND($F149="",$U149="")),"",IF($U149&lt;&gt;"",$U149,$F149)-DATA_GESTAO)</f>
      </c>
      <c r="L149" s="222">
        <f>IF($B149="","",IF($H149="RESOLVIDA","RESOLVIDA",IF($M149="RISCO","RISCO",IF($K149="","SEM PRAZO",IF($K149&lt;0,"VENCIDA",IF($G149="","SEM DONO",IF($K149&lt;=7,"ESTA SEMANA",IF($K149&lt;=42,"PRÓXIMAS 6 SEMANAS","NO PRAZO"))))))))</f>
      </c>
      <c r="M149" s="218" t="n"/>
      <c r="N149" s="330" t="n"/>
      <c r="O149" s="321" t="n"/>
      <c r="P149" s="330" t="n"/>
      <c r="Q149" s="267">
        <f>IF($B149="","",IF(AND($N149="",$O149=""),IF($M149="RISCO","SEM BASE",""),IF(AND(ISNUMBER($N149),ISNUMBER($O149)),ROUND($N149*$O149/5,0),"SEM BASE")))</f>
      </c>
      <c r="R149" s="298" t="n"/>
      <c r="S149" s="298" t="n"/>
      <c r="T149" s="218" t="n"/>
      <c r="U149" s="220" t="n"/>
      <c r="V149" s="235" t="n"/>
      <c r="W149" s="221">
        <f>IF(AND(ISNUMBER($Q149),$H149&lt;&gt;"RESOLVIDA"),COUNTIFS($Q$5:$Q$204,"&gt;"&amp;$Q149,$H$5:$H$204,"&lt;&gt;RESOLVIDA")+COUNTIFS($Q$5:$Q149,$Q149,$H$5:$H149,"&lt;&gt;RESOLVIDA"),"")</f>
      </c>
    </row>
    <row r="150">
      <c r="A150" s="218" t="n"/>
      <c r="B150" s="218" t="n"/>
      <c r="C150" s="218" t="n"/>
      <c r="D150" s="298" t="n"/>
      <c r="E150" s="218" t="n"/>
      <c r="F150" s="220" t="n"/>
      <c r="G150" s="218" t="n"/>
      <c r="H150" s="218" t="n"/>
      <c r="I150" s="220" t="n"/>
      <c r="J150" s="269" t="n"/>
      <c r="K150" s="221">
        <f>IF(OR($B150="",$H150="RESOLVIDA",$M150="RISCO",AND($F150="",$U150="")),"",IF($U150&lt;&gt;"",$U150,$F150)-DATA_GESTAO)</f>
      </c>
      <c r="L150" s="222">
        <f>IF($B150="","",IF($H150="RESOLVIDA","RESOLVIDA",IF($M150="RISCO","RISCO",IF($K150="","SEM PRAZO",IF($K150&lt;0,"VENCIDA",IF($G150="","SEM DONO",IF($K150&lt;=7,"ESTA SEMANA",IF($K150&lt;=42,"PRÓXIMAS 6 SEMANAS","NO PRAZO"))))))))</f>
      </c>
      <c r="M150" s="218" t="n"/>
      <c r="N150" s="330" t="n"/>
      <c r="O150" s="321" t="n"/>
      <c r="P150" s="330" t="n"/>
      <c r="Q150" s="267">
        <f>IF($B150="","",IF(AND($N150="",$O150=""),IF($M150="RISCO","SEM BASE",""),IF(AND(ISNUMBER($N150),ISNUMBER($O150)),ROUND($N150*$O150/5,0),"SEM BASE")))</f>
      </c>
      <c r="R150" s="298" t="n"/>
      <c r="S150" s="298" t="n"/>
      <c r="T150" s="218" t="n"/>
      <c r="U150" s="220" t="n"/>
      <c r="V150" s="235" t="n"/>
      <c r="W150" s="221">
        <f>IF(AND(ISNUMBER($Q150),$H150&lt;&gt;"RESOLVIDA"),COUNTIFS($Q$5:$Q$204,"&gt;"&amp;$Q150,$H$5:$H$204,"&lt;&gt;RESOLVIDA")+COUNTIFS($Q$5:$Q150,$Q150,$H$5:$H150,"&lt;&gt;RESOLVIDA"),"")</f>
      </c>
    </row>
    <row r="151">
      <c r="A151" s="218" t="n"/>
      <c r="B151" s="218" t="n"/>
      <c r="C151" s="218" t="n"/>
      <c r="D151" s="298" t="n"/>
      <c r="E151" s="218" t="n"/>
      <c r="F151" s="220" t="n"/>
      <c r="G151" s="218" t="n"/>
      <c r="H151" s="218" t="n"/>
      <c r="I151" s="220" t="n"/>
      <c r="J151" s="269" t="n"/>
      <c r="K151" s="221">
        <f>IF(OR($B151="",$H151="RESOLVIDA",$M151="RISCO",AND($F151="",$U151="")),"",IF($U151&lt;&gt;"",$U151,$F151)-DATA_GESTAO)</f>
      </c>
      <c r="L151" s="222">
        <f>IF($B151="","",IF($H151="RESOLVIDA","RESOLVIDA",IF($M151="RISCO","RISCO",IF($K151="","SEM PRAZO",IF($K151&lt;0,"VENCIDA",IF($G151="","SEM DONO",IF($K151&lt;=7,"ESTA SEMANA",IF($K151&lt;=42,"PRÓXIMAS 6 SEMANAS","NO PRAZO"))))))))</f>
      </c>
      <c r="M151" s="218" t="n"/>
      <c r="N151" s="330" t="n"/>
      <c r="O151" s="321" t="n"/>
      <c r="P151" s="330" t="n"/>
      <c r="Q151" s="267">
        <f>IF($B151="","",IF(AND($N151="",$O151=""),IF($M151="RISCO","SEM BASE",""),IF(AND(ISNUMBER($N151),ISNUMBER($O151)),ROUND($N151*$O151/5,0),"SEM BASE")))</f>
      </c>
      <c r="R151" s="298" t="n"/>
      <c r="S151" s="298" t="n"/>
      <c r="T151" s="218" t="n"/>
      <c r="U151" s="220" t="n"/>
      <c r="V151" s="235" t="n"/>
      <c r="W151" s="221">
        <f>IF(AND(ISNUMBER($Q151),$H151&lt;&gt;"RESOLVIDA"),COUNTIFS($Q$5:$Q$204,"&gt;"&amp;$Q151,$H$5:$H$204,"&lt;&gt;RESOLVIDA")+COUNTIFS($Q$5:$Q151,$Q151,$H$5:$H151,"&lt;&gt;RESOLVIDA"),"")</f>
      </c>
    </row>
    <row r="152">
      <c r="A152" s="218" t="n"/>
      <c r="B152" s="218" t="n"/>
      <c r="C152" s="218" t="n"/>
      <c r="D152" s="298" t="n"/>
      <c r="E152" s="218" t="n"/>
      <c r="F152" s="220" t="n"/>
      <c r="G152" s="218" t="n"/>
      <c r="H152" s="218" t="n"/>
      <c r="I152" s="220" t="n"/>
      <c r="J152" s="269" t="n"/>
      <c r="K152" s="221">
        <f>IF(OR($B152="",$H152="RESOLVIDA",$M152="RISCO",AND($F152="",$U152="")),"",IF($U152&lt;&gt;"",$U152,$F152)-DATA_GESTAO)</f>
      </c>
      <c r="L152" s="222">
        <f>IF($B152="","",IF($H152="RESOLVIDA","RESOLVIDA",IF($M152="RISCO","RISCO",IF($K152="","SEM PRAZO",IF($K152&lt;0,"VENCIDA",IF($G152="","SEM DONO",IF($K152&lt;=7,"ESTA SEMANA",IF($K152&lt;=42,"PRÓXIMAS 6 SEMANAS","NO PRAZO"))))))))</f>
      </c>
      <c r="M152" s="218" t="n"/>
      <c r="N152" s="330" t="n"/>
      <c r="O152" s="321" t="n"/>
      <c r="P152" s="330" t="n"/>
      <c r="Q152" s="267">
        <f>IF($B152="","",IF(AND($N152="",$O152=""),IF($M152="RISCO","SEM BASE",""),IF(AND(ISNUMBER($N152),ISNUMBER($O152)),ROUND($N152*$O152/5,0),"SEM BASE")))</f>
      </c>
      <c r="R152" s="298" t="n"/>
      <c r="S152" s="298" t="n"/>
      <c r="T152" s="218" t="n"/>
      <c r="U152" s="220" t="n"/>
      <c r="V152" s="235" t="n"/>
      <c r="W152" s="221">
        <f>IF(AND(ISNUMBER($Q152),$H152&lt;&gt;"RESOLVIDA"),COUNTIFS($Q$5:$Q$204,"&gt;"&amp;$Q152,$H$5:$H$204,"&lt;&gt;RESOLVIDA")+COUNTIFS($Q$5:$Q152,$Q152,$H$5:$H152,"&lt;&gt;RESOLVIDA"),"")</f>
      </c>
    </row>
    <row r="153">
      <c r="A153" s="218" t="n"/>
      <c r="B153" s="218" t="n"/>
      <c r="C153" s="218" t="n"/>
      <c r="D153" s="298" t="n"/>
      <c r="E153" s="218" t="n"/>
      <c r="F153" s="220" t="n"/>
      <c r="G153" s="218" t="n"/>
      <c r="H153" s="218" t="n"/>
      <c r="I153" s="220" t="n"/>
      <c r="J153" s="269" t="n"/>
      <c r="K153" s="221">
        <f>IF(OR($B153="",$H153="RESOLVIDA",$M153="RISCO",AND($F153="",$U153="")),"",IF($U153&lt;&gt;"",$U153,$F153)-DATA_GESTAO)</f>
      </c>
      <c r="L153" s="222">
        <f>IF($B153="","",IF($H153="RESOLVIDA","RESOLVIDA",IF($M153="RISCO","RISCO",IF($K153="","SEM PRAZO",IF($K153&lt;0,"VENCIDA",IF($G153="","SEM DONO",IF($K153&lt;=7,"ESTA SEMANA",IF($K153&lt;=42,"PRÓXIMAS 6 SEMANAS","NO PRAZO"))))))))</f>
      </c>
      <c r="M153" s="218" t="n"/>
      <c r="N153" s="330" t="n"/>
      <c r="O153" s="321" t="n"/>
      <c r="P153" s="330" t="n"/>
      <c r="Q153" s="267">
        <f>IF($B153="","",IF(AND($N153="",$O153=""),IF($M153="RISCO","SEM BASE",""),IF(AND(ISNUMBER($N153),ISNUMBER($O153)),ROUND($N153*$O153/5,0),"SEM BASE")))</f>
      </c>
      <c r="R153" s="298" t="n"/>
      <c r="S153" s="298" t="n"/>
      <c r="T153" s="218" t="n"/>
      <c r="U153" s="220" t="n"/>
      <c r="V153" s="235" t="n"/>
      <c r="W153" s="221">
        <f>IF(AND(ISNUMBER($Q153),$H153&lt;&gt;"RESOLVIDA"),COUNTIFS($Q$5:$Q$204,"&gt;"&amp;$Q153,$H$5:$H$204,"&lt;&gt;RESOLVIDA")+COUNTIFS($Q$5:$Q153,$Q153,$H$5:$H153,"&lt;&gt;RESOLVIDA"),"")</f>
      </c>
    </row>
    <row r="154">
      <c r="A154" s="218" t="n"/>
      <c r="B154" s="218" t="n"/>
      <c r="C154" s="218" t="n"/>
      <c r="D154" s="298" t="n"/>
      <c r="E154" s="218" t="n"/>
      <c r="F154" s="220" t="n"/>
      <c r="G154" s="218" t="n"/>
      <c r="H154" s="218" t="n"/>
      <c r="I154" s="220" t="n"/>
      <c r="J154" s="269" t="n"/>
      <c r="K154" s="221">
        <f>IF(OR($B154="",$H154="RESOLVIDA",$M154="RISCO",AND($F154="",$U154="")),"",IF($U154&lt;&gt;"",$U154,$F154)-DATA_GESTAO)</f>
      </c>
      <c r="L154" s="222">
        <f>IF($B154="","",IF($H154="RESOLVIDA","RESOLVIDA",IF($M154="RISCO","RISCO",IF($K154="","SEM PRAZO",IF($K154&lt;0,"VENCIDA",IF($G154="","SEM DONO",IF($K154&lt;=7,"ESTA SEMANA",IF($K154&lt;=42,"PRÓXIMAS 6 SEMANAS","NO PRAZO"))))))))</f>
      </c>
      <c r="M154" s="218" t="n"/>
      <c r="N154" s="330" t="n"/>
      <c r="O154" s="321" t="n"/>
      <c r="P154" s="330" t="n"/>
      <c r="Q154" s="267">
        <f>IF($B154="","",IF(AND($N154="",$O154=""),IF($M154="RISCO","SEM BASE",""),IF(AND(ISNUMBER($N154),ISNUMBER($O154)),ROUND($N154*$O154/5,0),"SEM BASE")))</f>
      </c>
      <c r="R154" s="298" t="n"/>
      <c r="S154" s="298" t="n"/>
      <c r="T154" s="218" t="n"/>
      <c r="U154" s="220" t="n"/>
      <c r="V154" s="235" t="n"/>
      <c r="W154" s="221">
        <f>IF(AND(ISNUMBER($Q154),$H154&lt;&gt;"RESOLVIDA"),COUNTIFS($Q$5:$Q$204,"&gt;"&amp;$Q154,$H$5:$H$204,"&lt;&gt;RESOLVIDA")+COUNTIFS($Q$5:$Q154,$Q154,$H$5:$H154,"&lt;&gt;RESOLVIDA"),"")</f>
      </c>
    </row>
    <row r="155">
      <c r="A155" s="218" t="n"/>
      <c r="B155" s="218" t="n"/>
      <c r="C155" s="218" t="n"/>
      <c r="D155" s="298" t="n"/>
      <c r="E155" s="218" t="n"/>
      <c r="F155" s="220" t="n"/>
      <c r="G155" s="218" t="n"/>
      <c r="H155" s="218" t="n"/>
      <c r="I155" s="220" t="n"/>
      <c r="J155" s="269" t="n"/>
      <c r="K155" s="221">
        <f>IF(OR($B155="",$H155="RESOLVIDA",$M155="RISCO",AND($F155="",$U155="")),"",IF($U155&lt;&gt;"",$U155,$F155)-DATA_GESTAO)</f>
      </c>
      <c r="L155" s="222">
        <f>IF($B155="","",IF($H155="RESOLVIDA","RESOLVIDA",IF($M155="RISCO","RISCO",IF($K155="","SEM PRAZO",IF($K155&lt;0,"VENCIDA",IF($G155="","SEM DONO",IF($K155&lt;=7,"ESTA SEMANA",IF($K155&lt;=42,"PRÓXIMAS 6 SEMANAS","NO PRAZO"))))))))</f>
      </c>
      <c r="M155" s="218" t="n"/>
      <c r="N155" s="330" t="n"/>
      <c r="O155" s="321" t="n"/>
      <c r="P155" s="330" t="n"/>
      <c r="Q155" s="267">
        <f>IF($B155="","",IF(AND($N155="",$O155=""),IF($M155="RISCO","SEM BASE",""),IF(AND(ISNUMBER($N155),ISNUMBER($O155)),ROUND($N155*$O155/5,0),"SEM BASE")))</f>
      </c>
      <c r="R155" s="298" t="n"/>
      <c r="S155" s="298" t="n"/>
      <c r="T155" s="218" t="n"/>
      <c r="U155" s="220" t="n"/>
      <c r="V155" s="235" t="n"/>
      <c r="W155" s="221">
        <f>IF(AND(ISNUMBER($Q155),$H155&lt;&gt;"RESOLVIDA"),COUNTIFS($Q$5:$Q$204,"&gt;"&amp;$Q155,$H$5:$H$204,"&lt;&gt;RESOLVIDA")+COUNTIFS($Q$5:$Q155,$Q155,$H$5:$H155,"&lt;&gt;RESOLVIDA"),"")</f>
      </c>
    </row>
    <row r="156">
      <c r="A156" s="218" t="n"/>
      <c r="B156" s="218" t="n"/>
      <c r="C156" s="218" t="n"/>
      <c r="D156" s="298" t="n"/>
      <c r="E156" s="218" t="n"/>
      <c r="F156" s="220" t="n"/>
      <c r="G156" s="218" t="n"/>
      <c r="H156" s="218" t="n"/>
      <c r="I156" s="220" t="n"/>
      <c r="J156" s="269" t="n"/>
      <c r="K156" s="221">
        <f>IF(OR($B156="",$H156="RESOLVIDA",$M156="RISCO",AND($F156="",$U156="")),"",IF($U156&lt;&gt;"",$U156,$F156)-DATA_GESTAO)</f>
      </c>
      <c r="L156" s="222">
        <f>IF($B156="","",IF($H156="RESOLVIDA","RESOLVIDA",IF($M156="RISCO","RISCO",IF($K156="","SEM PRAZO",IF($K156&lt;0,"VENCIDA",IF($G156="","SEM DONO",IF($K156&lt;=7,"ESTA SEMANA",IF($K156&lt;=42,"PRÓXIMAS 6 SEMANAS","NO PRAZO"))))))))</f>
      </c>
      <c r="M156" s="218" t="n"/>
      <c r="N156" s="330" t="n"/>
      <c r="O156" s="321" t="n"/>
      <c r="P156" s="330" t="n"/>
      <c r="Q156" s="267">
        <f>IF($B156="","",IF(AND($N156="",$O156=""),IF($M156="RISCO","SEM BASE",""),IF(AND(ISNUMBER($N156),ISNUMBER($O156)),ROUND($N156*$O156/5,0),"SEM BASE")))</f>
      </c>
      <c r="R156" s="298" t="n"/>
      <c r="S156" s="298" t="n"/>
      <c r="T156" s="218" t="n"/>
      <c r="U156" s="220" t="n"/>
      <c r="V156" s="235" t="n"/>
      <c r="W156" s="221">
        <f>IF(AND(ISNUMBER($Q156),$H156&lt;&gt;"RESOLVIDA"),COUNTIFS($Q$5:$Q$204,"&gt;"&amp;$Q156,$H$5:$H$204,"&lt;&gt;RESOLVIDA")+COUNTIFS($Q$5:$Q156,$Q156,$H$5:$H156,"&lt;&gt;RESOLVIDA"),"")</f>
      </c>
    </row>
    <row r="157">
      <c r="A157" s="218" t="n"/>
      <c r="B157" s="218" t="n"/>
      <c r="C157" s="218" t="n"/>
      <c r="D157" s="298" t="n"/>
      <c r="E157" s="218" t="n"/>
      <c r="F157" s="220" t="n"/>
      <c r="G157" s="218" t="n"/>
      <c r="H157" s="218" t="n"/>
      <c r="I157" s="220" t="n"/>
      <c r="J157" s="269" t="n"/>
      <c r="K157" s="221">
        <f>IF(OR($B157="",$H157="RESOLVIDA",$M157="RISCO",AND($F157="",$U157="")),"",IF($U157&lt;&gt;"",$U157,$F157)-DATA_GESTAO)</f>
      </c>
      <c r="L157" s="222">
        <f>IF($B157="","",IF($H157="RESOLVIDA","RESOLVIDA",IF($M157="RISCO","RISCO",IF($K157="","SEM PRAZO",IF($K157&lt;0,"VENCIDA",IF($G157="","SEM DONO",IF($K157&lt;=7,"ESTA SEMANA",IF($K157&lt;=42,"PRÓXIMAS 6 SEMANAS","NO PRAZO"))))))))</f>
      </c>
      <c r="M157" s="218" t="n"/>
      <c r="N157" s="330" t="n"/>
      <c r="O157" s="321" t="n"/>
      <c r="P157" s="330" t="n"/>
      <c r="Q157" s="267">
        <f>IF($B157="","",IF(AND($N157="",$O157=""),IF($M157="RISCO","SEM BASE",""),IF(AND(ISNUMBER($N157),ISNUMBER($O157)),ROUND($N157*$O157/5,0),"SEM BASE")))</f>
      </c>
      <c r="R157" s="298" t="n"/>
      <c r="S157" s="298" t="n"/>
      <c r="T157" s="218" t="n"/>
      <c r="U157" s="220" t="n"/>
      <c r="V157" s="235" t="n"/>
      <c r="W157" s="221">
        <f>IF(AND(ISNUMBER($Q157),$H157&lt;&gt;"RESOLVIDA"),COUNTIFS($Q$5:$Q$204,"&gt;"&amp;$Q157,$H$5:$H$204,"&lt;&gt;RESOLVIDA")+COUNTIFS($Q$5:$Q157,$Q157,$H$5:$H157,"&lt;&gt;RESOLVIDA"),"")</f>
      </c>
    </row>
    <row r="158">
      <c r="A158" s="218" t="n"/>
      <c r="B158" s="218" t="n"/>
      <c r="C158" s="218" t="n"/>
      <c r="D158" s="298" t="n"/>
      <c r="E158" s="218" t="n"/>
      <c r="F158" s="220" t="n"/>
      <c r="G158" s="218" t="n"/>
      <c r="H158" s="218" t="n"/>
      <c r="I158" s="220" t="n"/>
      <c r="J158" s="269" t="n"/>
      <c r="K158" s="221">
        <f>IF(OR($B158="",$H158="RESOLVIDA",$M158="RISCO",AND($F158="",$U158="")),"",IF($U158&lt;&gt;"",$U158,$F158)-DATA_GESTAO)</f>
      </c>
      <c r="L158" s="222">
        <f>IF($B158="","",IF($H158="RESOLVIDA","RESOLVIDA",IF($M158="RISCO","RISCO",IF($K158="","SEM PRAZO",IF($K158&lt;0,"VENCIDA",IF($G158="","SEM DONO",IF($K158&lt;=7,"ESTA SEMANA",IF($K158&lt;=42,"PRÓXIMAS 6 SEMANAS","NO PRAZO"))))))))</f>
      </c>
      <c r="M158" s="218" t="n"/>
      <c r="N158" s="330" t="n"/>
      <c r="O158" s="321" t="n"/>
      <c r="P158" s="330" t="n"/>
      <c r="Q158" s="267">
        <f>IF($B158="","",IF(AND($N158="",$O158=""),IF($M158="RISCO","SEM BASE",""),IF(AND(ISNUMBER($N158),ISNUMBER($O158)),ROUND($N158*$O158/5,0),"SEM BASE")))</f>
      </c>
      <c r="R158" s="298" t="n"/>
      <c r="S158" s="298" t="n"/>
      <c r="T158" s="218" t="n"/>
      <c r="U158" s="220" t="n"/>
      <c r="V158" s="235" t="n"/>
      <c r="W158" s="221">
        <f>IF(AND(ISNUMBER($Q158),$H158&lt;&gt;"RESOLVIDA"),COUNTIFS($Q$5:$Q$204,"&gt;"&amp;$Q158,$H$5:$H$204,"&lt;&gt;RESOLVIDA")+COUNTIFS($Q$5:$Q158,$Q158,$H$5:$H158,"&lt;&gt;RESOLVIDA"),"")</f>
      </c>
    </row>
    <row r="159">
      <c r="A159" s="218" t="n"/>
      <c r="B159" s="218" t="n"/>
      <c r="C159" s="218" t="n"/>
      <c r="D159" s="298" t="n"/>
      <c r="E159" s="218" t="n"/>
      <c r="F159" s="220" t="n"/>
      <c r="G159" s="218" t="n"/>
      <c r="H159" s="218" t="n"/>
      <c r="I159" s="220" t="n"/>
      <c r="J159" s="269" t="n"/>
      <c r="K159" s="221">
        <f>IF(OR($B159="",$H159="RESOLVIDA",$M159="RISCO",AND($F159="",$U159="")),"",IF($U159&lt;&gt;"",$U159,$F159)-DATA_GESTAO)</f>
      </c>
      <c r="L159" s="222">
        <f>IF($B159="","",IF($H159="RESOLVIDA","RESOLVIDA",IF($M159="RISCO","RISCO",IF($K159="","SEM PRAZO",IF($K159&lt;0,"VENCIDA",IF($G159="","SEM DONO",IF($K159&lt;=7,"ESTA SEMANA",IF($K159&lt;=42,"PRÓXIMAS 6 SEMANAS","NO PRAZO"))))))))</f>
      </c>
      <c r="M159" s="218" t="n"/>
      <c r="N159" s="330" t="n"/>
      <c r="O159" s="321" t="n"/>
      <c r="P159" s="330" t="n"/>
      <c r="Q159" s="267">
        <f>IF($B159="","",IF(AND($N159="",$O159=""),IF($M159="RISCO","SEM BASE",""),IF(AND(ISNUMBER($N159),ISNUMBER($O159)),ROUND($N159*$O159/5,0),"SEM BASE")))</f>
      </c>
      <c r="R159" s="298" t="n"/>
      <c r="S159" s="298" t="n"/>
      <c r="T159" s="218" t="n"/>
      <c r="U159" s="220" t="n"/>
      <c r="V159" s="235" t="n"/>
      <c r="W159" s="221">
        <f>IF(AND(ISNUMBER($Q159),$H159&lt;&gt;"RESOLVIDA"),COUNTIFS($Q$5:$Q$204,"&gt;"&amp;$Q159,$H$5:$H$204,"&lt;&gt;RESOLVIDA")+COUNTIFS($Q$5:$Q159,$Q159,$H$5:$H159,"&lt;&gt;RESOLVIDA"),"")</f>
      </c>
    </row>
    <row r="160">
      <c r="A160" s="218" t="n"/>
      <c r="B160" s="218" t="n"/>
      <c r="C160" s="218" t="n"/>
      <c r="D160" s="298" t="n"/>
      <c r="E160" s="218" t="n"/>
      <c r="F160" s="220" t="n"/>
      <c r="G160" s="218" t="n"/>
      <c r="H160" s="218" t="n"/>
      <c r="I160" s="220" t="n"/>
      <c r="J160" s="269" t="n"/>
      <c r="K160" s="221">
        <f>IF(OR($B160="",$H160="RESOLVIDA",$M160="RISCO",AND($F160="",$U160="")),"",IF($U160&lt;&gt;"",$U160,$F160)-DATA_GESTAO)</f>
      </c>
      <c r="L160" s="222">
        <f>IF($B160="","",IF($H160="RESOLVIDA","RESOLVIDA",IF($M160="RISCO","RISCO",IF($K160="","SEM PRAZO",IF($K160&lt;0,"VENCIDA",IF($G160="","SEM DONO",IF($K160&lt;=7,"ESTA SEMANA",IF($K160&lt;=42,"PRÓXIMAS 6 SEMANAS","NO PRAZO"))))))))</f>
      </c>
      <c r="M160" s="218" t="n"/>
      <c r="N160" s="330" t="n"/>
      <c r="O160" s="321" t="n"/>
      <c r="P160" s="330" t="n"/>
      <c r="Q160" s="267">
        <f>IF($B160="","",IF(AND($N160="",$O160=""),IF($M160="RISCO","SEM BASE",""),IF(AND(ISNUMBER($N160),ISNUMBER($O160)),ROUND($N160*$O160/5,0),"SEM BASE")))</f>
      </c>
      <c r="R160" s="298" t="n"/>
      <c r="S160" s="298" t="n"/>
      <c r="T160" s="218" t="n"/>
      <c r="U160" s="220" t="n"/>
      <c r="V160" s="235" t="n"/>
      <c r="W160" s="221">
        <f>IF(AND(ISNUMBER($Q160),$H160&lt;&gt;"RESOLVIDA"),COUNTIFS($Q$5:$Q$204,"&gt;"&amp;$Q160,$H$5:$H$204,"&lt;&gt;RESOLVIDA")+COUNTIFS($Q$5:$Q160,$Q160,$H$5:$H160,"&lt;&gt;RESOLVIDA"),"")</f>
      </c>
    </row>
    <row r="161">
      <c r="A161" s="218" t="n"/>
      <c r="B161" s="218" t="n"/>
      <c r="C161" s="218" t="n"/>
      <c r="D161" s="298" t="n"/>
      <c r="E161" s="218" t="n"/>
      <c r="F161" s="220" t="n"/>
      <c r="G161" s="218" t="n"/>
      <c r="H161" s="218" t="n"/>
      <c r="I161" s="220" t="n"/>
      <c r="J161" s="269" t="n"/>
      <c r="K161" s="221">
        <f>IF(OR($B161="",$H161="RESOLVIDA",$M161="RISCO",AND($F161="",$U161="")),"",IF($U161&lt;&gt;"",$U161,$F161)-DATA_GESTAO)</f>
      </c>
      <c r="L161" s="222">
        <f>IF($B161="","",IF($H161="RESOLVIDA","RESOLVIDA",IF($M161="RISCO","RISCO",IF($K161="","SEM PRAZO",IF($K161&lt;0,"VENCIDA",IF($G161="","SEM DONO",IF($K161&lt;=7,"ESTA SEMANA",IF($K161&lt;=42,"PRÓXIMAS 6 SEMANAS","NO PRAZO"))))))))</f>
      </c>
      <c r="M161" s="218" t="n"/>
      <c r="N161" s="330" t="n"/>
      <c r="O161" s="321" t="n"/>
      <c r="P161" s="330" t="n"/>
      <c r="Q161" s="267">
        <f>IF($B161="","",IF(AND($N161="",$O161=""),IF($M161="RISCO","SEM BASE",""),IF(AND(ISNUMBER($N161),ISNUMBER($O161)),ROUND($N161*$O161/5,0),"SEM BASE")))</f>
      </c>
      <c r="R161" s="298" t="n"/>
      <c r="S161" s="298" t="n"/>
      <c r="T161" s="218" t="n"/>
      <c r="U161" s="220" t="n"/>
      <c r="V161" s="235" t="n"/>
      <c r="W161" s="221">
        <f>IF(AND(ISNUMBER($Q161),$H161&lt;&gt;"RESOLVIDA"),COUNTIFS($Q$5:$Q$204,"&gt;"&amp;$Q161,$H$5:$H$204,"&lt;&gt;RESOLVIDA")+COUNTIFS($Q$5:$Q161,$Q161,$H$5:$H161,"&lt;&gt;RESOLVIDA"),"")</f>
      </c>
    </row>
    <row r="162">
      <c r="A162" s="218" t="n"/>
      <c r="B162" s="218" t="n"/>
      <c r="C162" s="218" t="n"/>
      <c r="D162" s="298" t="n"/>
      <c r="E162" s="218" t="n"/>
      <c r="F162" s="220" t="n"/>
      <c r="G162" s="218" t="n"/>
      <c r="H162" s="218" t="n"/>
      <c r="I162" s="220" t="n"/>
      <c r="J162" s="269" t="n"/>
      <c r="K162" s="221">
        <f>IF(OR($B162="",$H162="RESOLVIDA",$M162="RISCO",AND($F162="",$U162="")),"",IF($U162&lt;&gt;"",$U162,$F162)-DATA_GESTAO)</f>
      </c>
      <c r="L162" s="222">
        <f>IF($B162="","",IF($H162="RESOLVIDA","RESOLVIDA",IF($M162="RISCO","RISCO",IF($K162="","SEM PRAZO",IF($K162&lt;0,"VENCIDA",IF($G162="","SEM DONO",IF($K162&lt;=7,"ESTA SEMANA",IF($K162&lt;=42,"PRÓXIMAS 6 SEMANAS","NO PRAZO"))))))))</f>
      </c>
      <c r="M162" s="218" t="n"/>
      <c r="N162" s="330" t="n"/>
      <c r="O162" s="321" t="n"/>
      <c r="P162" s="330" t="n"/>
      <c r="Q162" s="267">
        <f>IF($B162="","",IF(AND($N162="",$O162=""),IF($M162="RISCO","SEM BASE",""),IF(AND(ISNUMBER($N162),ISNUMBER($O162)),ROUND($N162*$O162/5,0),"SEM BASE")))</f>
      </c>
      <c r="R162" s="298" t="n"/>
      <c r="S162" s="298" t="n"/>
      <c r="T162" s="218" t="n"/>
      <c r="U162" s="220" t="n"/>
      <c r="V162" s="235" t="n"/>
      <c r="W162" s="221">
        <f>IF(AND(ISNUMBER($Q162),$H162&lt;&gt;"RESOLVIDA"),COUNTIFS($Q$5:$Q$204,"&gt;"&amp;$Q162,$H$5:$H$204,"&lt;&gt;RESOLVIDA")+COUNTIFS($Q$5:$Q162,$Q162,$H$5:$H162,"&lt;&gt;RESOLVIDA"),"")</f>
      </c>
    </row>
    <row r="163">
      <c r="A163" s="218" t="n"/>
      <c r="B163" s="218" t="n"/>
      <c r="C163" s="218" t="n"/>
      <c r="D163" s="298" t="n"/>
      <c r="E163" s="218" t="n"/>
      <c r="F163" s="220" t="n"/>
      <c r="G163" s="218" t="n"/>
      <c r="H163" s="218" t="n"/>
      <c r="I163" s="220" t="n"/>
      <c r="J163" s="269" t="n"/>
      <c r="K163" s="221">
        <f>IF(OR($B163="",$H163="RESOLVIDA",$M163="RISCO",AND($F163="",$U163="")),"",IF($U163&lt;&gt;"",$U163,$F163)-DATA_GESTAO)</f>
      </c>
      <c r="L163" s="222">
        <f>IF($B163="","",IF($H163="RESOLVIDA","RESOLVIDA",IF($M163="RISCO","RISCO",IF($K163="","SEM PRAZO",IF($K163&lt;0,"VENCIDA",IF($G163="","SEM DONO",IF($K163&lt;=7,"ESTA SEMANA",IF($K163&lt;=42,"PRÓXIMAS 6 SEMANAS","NO PRAZO"))))))))</f>
      </c>
      <c r="M163" s="218" t="n"/>
      <c r="N163" s="330" t="n"/>
      <c r="O163" s="321" t="n"/>
      <c r="P163" s="330" t="n"/>
      <c r="Q163" s="267">
        <f>IF($B163="","",IF(AND($N163="",$O163=""),IF($M163="RISCO","SEM BASE",""),IF(AND(ISNUMBER($N163),ISNUMBER($O163)),ROUND($N163*$O163/5,0),"SEM BASE")))</f>
      </c>
      <c r="R163" s="298" t="n"/>
      <c r="S163" s="298" t="n"/>
      <c r="T163" s="218" t="n"/>
      <c r="U163" s="220" t="n"/>
      <c r="V163" s="235" t="n"/>
      <c r="W163" s="221">
        <f>IF(AND(ISNUMBER($Q163),$H163&lt;&gt;"RESOLVIDA"),COUNTIFS($Q$5:$Q$204,"&gt;"&amp;$Q163,$H$5:$H$204,"&lt;&gt;RESOLVIDA")+COUNTIFS($Q$5:$Q163,$Q163,$H$5:$H163,"&lt;&gt;RESOLVIDA"),"")</f>
      </c>
    </row>
    <row r="164">
      <c r="A164" s="218" t="n"/>
      <c r="B164" s="218" t="n"/>
      <c r="C164" s="218" t="n"/>
      <c r="D164" s="298" t="n"/>
      <c r="E164" s="218" t="n"/>
      <c r="F164" s="220" t="n"/>
      <c r="G164" s="218" t="n"/>
      <c r="H164" s="218" t="n"/>
      <c r="I164" s="220" t="n"/>
      <c r="J164" s="269" t="n"/>
      <c r="K164" s="221">
        <f>IF(OR($B164="",$H164="RESOLVIDA",$M164="RISCO",AND($F164="",$U164="")),"",IF($U164&lt;&gt;"",$U164,$F164)-DATA_GESTAO)</f>
      </c>
      <c r="L164" s="222">
        <f>IF($B164="","",IF($H164="RESOLVIDA","RESOLVIDA",IF($M164="RISCO","RISCO",IF($K164="","SEM PRAZO",IF($K164&lt;0,"VENCIDA",IF($G164="","SEM DONO",IF($K164&lt;=7,"ESTA SEMANA",IF($K164&lt;=42,"PRÓXIMAS 6 SEMANAS","NO PRAZO"))))))))</f>
      </c>
      <c r="M164" s="218" t="n"/>
      <c r="N164" s="330" t="n"/>
      <c r="O164" s="321" t="n"/>
      <c r="P164" s="330" t="n"/>
      <c r="Q164" s="267">
        <f>IF($B164="","",IF(AND($N164="",$O164=""),IF($M164="RISCO","SEM BASE",""),IF(AND(ISNUMBER($N164),ISNUMBER($O164)),ROUND($N164*$O164/5,0),"SEM BASE")))</f>
      </c>
      <c r="R164" s="298" t="n"/>
      <c r="S164" s="298" t="n"/>
      <c r="T164" s="218" t="n"/>
      <c r="U164" s="220" t="n"/>
      <c r="V164" s="235" t="n"/>
      <c r="W164" s="221">
        <f>IF(AND(ISNUMBER($Q164),$H164&lt;&gt;"RESOLVIDA"),COUNTIFS($Q$5:$Q$204,"&gt;"&amp;$Q164,$H$5:$H$204,"&lt;&gt;RESOLVIDA")+COUNTIFS($Q$5:$Q164,$Q164,$H$5:$H164,"&lt;&gt;RESOLVIDA"),"")</f>
      </c>
    </row>
    <row r="165">
      <c r="A165" s="218" t="n"/>
      <c r="B165" s="218" t="n"/>
      <c r="C165" s="218" t="n"/>
      <c r="D165" s="298" t="n"/>
      <c r="E165" s="218" t="n"/>
      <c r="F165" s="220" t="n"/>
      <c r="G165" s="218" t="n"/>
      <c r="H165" s="218" t="n"/>
      <c r="I165" s="220" t="n"/>
      <c r="J165" s="269" t="n"/>
      <c r="K165" s="221">
        <f>IF(OR($B165="",$H165="RESOLVIDA",$M165="RISCO",AND($F165="",$U165="")),"",IF($U165&lt;&gt;"",$U165,$F165)-DATA_GESTAO)</f>
      </c>
      <c r="L165" s="222">
        <f>IF($B165="","",IF($H165="RESOLVIDA","RESOLVIDA",IF($M165="RISCO","RISCO",IF($K165="","SEM PRAZO",IF($K165&lt;0,"VENCIDA",IF($G165="","SEM DONO",IF($K165&lt;=7,"ESTA SEMANA",IF($K165&lt;=42,"PRÓXIMAS 6 SEMANAS","NO PRAZO"))))))))</f>
      </c>
      <c r="M165" s="218" t="n"/>
      <c r="N165" s="330" t="n"/>
      <c r="O165" s="321" t="n"/>
      <c r="P165" s="330" t="n"/>
      <c r="Q165" s="267">
        <f>IF($B165="","",IF(AND($N165="",$O165=""),IF($M165="RISCO","SEM BASE",""),IF(AND(ISNUMBER($N165),ISNUMBER($O165)),ROUND($N165*$O165/5,0),"SEM BASE")))</f>
      </c>
      <c r="R165" s="298" t="n"/>
      <c r="S165" s="298" t="n"/>
      <c r="T165" s="218" t="n"/>
      <c r="U165" s="220" t="n"/>
      <c r="V165" s="235" t="n"/>
      <c r="W165" s="221">
        <f>IF(AND(ISNUMBER($Q165),$H165&lt;&gt;"RESOLVIDA"),COUNTIFS($Q$5:$Q$204,"&gt;"&amp;$Q165,$H$5:$H$204,"&lt;&gt;RESOLVIDA")+COUNTIFS($Q$5:$Q165,$Q165,$H$5:$H165,"&lt;&gt;RESOLVIDA"),"")</f>
      </c>
    </row>
    <row r="166">
      <c r="A166" s="218" t="n"/>
      <c r="B166" s="218" t="n"/>
      <c r="C166" s="218" t="n"/>
      <c r="D166" s="298" t="n"/>
      <c r="E166" s="218" t="n"/>
      <c r="F166" s="220" t="n"/>
      <c r="G166" s="218" t="n"/>
      <c r="H166" s="218" t="n"/>
      <c r="I166" s="220" t="n"/>
      <c r="J166" s="269" t="n"/>
      <c r="K166" s="221">
        <f>IF(OR($B166="",$H166="RESOLVIDA",$M166="RISCO",AND($F166="",$U166="")),"",IF($U166&lt;&gt;"",$U166,$F166)-DATA_GESTAO)</f>
      </c>
      <c r="L166" s="222">
        <f>IF($B166="","",IF($H166="RESOLVIDA","RESOLVIDA",IF($M166="RISCO","RISCO",IF($K166="","SEM PRAZO",IF($K166&lt;0,"VENCIDA",IF($G166="","SEM DONO",IF($K166&lt;=7,"ESTA SEMANA",IF($K166&lt;=42,"PRÓXIMAS 6 SEMANAS","NO PRAZO"))))))))</f>
      </c>
      <c r="M166" s="218" t="n"/>
      <c r="N166" s="330" t="n"/>
      <c r="O166" s="321" t="n"/>
      <c r="P166" s="330" t="n"/>
      <c r="Q166" s="267">
        <f>IF($B166="","",IF(AND($N166="",$O166=""),IF($M166="RISCO","SEM BASE",""),IF(AND(ISNUMBER($N166),ISNUMBER($O166)),ROUND($N166*$O166/5,0),"SEM BASE")))</f>
      </c>
      <c r="R166" s="298" t="n"/>
      <c r="S166" s="298" t="n"/>
      <c r="T166" s="218" t="n"/>
      <c r="U166" s="220" t="n"/>
      <c r="V166" s="235" t="n"/>
      <c r="W166" s="221">
        <f>IF(AND(ISNUMBER($Q166),$H166&lt;&gt;"RESOLVIDA"),COUNTIFS($Q$5:$Q$204,"&gt;"&amp;$Q166,$H$5:$H$204,"&lt;&gt;RESOLVIDA")+COUNTIFS($Q$5:$Q166,$Q166,$H$5:$H166,"&lt;&gt;RESOLVIDA"),"")</f>
      </c>
    </row>
    <row r="167">
      <c r="A167" s="218" t="n"/>
      <c r="B167" s="218" t="n"/>
      <c r="C167" s="218" t="n"/>
      <c r="D167" s="298" t="n"/>
      <c r="E167" s="218" t="n"/>
      <c r="F167" s="220" t="n"/>
      <c r="G167" s="218" t="n"/>
      <c r="H167" s="218" t="n"/>
      <c r="I167" s="220" t="n"/>
      <c r="J167" s="269" t="n"/>
      <c r="K167" s="221">
        <f>IF(OR($B167="",$H167="RESOLVIDA",$M167="RISCO",AND($F167="",$U167="")),"",IF($U167&lt;&gt;"",$U167,$F167)-DATA_GESTAO)</f>
      </c>
      <c r="L167" s="222">
        <f>IF($B167="","",IF($H167="RESOLVIDA","RESOLVIDA",IF($M167="RISCO","RISCO",IF($K167="","SEM PRAZO",IF($K167&lt;0,"VENCIDA",IF($G167="","SEM DONO",IF($K167&lt;=7,"ESTA SEMANA",IF($K167&lt;=42,"PRÓXIMAS 6 SEMANAS","NO PRAZO"))))))))</f>
      </c>
      <c r="M167" s="218" t="n"/>
      <c r="N167" s="330" t="n"/>
      <c r="O167" s="321" t="n"/>
      <c r="P167" s="330" t="n"/>
      <c r="Q167" s="267">
        <f>IF($B167="","",IF(AND($N167="",$O167=""),IF($M167="RISCO","SEM BASE",""),IF(AND(ISNUMBER($N167),ISNUMBER($O167)),ROUND($N167*$O167/5,0),"SEM BASE")))</f>
      </c>
      <c r="R167" s="298" t="n"/>
      <c r="S167" s="298" t="n"/>
      <c r="T167" s="218" t="n"/>
      <c r="U167" s="220" t="n"/>
      <c r="V167" s="235" t="n"/>
      <c r="W167" s="221">
        <f>IF(AND(ISNUMBER($Q167),$H167&lt;&gt;"RESOLVIDA"),COUNTIFS($Q$5:$Q$204,"&gt;"&amp;$Q167,$H$5:$H$204,"&lt;&gt;RESOLVIDA")+COUNTIFS($Q$5:$Q167,$Q167,$H$5:$H167,"&lt;&gt;RESOLVIDA"),"")</f>
      </c>
    </row>
    <row r="168">
      <c r="A168" s="218" t="n"/>
      <c r="B168" s="218" t="n"/>
      <c r="C168" s="218" t="n"/>
      <c r="D168" s="298" t="n"/>
      <c r="E168" s="218" t="n"/>
      <c r="F168" s="220" t="n"/>
      <c r="G168" s="218" t="n"/>
      <c r="H168" s="218" t="n"/>
      <c r="I168" s="220" t="n"/>
      <c r="J168" s="269" t="n"/>
      <c r="K168" s="221">
        <f>IF(OR($B168="",$H168="RESOLVIDA",$M168="RISCO",AND($F168="",$U168="")),"",IF($U168&lt;&gt;"",$U168,$F168)-DATA_GESTAO)</f>
      </c>
      <c r="L168" s="222">
        <f>IF($B168="","",IF($H168="RESOLVIDA","RESOLVIDA",IF($M168="RISCO","RISCO",IF($K168="","SEM PRAZO",IF($K168&lt;0,"VENCIDA",IF($G168="","SEM DONO",IF($K168&lt;=7,"ESTA SEMANA",IF($K168&lt;=42,"PRÓXIMAS 6 SEMANAS","NO PRAZO"))))))))</f>
      </c>
      <c r="M168" s="218" t="n"/>
      <c r="N168" s="330" t="n"/>
      <c r="O168" s="321" t="n"/>
      <c r="P168" s="330" t="n"/>
      <c r="Q168" s="267">
        <f>IF($B168="","",IF(AND($N168="",$O168=""),IF($M168="RISCO","SEM BASE",""),IF(AND(ISNUMBER($N168),ISNUMBER($O168)),ROUND($N168*$O168/5,0),"SEM BASE")))</f>
      </c>
      <c r="R168" s="298" t="n"/>
      <c r="S168" s="298" t="n"/>
      <c r="T168" s="218" t="n"/>
      <c r="U168" s="220" t="n"/>
      <c r="V168" s="235" t="n"/>
      <c r="W168" s="221">
        <f>IF(AND(ISNUMBER($Q168),$H168&lt;&gt;"RESOLVIDA"),COUNTIFS($Q$5:$Q$204,"&gt;"&amp;$Q168,$H$5:$H$204,"&lt;&gt;RESOLVIDA")+COUNTIFS($Q$5:$Q168,$Q168,$H$5:$H168,"&lt;&gt;RESOLVIDA"),"")</f>
      </c>
    </row>
    <row r="169">
      <c r="A169" s="218" t="n"/>
      <c r="B169" s="218" t="n"/>
      <c r="C169" s="218" t="n"/>
      <c r="D169" s="298" t="n"/>
      <c r="E169" s="218" t="n"/>
      <c r="F169" s="220" t="n"/>
      <c r="G169" s="218" t="n"/>
      <c r="H169" s="218" t="n"/>
      <c r="I169" s="220" t="n"/>
      <c r="J169" s="269" t="n"/>
      <c r="K169" s="221">
        <f>IF(OR($B169="",$H169="RESOLVIDA",$M169="RISCO",AND($F169="",$U169="")),"",IF($U169&lt;&gt;"",$U169,$F169)-DATA_GESTAO)</f>
      </c>
      <c r="L169" s="222">
        <f>IF($B169="","",IF($H169="RESOLVIDA","RESOLVIDA",IF($M169="RISCO","RISCO",IF($K169="","SEM PRAZO",IF($K169&lt;0,"VENCIDA",IF($G169="","SEM DONO",IF($K169&lt;=7,"ESTA SEMANA",IF($K169&lt;=42,"PRÓXIMAS 6 SEMANAS","NO PRAZO"))))))))</f>
      </c>
      <c r="M169" s="218" t="n"/>
      <c r="N169" s="330" t="n"/>
      <c r="O169" s="321" t="n"/>
      <c r="P169" s="330" t="n"/>
      <c r="Q169" s="267">
        <f>IF($B169="","",IF(AND($N169="",$O169=""),IF($M169="RISCO","SEM BASE",""),IF(AND(ISNUMBER($N169),ISNUMBER($O169)),ROUND($N169*$O169/5,0),"SEM BASE")))</f>
      </c>
      <c r="R169" s="298" t="n"/>
      <c r="S169" s="298" t="n"/>
      <c r="T169" s="218" t="n"/>
      <c r="U169" s="220" t="n"/>
      <c r="V169" s="235" t="n"/>
      <c r="W169" s="221">
        <f>IF(AND(ISNUMBER($Q169),$H169&lt;&gt;"RESOLVIDA"),COUNTIFS($Q$5:$Q$204,"&gt;"&amp;$Q169,$H$5:$H$204,"&lt;&gt;RESOLVIDA")+COUNTIFS($Q$5:$Q169,$Q169,$H$5:$H169,"&lt;&gt;RESOLVIDA"),"")</f>
      </c>
    </row>
    <row r="170">
      <c r="A170" s="218" t="n"/>
      <c r="B170" s="218" t="n"/>
      <c r="C170" s="218" t="n"/>
      <c r="D170" s="298" t="n"/>
      <c r="E170" s="218" t="n"/>
      <c r="F170" s="220" t="n"/>
      <c r="G170" s="218" t="n"/>
      <c r="H170" s="218" t="n"/>
      <c r="I170" s="220" t="n"/>
      <c r="J170" s="269" t="n"/>
      <c r="K170" s="221">
        <f>IF(OR($B170="",$H170="RESOLVIDA",$M170="RISCO",AND($F170="",$U170="")),"",IF($U170&lt;&gt;"",$U170,$F170)-DATA_GESTAO)</f>
      </c>
      <c r="L170" s="222">
        <f>IF($B170="","",IF($H170="RESOLVIDA","RESOLVIDA",IF($M170="RISCO","RISCO",IF($K170="","SEM PRAZO",IF($K170&lt;0,"VENCIDA",IF($G170="","SEM DONO",IF($K170&lt;=7,"ESTA SEMANA",IF($K170&lt;=42,"PRÓXIMAS 6 SEMANAS","NO PRAZO"))))))))</f>
      </c>
      <c r="M170" s="218" t="n"/>
      <c r="N170" s="330" t="n"/>
      <c r="O170" s="321" t="n"/>
      <c r="P170" s="330" t="n"/>
      <c r="Q170" s="267">
        <f>IF($B170="","",IF(AND($N170="",$O170=""),IF($M170="RISCO","SEM BASE",""),IF(AND(ISNUMBER($N170),ISNUMBER($O170)),ROUND($N170*$O170/5,0),"SEM BASE")))</f>
      </c>
      <c r="R170" s="298" t="n"/>
      <c r="S170" s="298" t="n"/>
      <c r="T170" s="218" t="n"/>
      <c r="U170" s="220" t="n"/>
      <c r="V170" s="235" t="n"/>
      <c r="W170" s="221">
        <f>IF(AND(ISNUMBER($Q170),$H170&lt;&gt;"RESOLVIDA"),COUNTIFS($Q$5:$Q$204,"&gt;"&amp;$Q170,$H$5:$H$204,"&lt;&gt;RESOLVIDA")+COUNTIFS($Q$5:$Q170,$Q170,$H$5:$H170,"&lt;&gt;RESOLVIDA"),"")</f>
      </c>
    </row>
    <row r="171">
      <c r="A171" s="218" t="n"/>
      <c r="B171" s="218" t="n"/>
      <c r="C171" s="218" t="n"/>
      <c r="D171" s="298" t="n"/>
      <c r="E171" s="218" t="n"/>
      <c r="F171" s="220" t="n"/>
      <c r="G171" s="218" t="n"/>
      <c r="H171" s="218" t="n"/>
      <c r="I171" s="220" t="n"/>
      <c r="J171" s="269" t="n"/>
      <c r="K171" s="221">
        <f>IF(OR($B171="",$H171="RESOLVIDA",$M171="RISCO",AND($F171="",$U171="")),"",IF($U171&lt;&gt;"",$U171,$F171)-DATA_GESTAO)</f>
      </c>
      <c r="L171" s="222">
        <f>IF($B171="","",IF($H171="RESOLVIDA","RESOLVIDA",IF($M171="RISCO","RISCO",IF($K171="","SEM PRAZO",IF($K171&lt;0,"VENCIDA",IF($G171="","SEM DONO",IF($K171&lt;=7,"ESTA SEMANA",IF($K171&lt;=42,"PRÓXIMAS 6 SEMANAS","NO PRAZO"))))))))</f>
      </c>
      <c r="M171" s="218" t="n"/>
      <c r="N171" s="330" t="n"/>
      <c r="O171" s="321" t="n"/>
      <c r="P171" s="330" t="n"/>
      <c r="Q171" s="267">
        <f>IF($B171="","",IF(AND($N171="",$O171=""),IF($M171="RISCO","SEM BASE",""),IF(AND(ISNUMBER($N171),ISNUMBER($O171)),ROUND($N171*$O171/5,0),"SEM BASE")))</f>
      </c>
      <c r="R171" s="298" t="n"/>
      <c r="S171" s="298" t="n"/>
      <c r="T171" s="218" t="n"/>
      <c r="U171" s="220" t="n"/>
      <c r="V171" s="235" t="n"/>
      <c r="W171" s="221">
        <f>IF(AND(ISNUMBER($Q171),$H171&lt;&gt;"RESOLVIDA"),COUNTIFS($Q$5:$Q$204,"&gt;"&amp;$Q171,$H$5:$H$204,"&lt;&gt;RESOLVIDA")+COUNTIFS($Q$5:$Q171,$Q171,$H$5:$H171,"&lt;&gt;RESOLVIDA"),"")</f>
      </c>
    </row>
    <row r="172">
      <c r="A172" s="218" t="n"/>
      <c r="B172" s="218" t="n"/>
      <c r="C172" s="218" t="n"/>
      <c r="D172" s="298" t="n"/>
      <c r="E172" s="218" t="n"/>
      <c r="F172" s="220" t="n"/>
      <c r="G172" s="218" t="n"/>
      <c r="H172" s="218" t="n"/>
      <c r="I172" s="220" t="n"/>
      <c r="J172" s="269" t="n"/>
      <c r="K172" s="221">
        <f>IF(OR($B172="",$H172="RESOLVIDA",$M172="RISCO",AND($F172="",$U172="")),"",IF($U172&lt;&gt;"",$U172,$F172)-DATA_GESTAO)</f>
      </c>
      <c r="L172" s="222">
        <f>IF($B172="","",IF($H172="RESOLVIDA","RESOLVIDA",IF($M172="RISCO","RISCO",IF($K172="","SEM PRAZO",IF($K172&lt;0,"VENCIDA",IF($G172="","SEM DONO",IF($K172&lt;=7,"ESTA SEMANA",IF($K172&lt;=42,"PRÓXIMAS 6 SEMANAS","NO PRAZO"))))))))</f>
      </c>
      <c r="M172" s="218" t="n"/>
      <c r="N172" s="330" t="n"/>
      <c r="O172" s="321" t="n"/>
      <c r="P172" s="330" t="n"/>
      <c r="Q172" s="267">
        <f>IF($B172="","",IF(AND($N172="",$O172=""),IF($M172="RISCO","SEM BASE",""),IF(AND(ISNUMBER($N172),ISNUMBER($O172)),ROUND($N172*$O172/5,0),"SEM BASE")))</f>
      </c>
      <c r="R172" s="298" t="n"/>
      <c r="S172" s="298" t="n"/>
      <c r="T172" s="218" t="n"/>
      <c r="U172" s="220" t="n"/>
      <c r="V172" s="235" t="n"/>
      <c r="W172" s="221">
        <f>IF(AND(ISNUMBER($Q172),$H172&lt;&gt;"RESOLVIDA"),COUNTIFS($Q$5:$Q$204,"&gt;"&amp;$Q172,$H$5:$H$204,"&lt;&gt;RESOLVIDA")+COUNTIFS($Q$5:$Q172,$Q172,$H$5:$H172,"&lt;&gt;RESOLVIDA"),"")</f>
      </c>
    </row>
    <row r="173">
      <c r="A173" s="218" t="n"/>
      <c r="B173" s="218" t="n"/>
      <c r="C173" s="218" t="n"/>
      <c r="D173" s="298" t="n"/>
      <c r="E173" s="218" t="n"/>
      <c r="F173" s="220" t="n"/>
      <c r="G173" s="218" t="n"/>
      <c r="H173" s="218" t="n"/>
      <c r="I173" s="220" t="n"/>
      <c r="J173" s="269" t="n"/>
      <c r="K173" s="221">
        <f>IF(OR($B173="",$H173="RESOLVIDA",$M173="RISCO",AND($F173="",$U173="")),"",IF($U173&lt;&gt;"",$U173,$F173)-DATA_GESTAO)</f>
      </c>
      <c r="L173" s="222">
        <f>IF($B173="","",IF($H173="RESOLVIDA","RESOLVIDA",IF($M173="RISCO","RISCO",IF($K173="","SEM PRAZO",IF($K173&lt;0,"VENCIDA",IF($G173="","SEM DONO",IF($K173&lt;=7,"ESTA SEMANA",IF($K173&lt;=42,"PRÓXIMAS 6 SEMANAS","NO PRAZO"))))))))</f>
      </c>
      <c r="M173" s="218" t="n"/>
      <c r="N173" s="330" t="n"/>
      <c r="O173" s="321" t="n"/>
      <c r="P173" s="330" t="n"/>
      <c r="Q173" s="267">
        <f>IF($B173="","",IF(AND($N173="",$O173=""),IF($M173="RISCO","SEM BASE",""),IF(AND(ISNUMBER($N173),ISNUMBER($O173)),ROUND($N173*$O173/5,0),"SEM BASE")))</f>
      </c>
      <c r="R173" s="298" t="n"/>
      <c r="S173" s="298" t="n"/>
      <c r="T173" s="218" t="n"/>
      <c r="U173" s="220" t="n"/>
      <c r="V173" s="235" t="n"/>
      <c r="W173" s="221">
        <f>IF(AND(ISNUMBER($Q173),$H173&lt;&gt;"RESOLVIDA"),COUNTIFS($Q$5:$Q$204,"&gt;"&amp;$Q173,$H$5:$H$204,"&lt;&gt;RESOLVIDA")+COUNTIFS($Q$5:$Q173,$Q173,$H$5:$H173,"&lt;&gt;RESOLVIDA"),"")</f>
      </c>
    </row>
    <row r="174">
      <c r="A174" s="218" t="n"/>
      <c r="B174" s="218" t="n"/>
      <c r="C174" s="218" t="n"/>
      <c r="D174" s="298" t="n"/>
      <c r="E174" s="218" t="n"/>
      <c r="F174" s="220" t="n"/>
      <c r="G174" s="218" t="n"/>
      <c r="H174" s="218" t="n"/>
      <c r="I174" s="220" t="n"/>
      <c r="J174" s="269" t="n"/>
      <c r="K174" s="221">
        <f>IF(OR($B174="",$H174="RESOLVIDA",$M174="RISCO",AND($F174="",$U174="")),"",IF($U174&lt;&gt;"",$U174,$F174)-DATA_GESTAO)</f>
      </c>
      <c r="L174" s="222">
        <f>IF($B174="","",IF($H174="RESOLVIDA","RESOLVIDA",IF($M174="RISCO","RISCO",IF($K174="","SEM PRAZO",IF($K174&lt;0,"VENCIDA",IF($G174="","SEM DONO",IF($K174&lt;=7,"ESTA SEMANA",IF($K174&lt;=42,"PRÓXIMAS 6 SEMANAS","NO PRAZO"))))))))</f>
      </c>
      <c r="M174" s="218" t="n"/>
      <c r="N174" s="330" t="n"/>
      <c r="O174" s="321" t="n"/>
      <c r="P174" s="330" t="n"/>
      <c r="Q174" s="267">
        <f>IF($B174="","",IF(AND($N174="",$O174=""),IF($M174="RISCO","SEM BASE",""),IF(AND(ISNUMBER($N174),ISNUMBER($O174)),ROUND($N174*$O174/5,0),"SEM BASE")))</f>
      </c>
      <c r="R174" s="298" t="n"/>
      <c r="S174" s="298" t="n"/>
      <c r="T174" s="218" t="n"/>
      <c r="U174" s="220" t="n"/>
      <c r="V174" s="235" t="n"/>
      <c r="W174" s="221">
        <f>IF(AND(ISNUMBER($Q174),$H174&lt;&gt;"RESOLVIDA"),COUNTIFS($Q$5:$Q$204,"&gt;"&amp;$Q174,$H$5:$H$204,"&lt;&gt;RESOLVIDA")+COUNTIFS($Q$5:$Q174,$Q174,$H$5:$H174,"&lt;&gt;RESOLVIDA"),"")</f>
      </c>
    </row>
    <row r="175">
      <c r="A175" s="218" t="n"/>
      <c r="B175" s="218" t="n"/>
      <c r="C175" s="218" t="n"/>
      <c r="D175" s="298" t="n"/>
      <c r="E175" s="218" t="n"/>
      <c r="F175" s="220" t="n"/>
      <c r="G175" s="218" t="n"/>
      <c r="H175" s="218" t="n"/>
      <c r="I175" s="220" t="n"/>
      <c r="J175" s="269" t="n"/>
      <c r="K175" s="221">
        <f>IF(OR($B175="",$H175="RESOLVIDA",$M175="RISCO",AND($F175="",$U175="")),"",IF($U175&lt;&gt;"",$U175,$F175)-DATA_GESTAO)</f>
      </c>
      <c r="L175" s="222">
        <f>IF($B175="","",IF($H175="RESOLVIDA","RESOLVIDA",IF($M175="RISCO","RISCO",IF($K175="","SEM PRAZO",IF($K175&lt;0,"VENCIDA",IF($G175="","SEM DONO",IF($K175&lt;=7,"ESTA SEMANA",IF($K175&lt;=42,"PRÓXIMAS 6 SEMANAS","NO PRAZO"))))))))</f>
      </c>
      <c r="M175" s="218" t="n"/>
      <c r="N175" s="330" t="n"/>
      <c r="O175" s="321" t="n"/>
      <c r="P175" s="330" t="n"/>
      <c r="Q175" s="267">
        <f>IF($B175="","",IF(AND($N175="",$O175=""),IF($M175="RISCO","SEM BASE",""),IF(AND(ISNUMBER($N175),ISNUMBER($O175)),ROUND($N175*$O175/5,0),"SEM BASE")))</f>
      </c>
      <c r="R175" s="298" t="n"/>
      <c r="S175" s="298" t="n"/>
      <c r="T175" s="218" t="n"/>
      <c r="U175" s="220" t="n"/>
      <c r="V175" s="235" t="n"/>
      <c r="W175" s="221">
        <f>IF(AND(ISNUMBER($Q175),$H175&lt;&gt;"RESOLVIDA"),COUNTIFS($Q$5:$Q$204,"&gt;"&amp;$Q175,$H$5:$H$204,"&lt;&gt;RESOLVIDA")+COUNTIFS($Q$5:$Q175,$Q175,$H$5:$H175,"&lt;&gt;RESOLVIDA"),"")</f>
      </c>
    </row>
    <row r="176">
      <c r="A176" s="218" t="n"/>
      <c r="B176" s="218" t="n"/>
      <c r="C176" s="218" t="n"/>
      <c r="D176" s="298" t="n"/>
      <c r="E176" s="218" t="n"/>
      <c r="F176" s="220" t="n"/>
      <c r="G176" s="218" t="n"/>
      <c r="H176" s="218" t="n"/>
      <c r="I176" s="220" t="n"/>
      <c r="J176" s="269" t="n"/>
      <c r="K176" s="221">
        <f>IF(OR($B176="",$H176="RESOLVIDA",$M176="RISCO",AND($F176="",$U176="")),"",IF($U176&lt;&gt;"",$U176,$F176)-DATA_GESTAO)</f>
      </c>
      <c r="L176" s="222">
        <f>IF($B176="","",IF($H176="RESOLVIDA","RESOLVIDA",IF($M176="RISCO","RISCO",IF($K176="","SEM PRAZO",IF($K176&lt;0,"VENCIDA",IF($G176="","SEM DONO",IF($K176&lt;=7,"ESTA SEMANA",IF($K176&lt;=42,"PRÓXIMAS 6 SEMANAS","NO PRAZO"))))))))</f>
      </c>
      <c r="M176" s="218" t="n"/>
      <c r="N176" s="330" t="n"/>
      <c r="O176" s="321" t="n"/>
      <c r="P176" s="330" t="n"/>
      <c r="Q176" s="267">
        <f>IF($B176="","",IF(AND($N176="",$O176=""),IF($M176="RISCO","SEM BASE",""),IF(AND(ISNUMBER($N176),ISNUMBER($O176)),ROUND($N176*$O176/5,0),"SEM BASE")))</f>
      </c>
      <c r="R176" s="298" t="n"/>
      <c r="S176" s="298" t="n"/>
      <c r="T176" s="218" t="n"/>
      <c r="U176" s="220" t="n"/>
      <c r="V176" s="235" t="n"/>
      <c r="W176" s="221">
        <f>IF(AND(ISNUMBER($Q176),$H176&lt;&gt;"RESOLVIDA"),COUNTIFS($Q$5:$Q$204,"&gt;"&amp;$Q176,$H$5:$H$204,"&lt;&gt;RESOLVIDA")+COUNTIFS($Q$5:$Q176,$Q176,$H$5:$H176,"&lt;&gt;RESOLVIDA"),"")</f>
      </c>
    </row>
    <row r="177">
      <c r="A177" s="218" t="n"/>
      <c r="B177" s="218" t="n"/>
      <c r="C177" s="218" t="n"/>
      <c r="D177" s="298" t="n"/>
      <c r="E177" s="218" t="n"/>
      <c r="F177" s="220" t="n"/>
      <c r="G177" s="218" t="n"/>
      <c r="H177" s="218" t="n"/>
      <c r="I177" s="220" t="n"/>
      <c r="J177" s="269" t="n"/>
      <c r="K177" s="221">
        <f>IF(OR($B177="",$H177="RESOLVIDA",$M177="RISCO",AND($F177="",$U177="")),"",IF($U177&lt;&gt;"",$U177,$F177)-DATA_GESTAO)</f>
      </c>
      <c r="L177" s="222">
        <f>IF($B177="","",IF($H177="RESOLVIDA","RESOLVIDA",IF($M177="RISCO","RISCO",IF($K177="","SEM PRAZO",IF($K177&lt;0,"VENCIDA",IF($G177="","SEM DONO",IF($K177&lt;=7,"ESTA SEMANA",IF($K177&lt;=42,"PRÓXIMAS 6 SEMANAS","NO PRAZO"))))))))</f>
      </c>
      <c r="M177" s="218" t="n"/>
      <c r="N177" s="330" t="n"/>
      <c r="O177" s="321" t="n"/>
      <c r="P177" s="330" t="n"/>
      <c r="Q177" s="267">
        <f>IF($B177="","",IF(AND($N177="",$O177=""),IF($M177="RISCO","SEM BASE",""),IF(AND(ISNUMBER($N177),ISNUMBER($O177)),ROUND($N177*$O177/5,0),"SEM BASE")))</f>
      </c>
      <c r="R177" s="298" t="n"/>
      <c r="S177" s="298" t="n"/>
      <c r="T177" s="218" t="n"/>
      <c r="U177" s="220" t="n"/>
      <c r="V177" s="235" t="n"/>
      <c r="W177" s="221">
        <f>IF(AND(ISNUMBER($Q177),$H177&lt;&gt;"RESOLVIDA"),COUNTIFS($Q$5:$Q$204,"&gt;"&amp;$Q177,$H$5:$H$204,"&lt;&gt;RESOLVIDA")+COUNTIFS($Q$5:$Q177,$Q177,$H$5:$H177,"&lt;&gt;RESOLVIDA"),"")</f>
      </c>
    </row>
    <row r="178">
      <c r="A178" s="218" t="n"/>
      <c r="B178" s="218" t="n"/>
      <c r="C178" s="218" t="n"/>
      <c r="D178" s="298" t="n"/>
      <c r="E178" s="218" t="n"/>
      <c r="F178" s="220" t="n"/>
      <c r="G178" s="218" t="n"/>
      <c r="H178" s="218" t="n"/>
      <c r="I178" s="220" t="n"/>
      <c r="J178" s="269" t="n"/>
      <c r="K178" s="221">
        <f>IF(OR($B178="",$H178="RESOLVIDA",$M178="RISCO",AND($F178="",$U178="")),"",IF($U178&lt;&gt;"",$U178,$F178)-DATA_GESTAO)</f>
      </c>
      <c r="L178" s="222">
        <f>IF($B178="","",IF($H178="RESOLVIDA","RESOLVIDA",IF($M178="RISCO","RISCO",IF($K178="","SEM PRAZO",IF($K178&lt;0,"VENCIDA",IF($G178="","SEM DONO",IF($K178&lt;=7,"ESTA SEMANA",IF($K178&lt;=42,"PRÓXIMAS 6 SEMANAS","NO PRAZO"))))))))</f>
      </c>
      <c r="M178" s="218" t="n"/>
      <c r="N178" s="330" t="n"/>
      <c r="O178" s="321" t="n"/>
      <c r="P178" s="330" t="n"/>
      <c r="Q178" s="267">
        <f>IF($B178="","",IF(AND($N178="",$O178=""),IF($M178="RISCO","SEM BASE",""),IF(AND(ISNUMBER($N178),ISNUMBER($O178)),ROUND($N178*$O178/5,0),"SEM BASE")))</f>
      </c>
      <c r="R178" s="298" t="n"/>
      <c r="S178" s="298" t="n"/>
      <c r="T178" s="218" t="n"/>
      <c r="U178" s="220" t="n"/>
      <c r="V178" s="235" t="n"/>
      <c r="W178" s="221">
        <f>IF(AND(ISNUMBER($Q178),$H178&lt;&gt;"RESOLVIDA"),COUNTIFS($Q$5:$Q$204,"&gt;"&amp;$Q178,$H$5:$H$204,"&lt;&gt;RESOLVIDA")+COUNTIFS($Q$5:$Q178,$Q178,$H$5:$H178,"&lt;&gt;RESOLVIDA"),"")</f>
      </c>
    </row>
    <row r="179">
      <c r="A179" s="218" t="n"/>
      <c r="B179" s="218" t="n"/>
      <c r="C179" s="218" t="n"/>
      <c r="D179" s="298" t="n"/>
      <c r="E179" s="218" t="n"/>
      <c r="F179" s="220" t="n"/>
      <c r="G179" s="218" t="n"/>
      <c r="H179" s="218" t="n"/>
      <c r="I179" s="220" t="n"/>
      <c r="J179" s="269" t="n"/>
      <c r="K179" s="221">
        <f>IF(OR($B179="",$H179="RESOLVIDA",$M179="RISCO",AND($F179="",$U179="")),"",IF($U179&lt;&gt;"",$U179,$F179)-DATA_GESTAO)</f>
      </c>
      <c r="L179" s="222">
        <f>IF($B179="","",IF($H179="RESOLVIDA","RESOLVIDA",IF($M179="RISCO","RISCO",IF($K179="","SEM PRAZO",IF($K179&lt;0,"VENCIDA",IF($G179="","SEM DONO",IF($K179&lt;=7,"ESTA SEMANA",IF($K179&lt;=42,"PRÓXIMAS 6 SEMANAS","NO PRAZO"))))))))</f>
      </c>
      <c r="M179" s="218" t="n"/>
      <c r="N179" s="330" t="n"/>
      <c r="O179" s="321" t="n"/>
      <c r="P179" s="330" t="n"/>
      <c r="Q179" s="267">
        <f>IF($B179="","",IF(AND($N179="",$O179=""),IF($M179="RISCO","SEM BASE",""),IF(AND(ISNUMBER($N179),ISNUMBER($O179)),ROUND($N179*$O179/5,0),"SEM BASE")))</f>
      </c>
      <c r="R179" s="298" t="n"/>
      <c r="S179" s="298" t="n"/>
      <c r="T179" s="218" t="n"/>
      <c r="U179" s="220" t="n"/>
      <c r="V179" s="235" t="n"/>
      <c r="W179" s="221">
        <f>IF(AND(ISNUMBER($Q179),$H179&lt;&gt;"RESOLVIDA"),COUNTIFS($Q$5:$Q$204,"&gt;"&amp;$Q179,$H$5:$H$204,"&lt;&gt;RESOLVIDA")+COUNTIFS($Q$5:$Q179,$Q179,$H$5:$H179,"&lt;&gt;RESOLVIDA"),"")</f>
      </c>
    </row>
    <row r="180">
      <c r="A180" s="218" t="n"/>
      <c r="B180" s="218" t="n"/>
      <c r="C180" s="218" t="n"/>
      <c r="D180" s="298" t="n"/>
      <c r="E180" s="218" t="n"/>
      <c r="F180" s="220" t="n"/>
      <c r="G180" s="218" t="n"/>
      <c r="H180" s="218" t="n"/>
      <c r="I180" s="220" t="n"/>
      <c r="J180" s="269" t="n"/>
      <c r="K180" s="221">
        <f>IF(OR($B180="",$H180="RESOLVIDA",$M180="RISCO",AND($F180="",$U180="")),"",IF($U180&lt;&gt;"",$U180,$F180)-DATA_GESTAO)</f>
      </c>
      <c r="L180" s="222">
        <f>IF($B180="","",IF($H180="RESOLVIDA","RESOLVIDA",IF($M180="RISCO","RISCO",IF($K180="","SEM PRAZO",IF($K180&lt;0,"VENCIDA",IF($G180="","SEM DONO",IF($K180&lt;=7,"ESTA SEMANA",IF($K180&lt;=42,"PRÓXIMAS 6 SEMANAS","NO PRAZO"))))))))</f>
      </c>
      <c r="M180" s="218" t="n"/>
      <c r="N180" s="330" t="n"/>
      <c r="O180" s="321" t="n"/>
      <c r="P180" s="330" t="n"/>
      <c r="Q180" s="267">
        <f>IF($B180="","",IF(AND($N180="",$O180=""),IF($M180="RISCO","SEM BASE",""),IF(AND(ISNUMBER($N180),ISNUMBER($O180)),ROUND($N180*$O180/5,0),"SEM BASE")))</f>
      </c>
      <c r="R180" s="298" t="n"/>
      <c r="S180" s="298" t="n"/>
      <c r="T180" s="218" t="n"/>
      <c r="U180" s="220" t="n"/>
      <c r="V180" s="235" t="n"/>
      <c r="W180" s="221">
        <f>IF(AND(ISNUMBER($Q180),$H180&lt;&gt;"RESOLVIDA"),COUNTIFS($Q$5:$Q$204,"&gt;"&amp;$Q180,$H$5:$H$204,"&lt;&gt;RESOLVIDA")+COUNTIFS($Q$5:$Q180,$Q180,$H$5:$H180,"&lt;&gt;RESOLVIDA"),"")</f>
      </c>
    </row>
    <row r="181">
      <c r="A181" s="218" t="n"/>
      <c r="B181" s="218" t="n"/>
      <c r="C181" s="218" t="n"/>
      <c r="D181" s="298" t="n"/>
      <c r="E181" s="218" t="n"/>
      <c r="F181" s="220" t="n"/>
      <c r="G181" s="218" t="n"/>
      <c r="H181" s="218" t="n"/>
      <c r="I181" s="220" t="n"/>
      <c r="J181" s="269" t="n"/>
      <c r="K181" s="221">
        <f>IF(OR($B181="",$H181="RESOLVIDA",$M181="RISCO",AND($F181="",$U181="")),"",IF($U181&lt;&gt;"",$U181,$F181)-DATA_GESTAO)</f>
      </c>
      <c r="L181" s="222">
        <f>IF($B181="","",IF($H181="RESOLVIDA","RESOLVIDA",IF($M181="RISCO","RISCO",IF($K181="","SEM PRAZO",IF($K181&lt;0,"VENCIDA",IF($G181="","SEM DONO",IF($K181&lt;=7,"ESTA SEMANA",IF($K181&lt;=42,"PRÓXIMAS 6 SEMANAS","NO PRAZO"))))))))</f>
      </c>
      <c r="M181" s="218" t="n"/>
      <c r="N181" s="330" t="n"/>
      <c r="O181" s="321" t="n"/>
      <c r="P181" s="330" t="n"/>
      <c r="Q181" s="267">
        <f>IF($B181="","",IF(AND($N181="",$O181=""),IF($M181="RISCO","SEM BASE",""),IF(AND(ISNUMBER($N181),ISNUMBER($O181)),ROUND($N181*$O181/5,0),"SEM BASE")))</f>
      </c>
      <c r="R181" s="298" t="n"/>
      <c r="S181" s="298" t="n"/>
      <c r="T181" s="218" t="n"/>
      <c r="U181" s="220" t="n"/>
      <c r="V181" s="235" t="n"/>
      <c r="W181" s="221">
        <f>IF(AND(ISNUMBER($Q181),$H181&lt;&gt;"RESOLVIDA"),COUNTIFS($Q$5:$Q$204,"&gt;"&amp;$Q181,$H$5:$H$204,"&lt;&gt;RESOLVIDA")+COUNTIFS($Q$5:$Q181,$Q181,$H$5:$H181,"&lt;&gt;RESOLVIDA"),"")</f>
      </c>
    </row>
    <row r="182">
      <c r="A182" s="218" t="n"/>
      <c r="B182" s="218" t="n"/>
      <c r="C182" s="218" t="n"/>
      <c r="D182" s="298" t="n"/>
      <c r="E182" s="218" t="n"/>
      <c r="F182" s="220" t="n"/>
      <c r="G182" s="218" t="n"/>
      <c r="H182" s="218" t="n"/>
      <c r="I182" s="220" t="n"/>
      <c r="J182" s="269" t="n"/>
      <c r="K182" s="221">
        <f>IF(OR($B182="",$H182="RESOLVIDA",$M182="RISCO",AND($F182="",$U182="")),"",IF($U182&lt;&gt;"",$U182,$F182)-DATA_GESTAO)</f>
      </c>
      <c r="L182" s="222">
        <f>IF($B182="","",IF($H182="RESOLVIDA","RESOLVIDA",IF($M182="RISCO","RISCO",IF($K182="","SEM PRAZO",IF($K182&lt;0,"VENCIDA",IF($G182="","SEM DONO",IF($K182&lt;=7,"ESTA SEMANA",IF($K182&lt;=42,"PRÓXIMAS 6 SEMANAS","NO PRAZO"))))))))</f>
      </c>
      <c r="M182" s="218" t="n"/>
      <c r="N182" s="330" t="n"/>
      <c r="O182" s="321" t="n"/>
      <c r="P182" s="330" t="n"/>
      <c r="Q182" s="267">
        <f>IF($B182="","",IF(AND($N182="",$O182=""),IF($M182="RISCO","SEM BASE",""),IF(AND(ISNUMBER($N182),ISNUMBER($O182)),ROUND($N182*$O182/5,0),"SEM BASE")))</f>
      </c>
      <c r="R182" s="298" t="n"/>
      <c r="S182" s="298" t="n"/>
      <c r="T182" s="218" t="n"/>
      <c r="U182" s="220" t="n"/>
      <c r="V182" s="235" t="n"/>
      <c r="W182" s="221">
        <f>IF(AND(ISNUMBER($Q182),$H182&lt;&gt;"RESOLVIDA"),COUNTIFS($Q$5:$Q$204,"&gt;"&amp;$Q182,$H$5:$H$204,"&lt;&gt;RESOLVIDA")+COUNTIFS($Q$5:$Q182,$Q182,$H$5:$H182,"&lt;&gt;RESOLVIDA"),"")</f>
      </c>
    </row>
    <row r="183">
      <c r="A183" s="218" t="n"/>
      <c r="B183" s="218" t="n"/>
      <c r="C183" s="218" t="n"/>
      <c r="D183" s="298" t="n"/>
      <c r="E183" s="218" t="n"/>
      <c r="F183" s="220" t="n"/>
      <c r="G183" s="218" t="n"/>
      <c r="H183" s="218" t="n"/>
      <c r="I183" s="220" t="n"/>
      <c r="J183" s="269" t="n"/>
      <c r="K183" s="221">
        <f>IF(OR($B183="",$H183="RESOLVIDA",$M183="RISCO",AND($F183="",$U183="")),"",IF($U183&lt;&gt;"",$U183,$F183)-DATA_GESTAO)</f>
      </c>
      <c r="L183" s="222">
        <f>IF($B183="","",IF($H183="RESOLVIDA","RESOLVIDA",IF($M183="RISCO","RISCO",IF($K183="","SEM PRAZO",IF($K183&lt;0,"VENCIDA",IF($G183="","SEM DONO",IF($K183&lt;=7,"ESTA SEMANA",IF($K183&lt;=42,"PRÓXIMAS 6 SEMANAS","NO PRAZO"))))))))</f>
      </c>
      <c r="M183" s="218" t="n"/>
      <c r="N183" s="330" t="n"/>
      <c r="O183" s="321" t="n"/>
      <c r="P183" s="330" t="n"/>
      <c r="Q183" s="267">
        <f>IF($B183="","",IF(AND($N183="",$O183=""),IF($M183="RISCO","SEM BASE",""),IF(AND(ISNUMBER($N183),ISNUMBER($O183)),ROUND($N183*$O183/5,0),"SEM BASE")))</f>
      </c>
      <c r="R183" s="298" t="n"/>
      <c r="S183" s="298" t="n"/>
      <c r="T183" s="218" t="n"/>
      <c r="U183" s="220" t="n"/>
      <c r="V183" s="235" t="n"/>
      <c r="W183" s="221">
        <f>IF(AND(ISNUMBER($Q183),$H183&lt;&gt;"RESOLVIDA"),COUNTIFS($Q$5:$Q$204,"&gt;"&amp;$Q183,$H$5:$H$204,"&lt;&gt;RESOLVIDA")+COUNTIFS($Q$5:$Q183,$Q183,$H$5:$H183,"&lt;&gt;RESOLVIDA"),"")</f>
      </c>
    </row>
    <row r="184">
      <c r="A184" s="218" t="n"/>
      <c r="B184" s="218" t="n"/>
      <c r="C184" s="218" t="n"/>
      <c r="D184" s="298" t="n"/>
      <c r="E184" s="218" t="n"/>
      <c r="F184" s="220" t="n"/>
      <c r="G184" s="218" t="n"/>
      <c r="H184" s="218" t="n"/>
      <c r="I184" s="220" t="n"/>
      <c r="J184" s="269" t="n"/>
      <c r="K184" s="221">
        <f>IF(OR($B184="",$H184="RESOLVIDA",$M184="RISCO",AND($F184="",$U184="")),"",IF($U184&lt;&gt;"",$U184,$F184)-DATA_GESTAO)</f>
      </c>
      <c r="L184" s="222">
        <f>IF($B184="","",IF($H184="RESOLVIDA","RESOLVIDA",IF($M184="RISCO","RISCO",IF($K184="","SEM PRAZO",IF($K184&lt;0,"VENCIDA",IF($G184="","SEM DONO",IF($K184&lt;=7,"ESTA SEMANA",IF($K184&lt;=42,"PRÓXIMAS 6 SEMANAS","NO PRAZO"))))))))</f>
      </c>
      <c r="M184" s="218" t="n"/>
      <c r="N184" s="330" t="n"/>
      <c r="O184" s="321" t="n"/>
      <c r="P184" s="330" t="n"/>
      <c r="Q184" s="267">
        <f>IF($B184="","",IF(AND($N184="",$O184=""),IF($M184="RISCO","SEM BASE",""),IF(AND(ISNUMBER($N184),ISNUMBER($O184)),ROUND($N184*$O184/5,0),"SEM BASE")))</f>
      </c>
      <c r="R184" s="298" t="n"/>
      <c r="S184" s="298" t="n"/>
      <c r="T184" s="218" t="n"/>
      <c r="U184" s="220" t="n"/>
      <c r="V184" s="235" t="n"/>
      <c r="W184" s="221">
        <f>IF(AND(ISNUMBER($Q184),$H184&lt;&gt;"RESOLVIDA"),COUNTIFS($Q$5:$Q$204,"&gt;"&amp;$Q184,$H$5:$H$204,"&lt;&gt;RESOLVIDA")+COUNTIFS($Q$5:$Q184,$Q184,$H$5:$H184,"&lt;&gt;RESOLVIDA"),"")</f>
      </c>
    </row>
    <row r="185">
      <c r="A185" s="218" t="n"/>
      <c r="B185" s="218" t="n"/>
      <c r="C185" s="218" t="n"/>
      <c r="D185" s="298" t="n"/>
      <c r="E185" s="218" t="n"/>
      <c r="F185" s="220" t="n"/>
      <c r="G185" s="218" t="n"/>
      <c r="H185" s="218" t="n"/>
      <c r="I185" s="220" t="n"/>
      <c r="J185" s="269" t="n"/>
      <c r="K185" s="221">
        <f>IF(OR($B185="",$H185="RESOLVIDA",$M185="RISCO",AND($F185="",$U185="")),"",IF($U185&lt;&gt;"",$U185,$F185)-DATA_GESTAO)</f>
      </c>
      <c r="L185" s="222">
        <f>IF($B185="","",IF($H185="RESOLVIDA","RESOLVIDA",IF($M185="RISCO","RISCO",IF($K185="","SEM PRAZO",IF($K185&lt;0,"VENCIDA",IF($G185="","SEM DONO",IF($K185&lt;=7,"ESTA SEMANA",IF($K185&lt;=42,"PRÓXIMAS 6 SEMANAS","NO PRAZO"))))))))</f>
      </c>
      <c r="M185" s="218" t="n"/>
      <c r="N185" s="330" t="n"/>
      <c r="O185" s="321" t="n"/>
      <c r="P185" s="330" t="n"/>
      <c r="Q185" s="267">
        <f>IF($B185="","",IF(AND($N185="",$O185=""),IF($M185="RISCO","SEM BASE",""),IF(AND(ISNUMBER($N185),ISNUMBER($O185)),ROUND($N185*$O185/5,0),"SEM BASE")))</f>
      </c>
      <c r="R185" s="298" t="n"/>
      <c r="S185" s="298" t="n"/>
      <c r="T185" s="218" t="n"/>
      <c r="U185" s="220" t="n"/>
      <c r="V185" s="235" t="n"/>
      <c r="W185" s="221">
        <f>IF(AND(ISNUMBER($Q185),$H185&lt;&gt;"RESOLVIDA"),COUNTIFS($Q$5:$Q$204,"&gt;"&amp;$Q185,$H$5:$H$204,"&lt;&gt;RESOLVIDA")+COUNTIFS($Q$5:$Q185,$Q185,$H$5:$H185,"&lt;&gt;RESOLVIDA"),"")</f>
      </c>
    </row>
    <row r="186">
      <c r="A186" s="218" t="n"/>
      <c r="B186" s="218" t="n"/>
      <c r="C186" s="218" t="n"/>
      <c r="D186" s="298" t="n"/>
      <c r="E186" s="218" t="n"/>
      <c r="F186" s="220" t="n"/>
      <c r="G186" s="218" t="n"/>
      <c r="H186" s="218" t="n"/>
      <c r="I186" s="220" t="n"/>
      <c r="J186" s="269" t="n"/>
      <c r="K186" s="221">
        <f>IF(OR($B186="",$H186="RESOLVIDA",$M186="RISCO",AND($F186="",$U186="")),"",IF($U186&lt;&gt;"",$U186,$F186)-DATA_GESTAO)</f>
      </c>
      <c r="L186" s="222">
        <f>IF($B186="","",IF($H186="RESOLVIDA","RESOLVIDA",IF($M186="RISCO","RISCO",IF($K186="","SEM PRAZO",IF($K186&lt;0,"VENCIDA",IF($G186="","SEM DONO",IF($K186&lt;=7,"ESTA SEMANA",IF($K186&lt;=42,"PRÓXIMAS 6 SEMANAS","NO PRAZO"))))))))</f>
      </c>
      <c r="M186" s="218" t="n"/>
      <c r="N186" s="330" t="n"/>
      <c r="O186" s="321" t="n"/>
      <c r="P186" s="330" t="n"/>
      <c r="Q186" s="267">
        <f>IF($B186="","",IF(AND($N186="",$O186=""),IF($M186="RISCO","SEM BASE",""),IF(AND(ISNUMBER($N186),ISNUMBER($O186)),ROUND($N186*$O186/5,0),"SEM BASE")))</f>
      </c>
      <c r="R186" s="298" t="n"/>
      <c r="S186" s="298" t="n"/>
      <c r="T186" s="218" t="n"/>
      <c r="U186" s="220" t="n"/>
      <c r="V186" s="235" t="n"/>
      <c r="W186" s="221">
        <f>IF(AND(ISNUMBER($Q186),$H186&lt;&gt;"RESOLVIDA"),COUNTIFS($Q$5:$Q$204,"&gt;"&amp;$Q186,$H$5:$H$204,"&lt;&gt;RESOLVIDA")+COUNTIFS($Q$5:$Q186,$Q186,$H$5:$H186,"&lt;&gt;RESOLVIDA"),"")</f>
      </c>
    </row>
    <row r="187">
      <c r="A187" s="218" t="n"/>
      <c r="B187" s="218" t="n"/>
      <c r="C187" s="218" t="n"/>
      <c r="D187" s="298" t="n"/>
      <c r="E187" s="218" t="n"/>
      <c r="F187" s="220" t="n"/>
      <c r="G187" s="218" t="n"/>
      <c r="H187" s="218" t="n"/>
      <c r="I187" s="220" t="n"/>
      <c r="J187" s="269" t="n"/>
      <c r="K187" s="221">
        <f>IF(OR($B187="",$H187="RESOLVIDA",$M187="RISCO",AND($F187="",$U187="")),"",IF($U187&lt;&gt;"",$U187,$F187)-DATA_GESTAO)</f>
      </c>
      <c r="L187" s="222">
        <f>IF($B187="","",IF($H187="RESOLVIDA","RESOLVIDA",IF($M187="RISCO","RISCO",IF($K187="","SEM PRAZO",IF($K187&lt;0,"VENCIDA",IF($G187="","SEM DONO",IF($K187&lt;=7,"ESTA SEMANA",IF($K187&lt;=42,"PRÓXIMAS 6 SEMANAS","NO PRAZO"))))))))</f>
      </c>
      <c r="M187" s="218" t="n"/>
      <c r="N187" s="330" t="n"/>
      <c r="O187" s="321" t="n"/>
      <c r="P187" s="330" t="n"/>
      <c r="Q187" s="267">
        <f>IF($B187="","",IF(AND($N187="",$O187=""),IF($M187="RISCO","SEM BASE",""),IF(AND(ISNUMBER($N187),ISNUMBER($O187)),ROUND($N187*$O187/5,0),"SEM BASE")))</f>
      </c>
      <c r="R187" s="298" t="n"/>
      <c r="S187" s="298" t="n"/>
      <c r="T187" s="218" t="n"/>
      <c r="U187" s="220" t="n"/>
      <c r="V187" s="235" t="n"/>
      <c r="W187" s="221">
        <f>IF(AND(ISNUMBER($Q187),$H187&lt;&gt;"RESOLVIDA"),COUNTIFS($Q$5:$Q$204,"&gt;"&amp;$Q187,$H$5:$H$204,"&lt;&gt;RESOLVIDA")+COUNTIFS($Q$5:$Q187,$Q187,$H$5:$H187,"&lt;&gt;RESOLVIDA"),"")</f>
      </c>
    </row>
    <row r="188">
      <c r="A188" s="218" t="n"/>
      <c r="B188" s="218" t="n"/>
      <c r="C188" s="218" t="n"/>
      <c r="D188" s="298" t="n"/>
      <c r="E188" s="218" t="n"/>
      <c r="F188" s="220" t="n"/>
      <c r="G188" s="218" t="n"/>
      <c r="H188" s="218" t="n"/>
      <c r="I188" s="220" t="n"/>
      <c r="J188" s="269" t="n"/>
      <c r="K188" s="221">
        <f>IF(OR($B188="",$H188="RESOLVIDA",$M188="RISCO",AND($F188="",$U188="")),"",IF($U188&lt;&gt;"",$U188,$F188)-DATA_GESTAO)</f>
      </c>
      <c r="L188" s="222">
        <f>IF($B188="","",IF($H188="RESOLVIDA","RESOLVIDA",IF($M188="RISCO","RISCO",IF($K188="","SEM PRAZO",IF($K188&lt;0,"VENCIDA",IF($G188="","SEM DONO",IF($K188&lt;=7,"ESTA SEMANA",IF($K188&lt;=42,"PRÓXIMAS 6 SEMANAS","NO PRAZO"))))))))</f>
      </c>
      <c r="M188" s="218" t="n"/>
      <c r="N188" s="330" t="n"/>
      <c r="O188" s="321" t="n"/>
      <c r="P188" s="330" t="n"/>
      <c r="Q188" s="267">
        <f>IF($B188="","",IF(AND($N188="",$O188=""),IF($M188="RISCO","SEM BASE",""),IF(AND(ISNUMBER($N188),ISNUMBER($O188)),ROUND($N188*$O188/5,0),"SEM BASE")))</f>
      </c>
      <c r="R188" s="298" t="n"/>
      <c r="S188" s="298" t="n"/>
      <c r="T188" s="218" t="n"/>
      <c r="U188" s="220" t="n"/>
      <c r="V188" s="235" t="n"/>
      <c r="W188" s="221">
        <f>IF(AND(ISNUMBER($Q188),$H188&lt;&gt;"RESOLVIDA"),COUNTIFS($Q$5:$Q$204,"&gt;"&amp;$Q188,$H$5:$H$204,"&lt;&gt;RESOLVIDA")+COUNTIFS($Q$5:$Q188,$Q188,$H$5:$H188,"&lt;&gt;RESOLVIDA"),"")</f>
      </c>
    </row>
    <row r="189">
      <c r="A189" s="218" t="n"/>
      <c r="B189" s="218" t="n"/>
      <c r="C189" s="218" t="n"/>
      <c r="D189" s="298" t="n"/>
      <c r="E189" s="218" t="n"/>
      <c r="F189" s="220" t="n"/>
      <c r="G189" s="218" t="n"/>
      <c r="H189" s="218" t="n"/>
      <c r="I189" s="220" t="n"/>
      <c r="J189" s="269" t="n"/>
      <c r="K189" s="221">
        <f>IF(OR($B189="",$H189="RESOLVIDA",$M189="RISCO",AND($F189="",$U189="")),"",IF($U189&lt;&gt;"",$U189,$F189)-DATA_GESTAO)</f>
      </c>
      <c r="L189" s="222">
        <f>IF($B189="","",IF($H189="RESOLVIDA","RESOLVIDA",IF($M189="RISCO","RISCO",IF($K189="","SEM PRAZO",IF($K189&lt;0,"VENCIDA",IF($G189="","SEM DONO",IF($K189&lt;=7,"ESTA SEMANA",IF($K189&lt;=42,"PRÓXIMAS 6 SEMANAS","NO PRAZO"))))))))</f>
      </c>
      <c r="M189" s="218" t="n"/>
      <c r="N189" s="330" t="n"/>
      <c r="O189" s="321" t="n"/>
      <c r="P189" s="330" t="n"/>
      <c r="Q189" s="267">
        <f>IF($B189="","",IF(AND($N189="",$O189=""),IF($M189="RISCO","SEM BASE",""),IF(AND(ISNUMBER($N189),ISNUMBER($O189)),ROUND($N189*$O189/5,0),"SEM BASE")))</f>
      </c>
      <c r="R189" s="298" t="n"/>
      <c r="S189" s="298" t="n"/>
      <c r="T189" s="218" t="n"/>
      <c r="U189" s="220" t="n"/>
      <c r="V189" s="235" t="n"/>
      <c r="W189" s="221">
        <f>IF(AND(ISNUMBER($Q189),$H189&lt;&gt;"RESOLVIDA"),COUNTIFS($Q$5:$Q$204,"&gt;"&amp;$Q189,$H$5:$H$204,"&lt;&gt;RESOLVIDA")+COUNTIFS($Q$5:$Q189,$Q189,$H$5:$H189,"&lt;&gt;RESOLVIDA"),"")</f>
      </c>
    </row>
    <row r="190">
      <c r="A190" s="218" t="n"/>
      <c r="B190" s="218" t="n"/>
      <c r="C190" s="218" t="n"/>
      <c r="D190" s="298" t="n"/>
      <c r="E190" s="218" t="n"/>
      <c r="F190" s="220" t="n"/>
      <c r="G190" s="218" t="n"/>
      <c r="H190" s="218" t="n"/>
      <c r="I190" s="220" t="n"/>
      <c r="J190" s="269" t="n"/>
      <c r="K190" s="221">
        <f>IF(OR($B190="",$H190="RESOLVIDA",$M190="RISCO",AND($F190="",$U190="")),"",IF($U190&lt;&gt;"",$U190,$F190)-DATA_GESTAO)</f>
      </c>
      <c r="L190" s="222">
        <f>IF($B190="","",IF($H190="RESOLVIDA","RESOLVIDA",IF($M190="RISCO","RISCO",IF($K190="","SEM PRAZO",IF($K190&lt;0,"VENCIDA",IF($G190="","SEM DONO",IF($K190&lt;=7,"ESTA SEMANA",IF($K190&lt;=42,"PRÓXIMAS 6 SEMANAS","NO PRAZO"))))))))</f>
      </c>
      <c r="M190" s="218" t="n"/>
      <c r="N190" s="330" t="n"/>
      <c r="O190" s="321" t="n"/>
      <c r="P190" s="330" t="n"/>
      <c r="Q190" s="267">
        <f>IF($B190="","",IF(AND($N190="",$O190=""),IF($M190="RISCO","SEM BASE",""),IF(AND(ISNUMBER($N190),ISNUMBER($O190)),ROUND($N190*$O190/5,0),"SEM BASE")))</f>
      </c>
      <c r="R190" s="298" t="n"/>
      <c r="S190" s="298" t="n"/>
      <c r="T190" s="218" t="n"/>
      <c r="U190" s="220" t="n"/>
      <c r="V190" s="235" t="n"/>
      <c r="W190" s="221">
        <f>IF(AND(ISNUMBER($Q190),$H190&lt;&gt;"RESOLVIDA"),COUNTIFS($Q$5:$Q$204,"&gt;"&amp;$Q190,$H$5:$H$204,"&lt;&gt;RESOLVIDA")+COUNTIFS($Q$5:$Q190,$Q190,$H$5:$H190,"&lt;&gt;RESOLVIDA"),"")</f>
      </c>
    </row>
    <row r="191">
      <c r="A191" s="218" t="n"/>
      <c r="B191" s="218" t="n"/>
      <c r="C191" s="218" t="n"/>
      <c r="D191" s="298" t="n"/>
      <c r="E191" s="218" t="n"/>
      <c r="F191" s="220" t="n"/>
      <c r="G191" s="218" t="n"/>
      <c r="H191" s="218" t="n"/>
      <c r="I191" s="220" t="n"/>
      <c r="J191" s="269" t="n"/>
      <c r="K191" s="221">
        <f>IF(OR($B191="",$H191="RESOLVIDA",$M191="RISCO",AND($F191="",$U191="")),"",IF($U191&lt;&gt;"",$U191,$F191)-DATA_GESTAO)</f>
      </c>
      <c r="L191" s="222">
        <f>IF($B191="","",IF($H191="RESOLVIDA","RESOLVIDA",IF($M191="RISCO","RISCO",IF($K191="","SEM PRAZO",IF($K191&lt;0,"VENCIDA",IF($G191="","SEM DONO",IF($K191&lt;=7,"ESTA SEMANA",IF($K191&lt;=42,"PRÓXIMAS 6 SEMANAS","NO PRAZO"))))))))</f>
      </c>
      <c r="M191" s="218" t="n"/>
      <c r="N191" s="330" t="n"/>
      <c r="O191" s="321" t="n"/>
      <c r="P191" s="330" t="n"/>
      <c r="Q191" s="267">
        <f>IF($B191="","",IF(AND($N191="",$O191=""),IF($M191="RISCO","SEM BASE",""),IF(AND(ISNUMBER($N191),ISNUMBER($O191)),ROUND($N191*$O191/5,0),"SEM BASE")))</f>
      </c>
      <c r="R191" s="298" t="n"/>
      <c r="S191" s="298" t="n"/>
      <c r="T191" s="218" t="n"/>
      <c r="U191" s="220" t="n"/>
      <c r="V191" s="235" t="n"/>
      <c r="W191" s="221">
        <f>IF(AND(ISNUMBER($Q191),$H191&lt;&gt;"RESOLVIDA"),COUNTIFS($Q$5:$Q$204,"&gt;"&amp;$Q191,$H$5:$H$204,"&lt;&gt;RESOLVIDA")+COUNTIFS($Q$5:$Q191,$Q191,$H$5:$H191,"&lt;&gt;RESOLVIDA"),"")</f>
      </c>
    </row>
    <row r="192">
      <c r="A192" s="218" t="n"/>
      <c r="B192" s="218" t="n"/>
      <c r="C192" s="218" t="n"/>
      <c r="D192" s="298" t="n"/>
      <c r="E192" s="218" t="n"/>
      <c r="F192" s="220" t="n"/>
      <c r="G192" s="218" t="n"/>
      <c r="H192" s="218" t="n"/>
      <c r="I192" s="220" t="n"/>
      <c r="J192" s="269" t="n"/>
      <c r="K192" s="221">
        <f>IF(OR($B192="",$H192="RESOLVIDA",$M192="RISCO",AND($F192="",$U192="")),"",IF($U192&lt;&gt;"",$U192,$F192)-DATA_GESTAO)</f>
      </c>
      <c r="L192" s="222">
        <f>IF($B192="","",IF($H192="RESOLVIDA","RESOLVIDA",IF($M192="RISCO","RISCO",IF($K192="","SEM PRAZO",IF($K192&lt;0,"VENCIDA",IF($G192="","SEM DONO",IF($K192&lt;=7,"ESTA SEMANA",IF($K192&lt;=42,"PRÓXIMAS 6 SEMANAS","NO PRAZO"))))))))</f>
      </c>
      <c r="M192" s="218" t="n"/>
      <c r="N192" s="330" t="n"/>
      <c r="O192" s="321" t="n"/>
      <c r="P192" s="330" t="n"/>
      <c r="Q192" s="267">
        <f>IF($B192="","",IF(AND($N192="",$O192=""),IF($M192="RISCO","SEM BASE",""),IF(AND(ISNUMBER($N192),ISNUMBER($O192)),ROUND($N192*$O192/5,0),"SEM BASE")))</f>
      </c>
      <c r="R192" s="298" t="n"/>
      <c r="S192" s="298" t="n"/>
      <c r="T192" s="218" t="n"/>
      <c r="U192" s="220" t="n"/>
      <c r="V192" s="235" t="n"/>
      <c r="W192" s="221">
        <f>IF(AND(ISNUMBER($Q192),$H192&lt;&gt;"RESOLVIDA"),COUNTIFS($Q$5:$Q$204,"&gt;"&amp;$Q192,$H$5:$H$204,"&lt;&gt;RESOLVIDA")+COUNTIFS($Q$5:$Q192,$Q192,$H$5:$H192,"&lt;&gt;RESOLVIDA"),"")</f>
      </c>
    </row>
    <row r="193">
      <c r="A193" s="218" t="n"/>
      <c r="B193" s="218" t="n"/>
      <c r="C193" s="218" t="n"/>
      <c r="D193" s="298" t="n"/>
      <c r="E193" s="218" t="n"/>
      <c r="F193" s="220" t="n"/>
      <c r="G193" s="218" t="n"/>
      <c r="H193" s="218" t="n"/>
      <c r="I193" s="220" t="n"/>
      <c r="J193" s="269" t="n"/>
      <c r="K193" s="221">
        <f>IF(OR($B193="",$H193="RESOLVIDA",$M193="RISCO",AND($F193="",$U193="")),"",IF($U193&lt;&gt;"",$U193,$F193)-DATA_GESTAO)</f>
      </c>
      <c r="L193" s="222">
        <f>IF($B193="","",IF($H193="RESOLVIDA","RESOLVIDA",IF($M193="RISCO","RISCO",IF($K193="","SEM PRAZO",IF($K193&lt;0,"VENCIDA",IF($G193="","SEM DONO",IF($K193&lt;=7,"ESTA SEMANA",IF($K193&lt;=42,"PRÓXIMAS 6 SEMANAS","NO PRAZO"))))))))</f>
      </c>
      <c r="M193" s="218" t="n"/>
      <c r="N193" s="330" t="n"/>
      <c r="O193" s="321" t="n"/>
      <c r="P193" s="330" t="n"/>
      <c r="Q193" s="267">
        <f>IF($B193="","",IF(AND($N193="",$O193=""),IF($M193="RISCO","SEM BASE",""),IF(AND(ISNUMBER($N193),ISNUMBER($O193)),ROUND($N193*$O193/5,0),"SEM BASE")))</f>
      </c>
      <c r="R193" s="298" t="n"/>
      <c r="S193" s="298" t="n"/>
      <c r="T193" s="218" t="n"/>
      <c r="U193" s="220" t="n"/>
      <c r="V193" s="235" t="n"/>
      <c r="W193" s="221">
        <f>IF(AND(ISNUMBER($Q193),$H193&lt;&gt;"RESOLVIDA"),COUNTIFS($Q$5:$Q$204,"&gt;"&amp;$Q193,$H$5:$H$204,"&lt;&gt;RESOLVIDA")+COUNTIFS($Q$5:$Q193,$Q193,$H$5:$H193,"&lt;&gt;RESOLVIDA"),"")</f>
      </c>
    </row>
    <row r="194">
      <c r="A194" s="218" t="n"/>
      <c r="B194" s="218" t="n"/>
      <c r="C194" s="218" t="n"/>
      <c r="D194" s="298" t="n"/>
      <c r="E194" s="218" t="n"/>
      <c r="F194" s="220" t="n"/>
      <c r="G194" s="218" t="n"/>
      <c r="H194" s="218" t="n"/>
      <c r="I194" s="220" t="n"/>
      <c r="J194" s="269" t="n"/>
      <c r="K194" s="221">
        <f>IF(OR($B194="",$H194="RESOLVIDA",$M194="RISCO",AND($F194="",$U194="")),"",IF($U194&lt;&gt;"",$U194,$F194)-DATA_GESTAO)</f>
      </c>
      <c r="L194" s="222">
        <f>IF($B194="","",IF($H194="RESOLVIDA","RESOLVIDA",IF($M194="RISCO","RISCO",IF($K194="","SEM PRAZO",IF($K194&lt;0,"VENCIDA",IF($G194="","SEM DONO",IF($K194&lt;=7,"ESTA SEMANA",IF($K194&lt;=42,"PRÓXIMAS 6 SEMANAS","NO PRAZO"))))))))</f>
      </c>
      <c r="M194" s="218" t="n"/>
      <c r="N194" s="330" t="n"/>
      <c r="O194" s="321" t="n"/>
      <c r="P194" s="330" t="n"/>
      <c r="Q194" s="267">
        <f>IF($B194="","",IF(AND($N194="",$O194=""),IF($M194="RISCO","SEM BASE",""),IF(AND(ISNUMBER($N194),ISNUMBER($O194)),ROUND($N194*$O194/5,0),"SEM BASE")))</f>
      </c>
      <c r="R194" s="298" t="n"/>
      <c r="S194" s="298" t="n"/>
      <c r="T194" s="218" t="n"/>
      <c r="U194" s="220" t="n"/>
      <c r="V194" s="235" t="n"/>
      <c r="W194" s="221">
        <f>IF(AND(ISNUMBER($Q194),$H194&lt;&gt;"RESOLVIDA"),COUNTIFS($Q$5:$Q$204,"&gt;"&amp;$Q194,$H$5:$H$204,"&lt;&gt;RESOLVIDA")+COUNTIFS($Q$5:$Q194,$Q194,$H$5:$H194,"&lt;&gt;RESOLVIDA"),"")</f>
      </c>
    </row>
    <row r="195">
      <c r="A195" s="218" t="n"/>
      <c r="B195" s="218" t="n"/>
      <c r="C195" s="218" t="n"/>
      <c r="D195" s="298" t="n"/>
      <c r="E195" s="218" t="n"/>
      <c r="F195" s="220" t="n"/>
      <c r="G195" s="218" t="n"/>
      <c r="H195" s="218" t="n"/>
      <c r="I195" s="220" t="n"/>
      <c r="J195" s="269" t="n"/>
      <c r="K195" s="221">
        <f>IF(OR($B195="",$H195="RESOLVIDA",$M195="RISCO",AND($F195="",$U195="")),"",IF($U195&lt;&gt;"",$U195,$F195)-DATA_GESTAO)</f>
      </c>
      <c r="L195" s="222">
        <f>IF($B195="","",IF($H195="RESOLVIDA","RESOLVIDA",IF($M195="RISCO","RISCO",IF($K195="","SEM PRAZO",IF($K195&lt;0,"VENCIDA",IF($G195="","SEM DONO",IF($K195&lt;=7,"ESTA SEMANA",IF($K195&lt;=42,"PRÓXIMAS 6 SEMANAS","NO PRAZO"))))))))</f>
      </c>
      <c r="M195" s="218" t="n"/>
      <c r="N195" s="330" t="n"/>
      <c r="O195" s="321" t="n"/>
      <c r="P195" s="330" t="n"/>
      <c r="Q195" s="267">
        <f>IF($B195="","",IF(AND($N195="",$O195=""),IF($M195="RISCO","SEM BASE",""),IF(AND(ISNUMBER($N195),ISNUMBER($O195)),ROUND($N195*$O195/5,0),"SEM BASE")))</f>
      </c>
      <c r="R195" s="298" t="n"/>
      <c r="S195" s="298" t="n"/>
      <c r="T195" s="218" t="n"/>
      <c r="U195" s="220" t="n"/>
      <c r="V195" s="235" t="n"/>
      <c r="W195" s="221">
        <f>IF(AND(ISNUMBER($Q195),$H195&lt;&gt;"RESOLVIDA"),COUNTIFS($Q$5:$Q$204,"&gt;"&amp;$Q195,$H$5:$H$204,"&lt;&gt;RESOLVIDA")+COUNTIFS($Q$5:$Q195,$Q195,$H$5:$H195,"&lt;&gt;RESOLVIDA"),"")</f>
      </c>
    </row>
    <row r="196">
      <c r="A196" s="218" t="n"/>
      <c r="B196" s="218" t="n"/>
      <c r="C196" s="218" t="n"/>
      <c r="D196" s="298" t="n"/>
      <c r="E196" s="218" t="n"/>
      <c r="F196" s="220" t="n"/>
      <c r="G196" s="218" t="n"/>
      <c r="H196" s="218" t="n"/>
      <c r="I196" s="220" t="n"/>
      <c r="J196" s="269" t="n"/>
      <c r="K196" s="221">
        <f>IF(OR($B196="",$H196="RESOLVIDA",$M196="RISCO",AND($F196="",$U196="")),"",IF($U196&lt;&gt;"",$U196,$F196)-DATA_GESTAO)</f>
      </c>
      <c r="L196" s="222">
        <f>IF($B196="","",IF($H196="RESOLVIDA","RESOLVIDA",IF($M196="RISCO","RISCO",IF($K196="","SEM PRAZO",IF($K196&lt;0,"VENCIDA",IF($G196="","SEM DONO",IF($K196&lt;=7,"ESTA SEMANA",IF($K196&lt;=42,"PRÓXIMAS 6 SEMANAS","NO PRAZO"))))))))</f>
      </c>
      <c r="M196" s="218" t="n"/>
      <c r="N196" s="330" t="n"/>
      <c r="O196" s="321" t="n"/>
      <c r="P196" s="330" t="n"/>
      <c r="Q196" s="267">
        <f>IF($B196="","",IF(AND($N196="",$O196=""),IF($M196="RISCO","SEM BASE",""),IF(AND(ISNUMBER($N196),ISNUMBER($O196)),ROUND($N196*$O196/5,0),"SEM BASE")))</f>
      </c>
      <c r="R196" s="298" t="n"/>
      <c r="S196" s="298" t="n"/>
      <c r="T196" s="218" t="n"/>
      <c r="U196" s="220" t="n"/>
      <c r="V196" s="235" t="n"/>
      <c r="W196" s="221">
        <f>IF(AND(ISNUMBER($Q196),$H196&lt;&gt;"RESOLVIDA"),COUNTIFS($Q$5:$Q$204,"&gt;"&amp;$Q196,$H$5:$H$204,"&lt;&gt;RESOLVIDA")+COUNTIFS($Q$5:$Q196,$Q196,$H$5:$H196,"&lt;&gt;RESOLVIDA"),"")</f>
      </c>
    </row>
    <row r="197">
      <c r="A197" s="218" t="n"/>
      <c r="B197" s="218" t="n"/>
      <c r="C197" s="218" t="n"/>
      <c r="D197" s="298" t="n"/>
      <c r="E197" s="218" t="n"/>
      <c r="F197" s="220" t="n"/>
      <c r="G197" s="218" t="n"/>
      <c r="H197" s="218" t="n"/>
      <c r="I197" s="220" t="n"/>
      <c r="J197" s="269" t="n"/>
      <c r="K197" s="221">
        <f>IF(OR($B197="",$H197="RESOLVIDA",$M197="RISCO",AND($F197="",$U197="")),"",IF($U197&lt;&gt;"",$U197,$F197)-DATA_GESTAO)</f>
      </c>
      <c r="L197" s="222">
        <f>IF($B197="","",IF($H197="RESOLVIDA","RESOLVIDA",IF($M197="RISCO","RISCO",IF($K197="","SEM PRAZO",IF($K197&lt;0,"VENCIDA",IF($G197="","SEM DONO",IF($K197&lt;=7,"ESTA SEMANA",IF($K197&lt;=42,"PRÓXIMAS 6 SEMANAS","NO PRAZO"))))))))</f>
      </c>
      <c r="M197" s="218" t="n"/>
      <c r="N197" s="330" t="n"/>
      <c r="O197" s="321" t="n"/>
      <c r="P197" s="330" t="n"/>
      <c r="Q197" s="267">
        <f>IF($B197="","",IF(AND($N197="",$O197=""),IF($M197="RISCO","SEM BASE",""),IF(AND(ISNUMBER($N197),ISNUMBER($O197)),ROUND($N197*$O197/5,0),"SEM BASE")))</f>
      </c>
      <c r="R197" s="298" t="n"/>
      <c r="S197" s="298" t="n"/>
      <c r="T197" s="218" t="n"/>
      <c r="U197" s="220" t="n"/>
      <c r="V197" s="235" t="n"/>
      <c r="W197" s="221">
        <f>IF(AND(ISNUMBER($Q197),$H197&lt;&gt;"RESOLVIDA"),COUNTIFS($Q$5:$Q$204,"&gt;"&amp;$Q197,$H$5:$H$204,"&lt;&gt;RESOLVIDA")+COUNTIFS($Q$5:$Q197,$Q197,$H$5:$H197,"&lt;&gt;RESOLVIDA"),"")</f>
      </c>
    </row>
    <row r="198">
      <c r="A198" s="218" t="n"/>
      <c r="B198" s="218" t="n"/>
      <c r="C198" s="218" t="n"/>
      <c r="D198" s="298" t="n"/>
      <c r="E198" s="218" t="n"/>
      <c r="F198" s="220" t="n"/>
      <c r="G198" s="218" t="n"/>
      <c r="H198" s="218" t="n"/>
      <c r="I198" s="220" t="n"/>
      <c r="J198" s="269" t="n"/>
      <c r="K198" s="221">
        <f>IF(OR($B198="",$H198="RESOLVIDA",$M198="RISCO",AND($F198="",$U198="")),"",IF($U198&lt;&gt;"",$U198,$F198)-DATA_GESTAO)</f>
      </c>
      <c r="L198" s="222">
        <f>IF($B198="","",IF($H198="RESOLVIDA","RESOLVIDA",IF($M198="RISCO","RISCO",IF($K198="","SEM PRAZO",IF($K198&lt;0,"VENCIDA",IF($G198="","SEM DONO",IF($K198&lt;=7,"ESTA SEMANA",IF($K198&lt;=42,"PRÓXIMAS 6 SEMANAS","NO PRAZO"))))))))</f>
      </c>
      <c r="M198" s="218" t="n"/>
      <c r="N198" s="330" t="n"/>
      <c r="O198" s="321" t="n"/>
      <c r="P198" s="330" t="n"/>
      <c r="Q198" s="267">
        <f>IF($B198="","",IF(AND($N198="",$O198=""),IF($M198="RISCO","SEM BASE",""),IF(AND(ISNUMBER($N198),ISNUMBER($O198)),ROUND($N198*$O198/5,0),"SEM BASE")))</f>
      </c>
      <c r="R198" s="298" t="n"/>
      <c r="S198" s="298" t="n"/>
      <c r="T198" s="218" t="n"/>
      <c r="U198" s="220" t="n"/>
      <c r="V198" s="235" t="n"/>
      <c r="W198" s="221">
        <f>IF(AND(ISNUMBER($Q198),$H198&lt;&gt;"RESOLVIDA"),COUNTIFS($Q$5:$Q$204,"&gt;"&amp;$Q198,$H$5:$H$204,"&lt;&gt;RESOLVIDA")+COUNTIFS($Q$5:$Q198,$Q198,$H$5:$H198,"&lt;&gt;RESOLVIDA"),"")</f>
      </c>
    </row>
    <row r="199">
      <c r="A199" s="218" t="n"/>
      <c r="B199" s="218" t="n"/>
      <c r="C199" s="218" t="n"/>
      <c r="D199" s="298" t="n"/>
      <c r="E199" s="218" t="n"/>
      <c r="F199" s="220" t="n"/>
      <c r="G199" s="218" t="n"/>
      <c r="H199" s="218" t="n"/>
      <c r="I199" s="220" t="n"/>
      <c r="J199" s="269" t="n"/>
      <c r="K199" s="221">
        <f>IF(OR($B199="",$H199="RESOLVIDA",$M199="RISCO",AND($F199="",$U199="")),"",IF($U199&lt;&gt;"",$U199,$F199)-DATA_GESTAO)</f>
      </c>
      <c r="L199" s="222">
        <f>IF($B199="","",IF($H199="RESOLVIDA","RESOLVIDA",IF($M199="RISCO","RISCO",IF($K199="","SEM PRAZO",IF($K199&lt;0,"VENCIDA",IF($G199="","SEM DONO",IF($K199&lt;=7,"ESTA SEMANA",IF($K199&lt;=42,"PRÓXIMAS 6 SEMANAS","NO PRAZO"))))))))</f>
      </c>
      <c r="M199" s="218" t="n"/>
      <c r="N199" s="330" t="n"/>
      <c r="O199" s="321" t="n"/>
      <c r="P199" s="330" t="n"/>
      <c r="Q199" s="267">
        <f>IF($B199="","",IF(AND($N199="",$O199=""),IF($M199="RISCO","SEM BASE",""),IF(AND(ISNUMBER($N199),ISNUMBER($O199)),ROUND($N199*$O199/5,0),"SEM BASE")))</f>
      </c>
      <c r="R199" s="298" t="n"/>
      <c r="S199" s="298" t="n"/>
      <c r="T199" s="218" t="n"/>
      <c r="U199" s="220" t="n"/>
      <c r="V199" s="235" t="n"/>
      <c r="W199" s="221">
        <f>IF(AND(ISNUMBER($Q199),$H199&lt;&gt;"RESOLVIDA"),COUNTIFS($Q$5:$Q$204,"&gt;"&amp;$Q199,$H$5:$H$204,"&lt;&gt;RESOLVIDA")+COUNTIFS($Q$5:$Q199,$Q199,$H$5:$H199,"&lt;&gt;RESOLVIDA"),"")</f>
      </c>
    </row>
    <row r="200">
      <c r="A200" s="218" t="n"/>
      <c r="B200" s="218" t="n"/>
      <c r="C200" s="218" t="n"/>
      <c r="D200" s="298" t="n"/>
      <c r="E200" s="218" t="n"/>
      <c r="F200" s="220" t="n"/>
      <c r="G200" s="218" t="n"/>
      <c r="H200" s="218" t="n"/>
      <c r="I200" s="220" t="n"/>
      <c r="J200" s="269" t="n"/>
      <c r="K200" s="221">
        <f>IF(OR($B200="",$H200="RESOLVIDA",$M200="RISCO",AND($F200="",$U200="")),"",IF($U200&lt;&gt;"",$U200,$F200)-DATA_GESTAO)</f>
      </c>
      <c r="L200" s="222">
        <f>IF($B200="","",IF($H200="RESOLVIDA","RESOLVIDA",IF($M200="RISCO","RISCO",IF($K200="","SEM PRAZO",IF($K200&lt;0,"VENCIDA",IF($G200="","SEM DONO",IF($K200&lt;=7,"ESTA SEMANA",IF($K200&lt;=42,"PRÓXIMAS 6 SEMANAS","NO PRAZO"))))))))</f>
      </c>
      <c r="M200" s="218" t="n"/>
      <c r="N200" s="330" t="n"/>
      <c r="O200" s="321" t="n"/>
      <c r="P200" s="330" t="n"/>
      <c r="Q200" s="267">
        <f>IF($B200="","",IF(AND($N200="",$O200=""),IF($M200="RISCO","SEM BASE",""),IF(AND(ISNUMBER($N200),ISNUMBER($O200)),ROUND($N200*$O200/5,0),"SEM BASE")))</f>
      </c>
      <c r="R200" s="298" t="n"/>
      <c r="S200" s="298" t="n"/>
      <c r="T200" s="218" t="n"/>
      <c r="U200" s="220" t="n"/>
      <c r="V200" s="235" t="n"/>
      <c r="W200" s="221">
        <f>IF(AND(ISNUMBER($Q200),$H200&lt;&gt;"RESOLVIDA"),COUNTIFS($Q$5:$Q$204,"&gt;"&amp;$Q200,$H$5:$H$204,"&lt;&gt;RESOLVIDA")+COUNTIFS($Q$5:$Q200,$Q200,$H$5:$H200,"&lt;&gt;RESOLVIDA"),"")</f>
      </c>
    </row>
    <row r="201">
      <c r="A201" s="218" t="n"/>
      <c r="B201" s="218" t="n"/>
      <c r="C201" s="218" t="n"/>
      <c r="D201" s="298" t="n"/>
      <c r="E201" s="218" t="n"/>
      <c r="F201" s="220" t="n"/>
      <c r="G201" s="218" t="n"/>
      <c r="H201" s="218" t="n"/>
      <c r="I201" s="220" t="n"/>
      <c r="J201" s="269" t="n"/>
      <c r="K201" s="221">
        <f>IF(OR($B201="",$H201="RESOLVIDA",$M201="RISCO",AND($F201="",$U201="")),"",IF($U201&lt;&gt;"",$U201,$F201)-DATA_GESTAO)</f>
      </c>
      <c r="L201" s="222">
        <f>IF($B201="","",IF($H201="RESOLVIDA","RESOLVIDA",IF($M201="RISCO","RISCO",IF($K201="","SEM PRAZO",IF($K201&lt;0,"VENCIDA",IF($G201="","SEM DONO",IF($K201&lt;=7,"ESTA SEMANA",IF($K201&lt;=42,"PRÓXIMAS 6 SEMANAS","NO PRAZO"))))))))</f>
      </c>
      <c r="M201" s="218" t="n"/>
      <c r="N201" s="330" t="n"/>
      <c r="O201" s="321" t="n"/>
      <c r="P201" s="330" t="n"/>
      <c r="Q201" s="267">
        <f>IF($B201="","",IF(AND($N201="",$O201=""),IF($M201="RISCO","SEM BASE",""),IF(AND(ISNUMBER($N201),ISNUMBER($O201)),ROUND($N201*$O201/5,0),"SEM BASE")))</f>
      </c>
      <c r="R201" s="298" t="n"/>
      <c r="S201" s="298" t="n"/>
      <c r="T201" s="218" t="n"/>
      <c r="U201" s="220" t="n"/>
      <c r="V201" s="235" t="n"/>
      <c r="W201" s="221">
        <f>IF(AND(ISNUMBER($Q201),$H201&lt;&gt;"RESOLVIDA"),COUNTIFS($Q$5:$Q$204,"&gt;"&amp;$Q201,$H$5:$H$204,"&lt;&gt;RESOLVIDA")+COUNTIFS($Q$5:$Q201,$Q201,$H$5:$H201,"&lt;&gt;RESOLVIDA"),"")</f>
      </c>
    </row>
    <row r="202">
      <c r="A202" s="218" t="n"/>
      <c r="B202" s="218" t="n"/>
      <c r="C202" s="218" t="n"/>
      <c r="D202" s="298" t="n"/>
      <c r="E202" s="218" t="n"/>
      <c r="F202" s="220" t="n"/>
      <c r="G202" s="218" t="n"/>
      <c r="H202" s="218" t="n"/>
      <c r="I202" s="220" t="n"/>
      <c r="J202" s="269" t="n"/>
      <c r="K202" s="221">
        <f>IF(OR($B202="",$H202="RESOLVIDA",$M202="RISCO",AND($F202="",$U202="")),"",IF($U202&lt;&gt;"",$U202,$F202)-DATA_GESTAO)</f>
      </c>
      <c r="L202" s="222">
        <f>IF($B202="","",IF($H202="RESOLVIDA","RESOLVIDA",IF($M202="RISCO","RISCO",IF($K202="","SEM PRAZO",IF($K202&lt;0,"VENCIDA",IF($G202="","SEM DONO",IF($K202&lt;=7,"ESTA SEMANA",IF($K202&lt;=42,"PRÓXIMAS 6 SEMANAS","NO PRAZO"))))))))</f>
      </c>
      <c r="M202" s="218" t="n"/>
      <c r="N202" s="330" t="n"/>
      <c r="O202" s="321" t="n"/>
      <c r="P202" s="330" t="n"/>
      <c r="Q202" s="267">
        <f>IF($B202="","",IF(AND($N202="",$O202=""),IF($M202="RISCO","SEM BASE",""),IF(AND(ISNUMBER($N202),ISNUMBER($O202)),ROUND($N202*$O202/5,0),"SEM BASE")))</f>
      </c>
      <c r="R202" s="298" t="n"/>
      <c r="S202" s="298" t="n"/>
      <c r="T202" s="218" t="n"/>
      <c r="U202" s="220" t="n"/>
      <c r="V202" s="235" t="n"/>
      <c r="W202" s="221">
        <f>IF(AND(ISNUMBER($Q202),$H202&lt;&gt;"RESOLVIDA"),COUNTIFS($Q$5:$Q$204,"&gt;"&amp;$Q202,$H$5:$H$204,"&lt;&gt;RESOLVIDA")+COUNTIFS($Q$5:$Q202,$Q202,$H$5:$H202,"&lt;&gt;RESOLVIDA"),"")</f>
      </c>
    </row>
    <row r="203">
      <c r="A203" s="218" t="n"/>
      <c r="B203" s="218" t="n"/>
      <c r="C203" s="218" t="n"/>
      <c r="D203" s="298" t="n"/>
      <c r="E203" s="218" t="n"/>
      <c r="F203" s="220" t="n"/>
      <c r="G203" s="218" t="n"/>
      <c r="H203" s="218" t="n"/>
      <c r="I203" s="220" t="n"/>
      <c r="J203" s="269" t="n"/>
      <c r="K203" s="221">
        <f>IF(OR($B203="",$H203="RESOLVIDA",$M203="RISCO",AND($F203="",$U203="")),"",IF($U203&lt;&gt;"",$U203,$F203)-DATA_GESTAO)</f>
      </c>
      <c r="L203" s="222">
        <f>IF($B203="","",IF($H203="RESOLVIDA","RESOLVIDA",IF($M203="RISCO","RISCO",IF($K203="","SEM PRAZO",IF($K203&lt;0,"VENCIDA",IF($G203="","SEM DONO",IF($K203&lt;=7,"ESTA SEMANA",IF($K203&lt;=42,"PRÓXIMAS 6 SEMANAS","NO PRAZO"))))))))</f>
      </c>
      <c r="M203" s="218" t="n"/>
      <c r="N203" s="330" t="n"/>
      <c r="O203" s="321" t="n"/>
      <c r="P203" s="330" t="n"/>
      <c r="Q203" s="267">
        <f>IF($B203="","",IF(AND($N203="",$O203=""),IF($M203="RISCO","SEM BASE",""),IF(AND(ISNUMBER($N203),ISNUMBER($O203)),ROUND($N203*$O203/5,0),"SEM BASE")))</f>
      </c>
      <c r="R203" s="298" t="n"/>
      <c r="S203" s="298" t="n"/>
      <c r="T203" s="218" t="n"/>
      <c r="U203" s="220" t="n"/>
      <c r="V203" s="235" t="n"/>
      <c r="W203" s="221">
        <f>IF(AND(ISNUMBER($Q203),$H203&lt;&gt;"RESOLVIDA"),COUNTIFS($Q$5:$Q$204,"&gt;"&amp;$Q203,$H$5:$H$204,"&lt;&gt;RESOLVIDA")+COUNTIFS($Q$5:$Q203,$Q203,$H$5:$H203,"&lt;&gt;RESOLVIDA"),"")</f>
      </c>
    </row>
    <row r="204">
      <c r="A204" s="218" t="n"/>
      <c r="B204" s="218" t="n"/>
      <c r="C204" s="218" t="n"/>
      <c r="D204" s="298" t="n"/>
      <c r="E204" s="218" t="n"/>
      <c r="F204" s="220" t="n"/>
      <c r="G204" s="218" t="n"/>
      <c r="H204" s="218" t="n"/>
      <c r="I204" s="220" t="n"/>
      <c r="J204" s="269" t="n"/>
      <c r="K204" s="221">
        <f>IF(OR($B204="",$H204="RESOLVIDA",$M204="RISCO",AND($F204="",$U204="")),"",IF($U204&lt;&gt;"",$U204,$F204)-DATA_GESTAO)</f>
      </c>
      <c r="L204" s="222">
        <f>IF($B204="","",IF($H204="RESOLVIDA","RESOLVIDA",IF($M204="RISCO","RISCO",IF($K204="","SEM PRAZO",IF($K204&lt;0,"VENCIDA",IF($G204="","SEM DONO",IF($K204&lt;=7,"ESTA SEMANA",IF($K204&lt;=42,"PRÓXIMAS 6 SEMANAS","NO PRAZO"))))))))</f>
      </c>
      <c r="M204" s="218" t="n"/>
      <c r="N204" s="330" t="n"/>
      <c r="O204" s="321" t="n"/>
      <c r="P204" s="330" t="n"/>
      <c r="Q204" s="267">
        <f>IF($B204="","",IF(AND($N204="",$O204=""),IF($M204="RISCO","SEM BASE",""),IF(AND(ISNUMBER($N204),ISNUMBER($O204)),ROUND($N204*$O204/5,0),"SEM BASE")))</f>
      </c>
      <c r="R204" s="298" t="n"/>
      <c r="S204" s="298" t="n"/>
      <c r="T204" s="218" t="n"/>
      <c r="U204" s="220" t="n"/>
      <c r="V204" s="235" t="n"/>
      <c r="W204" s="221">
        <f>IF(AND(ISNUMBER($Q204),$H204&lt;&gt;"RESOLVIDA"),COUNTIFS($Q$5:$Q$204,"&gt;"&amp;$Q204,$H$5:$H$204,"&lt;&gt;RESOLVIDA")+COUNTIFS($Q$5:$Q204,$Q204,$H$5:$H204,"&lt;&gt;RESOLVIDA"),"")</f>
      </c>
    </row>
  </sheetData>
  <autoFilter ref="A4:W204"/>
  <conditionalFormatting sqref="L5:L204">
    <cfRule type="cellIs" priority="1" operator="equal" dxfId="23">
      <formula>"VENCIDA"</formula>
    </cfRule>
    <cfRule type="cellIs" priority="2" operator="equal" dxfId="25">
      <formula>"ESTA SEMANA"</formula>
    </cfRule>
    <cfRule type="cellIs" priority="3" operator="equal" dxfId="27">
      <formula>"PRÓXIMAS 6 SEMANAS"</formula>
    </cfRule>
    <cfRule type="cellIs" priority="4" operator="equal" dxfId="26">
      <formula>"SEM DONO"</formula>
    </cfRule>
    <cfRule type="cellIs" priority="5" operator="equal" dxfId="26">
      <formula>"SEM PRAZO"</formula>
    </cfRule>
    <cfRule type="cellIs" priority="6" operator="equal" dxfId="24">
      <formula>"RESOLVIDA"</formula>
    </cfRule>
    <cfRule type="cellIs" priority="7" operator="equal" dxfId="24">
      <formula>"NO PRAZO"</formula>
    </cfRule>
  </conditionalFormatting>
  <conditionalFormatting sqref="G5:G204">
    <cfRule type="expression" priority="8" dxfId="26">
      <formula>AND($H5&lt;&gt;"RESOLVIDA",OR($G5="Compras",$G5="Administrativo",$G5="Financeiro TAF",LEFT($G5,14)="Gerente da 343"))</formula>
    </cfRule>
  </conditionalFormatting>
  <conditionalFormatting sqref="Q5:Q204">
    <cfRule type="cellIs" priority="9" operator="equal" dxfId="26">
      <formula>"SEM BASE"</formula>
    </cfRule>
    <cfRule type="expression" priority="10" dxfId="25">
      <formula>AND(ISNUMBER($W5),$W5&lt;=5)</formula>
    </cfRule>
  </conditionalFormatting>
  <dataValidations count="11">
    <dataValidation sqref="B5:B204" showDropDown="0" showInputMessage="0" showErrorMessage="0" allowBlank="1" type="list">
      <formula1>"342,343,281"</formula1>
    </dataValidation>
    <dataValidation sqref="E5:E204" showDropDown="0" showInputMessage="0" showErrorMessage="0" allowBlank="1" type="list">
      <formula1>"INTERNA,CLIENTE,FORNECEDOR,PROJETO,PARCEIRO"</formula1>
    </dataValidation>
    <dataValidation sqref="H5:H204" showDropDown="0" showInputMessage="0" showErrorMessage="0" allowBlank="1" type="list">
      <formula1>"ABERTA,RESOLVIDA,MONITORAR"</formula1>
    </dataValidation>
    <dataValidation sqref="C5:C204" showDropDown="0" showInputMessage="0" showErrorMessage="0" allowBlank="1" type="list">
      <formula1>LISTA_FRENTES</formula1>
    </dataValidation>
    <dataValidation sqref="M5:M204" showDropDown="0" showInputMessage="0" showErrorMessage="0" allowBlank="1" type="list">
      <formula1>"RESTRIÇÃO,RISCO"</formula1>
    </dataValidation>
    <dataValidation sqref="N5:N204" showDropDown="0" showInputMessage="0" showErrorMessage="1" allowBlank="1" error="Probabilidade de 1 a 5." type="whole" errorStyle="stop" operator="between">
      <formula1>1</formula1>
      <formula2>5</formula2>
    </dataValidation>
    <dataValidation sqref="O5:O204" showDropDown="0" showInputMessage="0" showErrorMessage="1" allowBlank="1" error="Impacto em R$, sem sinal." type="decimal" errorStyle="stop" operator="greaterThanOrEqual">
      <formula1>0</formula1>
    </dataValidation>
    <dataValidation sqref="P5:P204" showDropDown="0" showInputMessage="0" showErrorMessage="1" allowBlank="1" error="Impacto em dias inteiros." type="whole" errorStyle="stop" operator="greaterThanOrEqual">
      <formula1>0</formula1>
    </dataValidation>
    <dataValidation sqref="T5:T204" showDropDown="0" showInputMessage="0" showErrorMessage="0" allowBlank="1" type="list">
      <formula1>LISTA_CAUSAS</formula1>
    </dataValidation>
    <dataValidation sqref="U5:U204" showDropDown="0" showInputMessage="0" showErrorMessage="1" allowBlank="1" error="Digite uma data." type="date" errorStyle="stop" operator="greaterThanOrEqual">
      <formula1>46023</formula1>
    </dataValidation>
    <dataValidation sqref="V5:V204" showDropDown="0" showInputMessage="0" showErrorMessage="1" allowBlank="1" error="Número de vezes." type="whole" errorStyle="stop" operator="greaterThanOrEqual">
      <formula1>0</formula1>
    </dataValidation>
  </dataValidations>
  <hyperlinks>
    <hyperlink ref="L1" location="'00A. MENU'!A1" display="◀ MENU"/>
  </hyperlinks>
  <pageMargins left="0.75" right="0.75" top="1" bottom="1" header="0.5" footer="0.5"/>
</worksheet>
</file>

<file path=xl/worksheets/sheet21.xml><?xml version="1.0" encoding="utf-8"?>
<worksheet xmlns="http://schemas.openxmlformats.org/spreadsheetml/2006/main">
  <sheetPr>
    <tabColor rgb="FF70AD47"/>
    <outlinePr summaryBelow="1" summaryRight="1"/>
    <pageSetUpPr fitToPage="1"/>
  </sheetPr>
  <dimension ref="A1:M44"/>
  <sheetViews>
    <sheetView showGridLines="0" workbookViewId="0">
      <pane ySplit="4" topLeftCell="A5" activePane="bottomLeft" state="frozen"/>
      <selection pane="bottomLeft" activeCell="A1" sqref="A1"/>
    </sheetView>
  </sheetViews>
  <sheetFormatPr baseColWidth="8" defaultRowHeight="15"/>
  <cols>
    <col width="6" customWidth="1" style="71" min="1" max="1"/>
    <col width="8" customWidth="1" style="71" min="2" max="2"/>
    <col width="14" customWidth="1" style="71" min="3" max="3"/>
    <col width="12" customWidth="1" style="71" min="4" max="5"/>
    <col width="14" customWidth="1" style="71" min="6" max="6"/>
    <col width="16" customWidth="1" style="71" min="7" max="7"/>
    <col width="14" customWidth="1" style="71" min="8" max="8"/>
    <col width="16" customWidth="1" style="71" min="9" max="9"/>
    <col width="12" customWidth="1" style="71" min="10" max="10"/>
    <col width="50" customWidth="1" style="71" min="11" max="11"/>
    <col width="14" customWidth="1" style="71" min="12" max="12"/>
  </cols>
  <sheetData>
    <row r="1" ht="26.1" customHeight="1" s="71">
      <c r="A1" s="1" t="inlineStr">
        <is>
          <t>06. MEDIÇÃO (BM) — um boletim por linha</t>
        </is>
      </c>
      <c r="B1" s="2" t="n"/>
      <c r="C1" s="2" t="n"/>
      <c r="D1" s="2" t="n"/>
      <c r="E1" s="2" t="n"/>
      <c r="F1" s="2" t="n"/>
      <c r="G1" s="2" t="n"/>
      <c r="H1" s="2" t="n"/>
      <c r="I1" s="2" t="n"/>
      <c r="J1" s="2" t="n"/>
      <c r="K1" s="2" t="n"/>
      <c r="L1" s="2" t="n"/>
      <c r="M1" s="3" t="inlineStr">
        <is>
          <t>◀ MENU</t>
        </is>
      </c>
    </row>
    <row r="2">
      <c r="A2" s="4" t="inlineStr">
        <is>
          <t>Azul = digitar quando o BM for enviado; atualizar a situação até RECEBIDO. Coluna L: data em que a SANEAGO pagou, do extrato (Financeiro TAF).</t>
        </is>
      </c>
    </row>
    <row r="3"/>
    <row r="4" ht="30" customHeight="1" s="71">
      <c r="A4" s="23" t="inlineStr">
        <is>
          <t>Nº</t>
        </is>
      </c>
      <c r="B4" s="23" t="inlineStr">
        <is>
          <t>OBRA</t>
        </is>
      </c>
      <c r="C4" s="23" t="inlineStr">
        <is>
          <t>Nº DO BM</t>
        </is>
      </c>
      <c r="D4" s="23" t="inlineStr">
        <is>
          <t>MÊS DE REFERÊNCIA</t>
        </is>
      </c>
      <c r="E4" s="23" t="inlineStr">
        <is>
          <t>DATA DE ENVIO</t>
        </is>
      </c>
      <c r="F4" s="23" t="inlineStr">
        <is>
          <t>SITUAÇÃO</t>
        </is>
      </c>
      <c r="G4" s="23" t="inlineStr">
        <is>
          <t>VALOR BRUTO (R$)</t>
        </is>
      </c>
      <c r="H4" s="23" t="inlineStr">
        <is>
          <t>GLOSA E DESCONTOS (R$)</t>
        </is>
      </c>
      <c r="I4" s="23" t="inlineStr">
        <is>
          <t>VALOR LÍQUIDO (R$)</t>
        </is>
      </c>
      <c r="J4" s="23" t="inlineStr">
        <is>
          <t>DATA DE APROVAÇÃO</t>
        </is>
      </c>
      <c r="K4" s="23" t="inlineStr">
        <is>
          <t>FONTE / OBSERVAÇÃO</t>
        </is>
      </c>
      <c r="L4" s="23" t="inlineStr">
        <is>
          <t>DATA DE PAGAMENTO (SANEAGO)</t>
        </is>
      </c>
    </row>
    <row r="5">
      <c r="A5" s="30" t="n">
        <v>1</v>
      </c>
      <c r="B5" s="49" t="inlineStr">
        <is>
          <t>281</t>
        </is>
      </c>
      <c r="C5" s="49" t="inlineStr">
        <is>
          <t>BM01</t>
        </is>
      </c>
      <c r="D5" s="331" t="n">
        <v>46082</v>
      </c>
      <c r="E5" s="37" t="n"/>
      <c r="F5" s="49" t="inlineStr">
        <is>
          <t>APROVADO</t>
        </is>
      </c>
      <c r="G5" s="313" t="n">
        <v>14602.5</v>
      </c>
      <c r="H5" s="313" t="n">
        <v>0</v>
      </c>
      <c r="I5" s="315">
        <f>IF(G5="","",G5-H5)</f>
        <v>14602.5</v>
      </c>
      <c r="J5" s="37" t="n"/>
      <c r="K5" s="49" t="inlineStr">
        <is>
          <t>Cronograma FF, coluna H linha 869 (período 21/02/2026 a 20/03/2026); total igual ao FPM da SANEAGO</t>
        </is>
      </c>
      <c r="L5" s="224" t="n"/>
    </row>
    <row r="6">
      <c r="A6" s="30" t="n">
        <v>2</v>
      </c>
      <c r="B6" s="49" t="inlineStr">
        <is>
          <t>281</t>
        </is>
      </c>
      <c r="C6" s="49" t="inlineStr">
        <is>
          <t>BM02</t>
        </is>
      </c>
      <c r="D6" s="331" t="n">
        <v>46113</v>
      </c>
      <c r="E6" s="37" t="n"/>
      <c r="F6" s="49" t="inlineStr">
        <is>
          <t>RECEBIDO</t>
        </is>
      </c>
      <c r="G6" s="313" t="n">
        <v>551484.48</v>
      </c>
      <c r="H6" s="313" t="n">
        <v>0</v>
      </c>
      <c r="I6" s="315">
        <f>IF(G6="","",G6-H6)</f>
        <v>551484.48</v>
      </c>
      <c r="J6" s="37" t="n"/>
      <c r="K6" s="49" t="inlineStr">
        <is>
          <t>Cronograma FF, coluna I linha 869 (período 21/03/2026 a 20/04/2026); total igual ao FPM da SANEAGO; NFS 402, paga antecipada em 19/05/2026 pelo termo de aceitação. Data de pagamento (L): conferir no extrato; a 07 K5 traz o recebimento em 19/05/2026, antecipado pelo termo.</t>
        </is>
      </c>
      <c r="L6" s="224" t="n"/>
    </row>
    <row r="7">
      <c r="A7" s="30" t="n">
        <v>3</v>
      </c>
      <c r="B7" s="49" t="inlineStr">
        <is>
          <t>281</t>
        </is>
      </c>
      <c r="C7" s="49" t="inlineStr">
        <is>
          <t>BM03</t>
        </is>
      </c>
      <c r="D7" s="331" t="n">
        <v>46143</v>
      </c>
      <c r="E7" s="37" t="n"/>
      <c r="F7" s="49" t="inlineStr">
        <is>
          <t>APROVADO</t>
        </is>
      </c>
      <c r="G7" s="313" t="n">
        <v>881159.29</v>
      </c>
      <c r="H7" s="313" t="n">
        <v>0</v>
      </c>
      <c r="I7" s="315">
        <f>IF(G7="","",G7-H7)</f>
        <v>881159.29</v>
      </c>
      <c r="J7" s="37" t="n"/>
      <c r="K7" s="49" t="inlineStr">
        <is>
          <t>Cronograma FF, coluna J linha 869 (período 21/04/2026 a 20/05/2026); total igual ao FPM da SANEAGO; o RPM traz 872.979,40</t>
        </is>
      </c>
      <c r="L7" s="224" t="n"/>
    </row>
    <row r="8">
      <c r="A8" s="30" t="n">
        <v>4</v>
      </c>
      <c r="B8" s="49" t="inlineStr">
        <is>
          <t>281</t>
        </is>
      </c>
      <c r="C8" s="49" t="inlineStr">
        <is>
          <t>BM04</t>
        </is>
      </c>
      <c r="D8" s="331" t="n">
        <v>46174</v>
      </c>
      <c r="E8" s="37" t="n"/>
      <c r="F8" s="49" t="inlineStr">
        <is>
          <t>APROVADO</t>
        </is>
      </c>
      <c r="G8" s="313" t="n">
        <v>645173.45</v>
      </c>
      <c r="H8" s="313" t="n">
        <v>0</v>
      </c>
      <c r="I8" s="315">
        <f>IF(G8="","",G8-H8)</f>
        <v>645173.45</v>
      </c>
      <c r="J8" s="37" t="n"/>
      <c r="K8" s="49" t="inlineStr">
        <is>
          <t>Cronograma FF, coluna K linha 869 (período 21/05/2026 a 20/06/2026); total igual ao FPM da SANEAGO; o RPM traz 640.810,60</t>
        </is>
      </c>
      <c r="L8" s="224" t="n"/>
    </row>
    <row r="9">
      <c r="A9" s="30" t="n">
        <v>5</v>
      </c>
      <c r="B9" s="49" t="inlineStr">
        <is>
          <t>281</t>
        </is>
      </c>
      <c r="C9" s="49" t="inlineStr">
        <is>
          <t>BM05</t>
        </is>
      </c>
      <c r="D9" s="331" t="n">
        <v>46204</v>
      </c>
      <c r="E9" s="37" t="n"/>
      <c r="F9" s="49" t="inlineStr">
        <is>
          <t>APROVADO</t>
        </is>
      </c>
      <c r="G9" s="313" t="n">
        <v>1696031.05</v>
      </c>
      <c r="H9" s="313" t="n">
        <v>0</v>
      </c>
      <c r="I9" s="315">
        <f>IF(G9="","",G9-H9)</f>
        <v>1696031.05</v>
      </c>
      <c r="J9" s="37" t="n"/>
      <c r="K9" s="49" t="inlineStr">
        <is>
          <t>Cronograma FF, coluna L linha 869 (período 21/06/2026 a 21/07/2026); total igual ao FPM da SANEAGO</t>
        </is>
      </c>
      <c r="L9" s="224" t="n"/>
    </row>
    <row r="10">
      <c r="A10" s="30" t="n">
        <v>6</v>
      </c>
      <c r="B10" s="49" t="inlineStr">
        <is>
          <t>281</t>
        </is>
      </c>
      <c r="C10" s="49" t="inlineStr">
        <is>
          <t>BM06</t>
        </is>
      </c>
      <c r="D10" s="331" t="n">
        <v>46235</v>
      </c>
      <c r="E10" s="37" t="n"/>
      <c r="F10" s="49" t="inlineStr">
        <is>
          <t>APROVADO</t>
        </is>
      </c>
      <c r="G10" s="313" t="n">
        <v>1931447.54</v>
      </c>
      <c r="H10" s="313" t="n">
        <v>0</v>
      </c>
      <c r="I10" s="315">
        <f>IF(G10="","",G10-H10)</f>
        <v>1931447.54</v>
      </c>
      <c r="J10" s="37" t="n"/>
      <c r="K10" s="49" t="inlineStr">
        <is>
          <t>Cronograma FF, coluna M linha 869 (período 22/07/2026 a 26/08/2026); total igual ao FPM da SANEAGO</t>
        </is>
      </c>
      <c r="L10" s="224" t="n"/>
    </row>
    <row r="11">
      <c r="A11" s="30" t="n">
        <v>7</v>
      </c>
      <c r="B11" s="49" t="inlineStr">
        <is>
          <t>281</t>
        </is>
      </c>
      <c r="C11" s="49" t="inlineStr">
        <is>
          <t>BM07</t>
        </is>
      </c>
      <c r="D11" s="331" t="n">
        <v>46266</v>
      </c>
      <c r="E11" s="37" t="n"/>
      <c r="F11" s="49" t="inlineStr">
        <is>
          <t>ENVIADO</t>
        </is>
      </c>
      <c r="G11" s="313" t="n">
        <v>688711.37</v>
      </c>
      <c r="H11" s="313" t="n">
        <v>0</v>
      </c>
      <c r="I11" s="315">
        <f>IF(G11="","",G11-H11)</f>
        <v>688711.37</v>
      </c>
      <c r="J11" s="37" t="n"/>
      <c r="K11" s="49" t="inlineStr">
        <is>
          <t>Cronograma FF, coluna N linha 869 (período 27/08/2026 a 20/09/2026, valor digitado); o mesmo valor está no RPM nº 6 rev02 (mês set/26) e no FPM-06 (medido acumulado 6.408.609,67), arquivos da pasta Medições\BM 07. O cabeçalho do cronograma ainda diz BM 6 e a aprovação da fiscalização não está nos arquivos: fica ENVIADO até o Ricarlos confirmar (05C)</t>
        </is>
      </c>
      <c r="L11" s="224" t="n"/>
    </row>
    <row r="12">
      <c r="A12" s="30" t="n">
        <v>8</v>
      </c>
      <c r="B12" s="49" t="n"/>
      <c r="C12" s="49" t="n"/>
      <c r="D12" s="51" t="n"/>
      <c r="E12" s="37" t="n"/>
      <c r="F12" s="49" t="n"/>
      <c r="G12" s="313" t="n"/>
      <c r="H12" s="313" t="n"/>
      <c r="I12" s="315">
        <f>IF(G12="","",G12-H12)</f>
      </c>
      <c r="J12" s="37" t="n"/>
      <c r="K12" s="49" t="n"/>
      <c r="L12" s="224" t="n"/>
    </row>
    <row r="13">
      <c r="A13" s="30" t="n">
        <v>9</v>
      </c>
      <c r="B13" s="49" t="n"/>
      <c r="C13" s="49" t="n"/>
      <c r="D13" s="51" t="n"/>
      <c r="E13" s="37" t="n"/>
      <c r="F13" s="49" t="n"/>
      <c r="G13" s="313" t="n"/>
      <c r="H13" s="313" t="n"/>
      <c r="I13" s="315">
        <f>IF(G13="","",G13-H13)</f>
      </c>
      <c r="J13" s="37" t="n"/>
      <c r="K13" s="49" t="n"/>
      <c r="L13" s="224" t="n"/>
    </row>
    <row r="14">
      <c r="A14" s="30" t="n">
        <v>10</v>
      </c>
      <c r="B14" s="49" t="n"/>
      <c r="C14" s="49" t="n"/>
      <c r="D14" s="51" t="n"/>
      <c r="E14" s="37" t="n"/>
      <c r="F14" s="49" t="n"/>
      <c r="G14" s="313" t="n"/>
      <c r="H14" s="313" t="n"/>
      <c r="I14" s="315">
        <f>IF(G14="","",G14-H14)</f>
      </c>
      <c r="J14" s="37" t="n"/>
      <c r="K14" s="49" t="n"/>
      <c r="L14" s="224" t="n"/>
    </row>
    <row r="15">
      <c r="A15" s="30" t="n">
        <v>11</v>
      </c>
      <c r="B15" s="49" t="n"/>
      <c r="C15" s="49" t="n"/>
      <c r="D15" s="51" t="n"/>
      <c r="E15" s="37" t="n"/>
      <c r="F15" s="49" t="n"/>
      <c r="G15" s="313" t="n"/>
      <c r="H15" s="313" t="n"/>
      <c r="I15" s="315">
        <f>IF(G15="","",G15-H15)</f>
      </c>
      <c r="J15" s="37" t="n"/>
      <c r="K15" s="49" t="n"/>
      <c r="L15" s="224" t="n"/>
    </row>
    <row r="16">
      <c r="A16" s="30" t="n">
        <v>12</v>
      </c>
      <c r="B16" s="49" t="n"/>
      <c r="C16" s="49" t="n"/>
      <c r="D16" s="51" t="n"/>
      <c r="E16" s="37" t="n"/>
      <c r="F16" s="49" t="n"/>
      <c r="G16" s="313" t="n"/>
      <c r="H16" s="313" t="n"/>
      <c r="I16" s="315">
        <f>IF(G16="","",G16-H16)</f>
      </c>
      <c r="J16" s="37" t="n"/>
      <c r="K16" s="49" t="n"/>
      <c r="L16" s="224" t="n"/>
    </row>
    <row r="17">
      <c r="A17" s="30" t="n">
        <v>13</v>
      </c>
      <c r="B17" s="49" t="n"/>
      <c r="C17" s="49" t="n"/>
      <c r="D17" s="51" t="n"/>
      <c r="E17" s="37" t="n"/>
      <c r="F17" s="49" t="n"/>
      <c r="G17" s="313" t="n"/>
      <c r="H17" s="313" t="n"/>
      <c r="I17" s="315">
        <f>IF(G17="","",G17-H17)</f>
      </c>
      <c r="J17" s="37" t="n"/>
      <c r="K17" s="49" t="n"/>
      <c r="L17" s="224" t="n"/>
    </row>
    <row r="18">
      <c r="A18" s="30" t="n">
        <v>14</v>
      </c>
      <c r="B18" s="49" t="n"/>
      <c r="C18" s="49" t="n"/>
      <c r="D18" s="51" t="n"/>
      <c r="E18" s="37" t="n"/>
      <c r="F18" s="49" t="n"/>
      <c r="G18" s="313" t="n"/>
      <c r="H18" s="313" t="n"/>
      <c r="I18" s="315">
        <f>IF(G18="","",G18-H18)</f>
      </c>
      <c r="J18" s="37" t="n"/>
      <c r="K18" s="49" t="n"/>
      <c r="L18" s="224" t="n"/>
    </row>
    <row r="19">
      <c r="A19" s="30" t="n">
        <v>15</v>
      </c>
      <c r="B19" s="49" t="n"/>
      <c r="C19" s="49" t="n"/>
      <c r="D19" s="51" t="n"/>
      <c r="E19" s="37" t="n"/>
      <c r="F19" s="49" t="n"/>
      <c r="G19" s="313" t="n"/>
      <c r="H19" s="313" t="n"/>
      <c r="I19" s="315">
        <f>IF(G19="","",G19-H19)</f>
      </c>
      <c r="J19" s="37" t="n"/>
      <c r="K19" s="49" t="n"/>
      <c r="L19" s="224" t="n"/>
    </row>
    <row r="20">
      <c r="A20" s="30" t="n">
        <v>16</v>
      </c>
      <c r="B20" s="49" t="n"/>
      <c r="C20" s="49" t="n"/>
      <c r="D20" s="51" t="n"/>
      <c r="E20" s="37" t="n"/>
      <c r="F20" s="49" t="n"/>
      <c r="G20" s="313" t="n"/>
      <c r="H20" s="313" t="n"/>
      <c r="I20" s="315">
        <f>IF(G20="","",G20-H20)</f>
      </c>
      <c r="J20" s="37" t="n"/>
      <c r="K20" s="49" t="n"/>
      <c r="L20" s="224" t="n"/>
    </row>
    <row r="21">
      <c r="A21" s="30" t="n">
        <v>17</v>
      </c>
      <c r="B21" s="49" t="n"/>
      <c r="C21" s="49" t="n"/>
      <c r="D21" s="51" t="n"/>
      <c r="E21" s="37" t="n"/>
      <c r="F21" s="49" t="n"/>
      <c r="G21" s="313" t="n"/>
      <c r="H21" s="313" t="n"/>
      <c r="I21" s="315">
        <f>IF(G21="","",G21-H21)</f>
      </c>
      <c r="J21" s="37" t="n"/>
      <c r="K21" s="49" t="n"/>
      <c r="L21" s="224" t="n"/>
    </row>
    <row r="22">
      <c r="A22" s="30" t="n">
        <v>18</v>
      </c>
      <c r="B22" s="49" t="n"/>
      <c r="C22" s="49" t="n"/>
      <c r="D22" s="51" t="n"/>
      <c r="E22" s="37" t="n"/>
      <c r="F22" s="49" t="n"/>
      <c r="G22" s="313" t="n"/>
      <c r="H22" s="313" t="n"/>
      <c r="I22" s="315">
        <f>IF(G22="","",G22-H22)</f>
      </c>
      <c r="J22" s="37" t="n"/>
      <c r="K22" s="49" t="n"/>
      <c r="L22" s="224" t="n"/>
    </row>
    <row r="23">
      <c r="A23" s="30" t="n">
        <v>19</v>
      </c>
      <c r="B23" s="49" t="n"/>
      <c r="C23" s="49" t="n"/>
      <c r="D23" s="51" t="n"/>
      <c r="E23" s="37" t="n"/>
      <c r="F23" s="49" t="n"/>
      <c r="G23" s="313" t="n"/>
      <c r="H23" s="313" t="n"/>
      <c r="I23" s="315">
        <f>IF(G23="","",G23-H23)</f>
      </c>
      <c r="J23" s="37" t="n"/>
      <c r="K23" s="49" t="n"/>
      <c r="L23" s="224" t="n"/>
    </row>
    <row r="24">
      <c r="A24" s="30" t="n">
        <v>20</v>
      </c>
      <c r="B24" s="49" t="n"/>
      <c r="C24" s="49" t="n"/>
      <c r="D24" s="51" t="n"/>
      <c r="E24" s="37" t="n"/>
      <c r="F24" s="49" t="n"/>
      <c r="G24" s="313" t="n"/>
      <c r="H24" s="313" t="n"/>
      <c r="I24" s="315">
        <f>IF(G24="","",G24-H24)</f>
      </c>
      <c r="J24" s="37" t="n"/>
      <c r="K24" s="49" t="n"/>
      <c r="L24" s="224" t="n"/>
    </row>
    <row r="25">
      <c r="A25" s="30" t="n">
        <v>21</v>
      </c>
      <c r="B25" s="49" t="n"/>
      <c r="C25" s="49" t="n"/>
      <c r="D25" s="51" t="n"/>
      <c r="E25" s="37" t="n"/>
      <c r="F25" s="49" t="n"/>
      <c r="G25" s="313" t="n"/>
      <c r="H25" s="313" t="n"/>
      <c r="I25" s="315">
        <f>IF(G25="","",G25-H25)</f>
      </c>
      <c r="J25" s="37" t="n"/>
      <c r="K25" s="49" t="n"/>
      <c r="L25" s="224" t="n"/>
    </row>
    <row r="26">
      <c r="A26" s="30" t="n">
        <v>22</v>
      </c>
      <c r="B26" s="49" t="n"/>
      <c r="C26" s="49" t="n"/>
      <c r="D26" s="51" t="n"/>
      <c r="E26" s="37" t="n"/>
      <c r="F26" s="49" t="n"/>
      <c r="G26" s="313" t="n"/>
      <c r="H26" s="313" t="n"/>
      <c r="I26" s="315">
        <f>IF(G26="","",G26-H26)</f>
      </c>
      <c r="J26" s="37" t="n"/>
      <c r="K26" s="49" t="n"/>
      <c r="L26" s="224" t="n"/>
    </row>
    <row r="27">
      <c r="A27" s="30" t="n">
        <v>23</v>
      </c>
      <c r="B27" s="49" t="n"/>
      <c r="C27" s="49" t="n"/>
      <c r="D27" s="51" t="n"/>
      <c r="E27" s="37" t="n"/>
      <c r="F27" s="49" t="n"/>
      <c r="G27" s="313" t="n"/>
      <c r="H27" s="313" t="n"/>
      <c r="I27" s="315">
        <f>IF(G27="","",G27-H27)</f>
      </c>
      <c r="J27" s="37" t="n"/>
      <c r="K27" s="49" t="n"/>
      <c r="L27" s="224" t="n"/>
    </row>
    <row r="28">
      <c r="A28" s="30" t="n">
        <v>24</v>
      </c>
      <c r="B28" s="49" t="n"/>
      <c r="C28" s="49" t="n"/>
      <c r="D28" s="51" t="n"/>
      <c r="E28" s="37" t="n"/>
      <c r="F28" s="49" t="n"/>
      <c r="G28" s="313" t="n"/>
      <c r="H28" s="313" t="n"/>
      <c r="I28" s="315">
        <f>IF(G28="","",G28-H28)</f>
      </c>
      <c r="J28" s="37" t="n"/>
      <c r="K28" s="49" t="n"/>
      <c r="L28" s="224" t="n"/>
    </row>
    <row r="29">
      <c r="A29" s="30" t="n">
        <v>25</v>
      </c>
      <c r="B29" s="49" t="n"/>
      <c r="C29" s="49" t="n"/>
      <c r="D29" s="51" t="n"/>
      <c r="E29" s="37" t="n"/>
      <c r="F29" s="49" t="n"/>
      <c r="G29" s="313" t="n"/>
      <c r="H29" s="313" t="n"/>
      <c r="I29" s="315">
        <f>IF(G29="","",G29-H29)</f>
      </c>
      <c r="J29" s="37" t="n"/>
      <c r="K29" s="49" t="n"/>
      <c r="L29" s="224" t="n"/>
    </row>
    <row r="30">
      <c r="A30" s="30" t="n">
        <v>26</v>
      </c>
      <c r="B30" s="49" t="n"/>
      <c r="C30" s="49" t="n"/>
      <c r="D30" s="51" t="n"/>
      <c r="E30" s="37" t="n"/>
      <c r="F30" s="49" t="n"/>
      <c r="G30" s="313" t="n"/>
      <c r="H30" s="313" t="n"/>
      <c r="I30" s="315">
        <f>IF(G30="","",G30-H30)</f>
      </c>
      <c r="J30" s="37" t="n"/>
      <c r="K30" s="49" t="n"/>
      <c r="L30" s="224" t="n"/>
    </row>
    <row r="31">
      <c r="A31" s="30" t="n">
        <v>27</v>
      </c>
      <c r="B31" s="49" t="n"/>
      <c r="C31" s="49" t="n"/>
      <c r="D31" s="51" t="n"/>
      <c r="E31" s="37" t="n"/>
      <c r="F31" s="49" t="n"/>
      <c r="G31" s="313" t="n"/>
      <c r="H31" s="313" t="n"/>
      <c r="I31" s="315">
        <f>IF(G31="","",G31-H31)</f>
      </c>
      <c r="J31" s="37" t="n"/>
      <c r="K31" s="49" t="n"/>
      <c r="L31" s="224" t="n"/>
    </row>
    <row r="32">
      <c r="A32" s="30" t="n">
        <v>28</v>
      </c>
      <c r="B32" s="49" t="n"/>
      <c r="C32" s="49" t="n"/>
      <c r="D32" s="51" t="n"/>
      <c r="E32" s="37" t="n"/>
      <c r="F32" s="49" t="n"/>
      <c r="G32" s="313" t="n"/>
      <c r="H32" s="313" t="n"/>
      <c r="I32" s="315">
        <f>IF(G32="","",G32-H32)</f>
      </c>
      <c r="J32" s="37" t="n"/>
      <c r="K32" s="49" t="n"/>
      <c r="L32" s="224" t="n"/>
    </row>
    <row r="33">
      <c r="A33" s="30" t="n">
        <v>29</v>
      </c>
      <c r="B33" s="49" t="n"/>
      <c r="C33" s="49" t="n"/>
      <c r="D33" s="51" t="n"/>
      <c r="E33" s="37" t="n"/>
      <c r="F33" s="49" t="n"/>
      <c r="G33" s="313" t="n"/>
      <c r="H33" s="313" t="n"/>
      <c r="I33" s="315">
        <f>IF(G33="","",G33-H33)</f>
      </c>
      <c r="J33" s="37" t="n"/>
      <c r="K33" s="49" t="n"/>
      <c r="L33" s="224" t="n"/>
    </row>
    <row r="34">
      <c r="A34" s="30" t="n">
        <v>30</v>
      </c>
      <c r="B34" s="49" t="n"/>
      <c r="C34" s="49" t="n"/>
      <c r="D34" s="51" t="n"/>
      <c r="E34" s="37" t="n"/>
      <c r="F34" s="49" t="n"/>
      <c r="G34" s="313" t="n"/>
      <c r="H34" s="313" t="n"/>
      <c r="I34" s="315">
        <f>IF(G34="","",G34-H34)</f>
      </c>
      <c r="J34" s="37" t="n"/>
      <c r="K34" s="49" t="n"/>
      <c r="L34" s="224" t="n"/>
    </row>
    <row r="35">
      <c r="A35" s="30" t="n">
        <v>31</v>
      </c>
      <c r="B35" s="49" t="n"/>
      <c r="C35" s="49" t="n"/>
      <c r="D35" s="51" t="n"/>
      <c r="E35" s="37" t="n"/>
      <c r="F35" s="49" t="n"/>
      <c r="G35" s="313" t="n"/>
      <c r="H35" s="313" t="n"/>
      <c r="I35" s="315">
        <f>IF(G35="","",G35-H35)</f>
      </c>
      <c r="J35" s="37" t="n"/>
      <c r="K35" s="49" t="n"/>
      <c r="L35" s="224" t="n"/>
    </row>
    <row r="36">
      <c r="A36" s="30" t="n">
        <v>32</v>
      </c>
      <c r="B36" s="49" t="n"/>
      <c r="C36" s="49" t="n"/>
      <c r="D36" s="51" t="n"/>
      <c r="E36" s="37" t="n"/>
      <c r="F36" s="49" t="n"/>
      <c r="G36" s="313" t="n"/>
      <c r="H36" s="313" t="n"/>
      <c r="I36" s="315">
        <f>IF(G36="","",G36-H36)</f>
      </c>
      <c r="J36" s="37" t="n"/>
      <c r="K36" s="49" t="n"/>
      <c r="L36" s="224" t="n"/>
    </row>
    <row r="37">
      <c r="A37" s="30" t="n">
        <v>33</v>
      </c>
      <c r="B37" s="49" t="n"/>
      <c r="C37" s="49" t="n"/>
      <c r="D37" s="51" t="n"/>
      <c r="E37" s="37" t="n"/>
      <c r="F37" s="49" t="n"/>
      <c r="G37" s="313" t="n"/>
      <c r="H37" s="313" t="n"/>
      <c r="I37" s="315">
        <f>IF(G37="","",G37-H37)</f>
      </c>
      <c r="J37" s="37" t="n"/>
      <c r="K37" s="49" t="n"/>
      <c r="L37" s="224" t="n"/>
    </row>
    <row r="38">
      <c r="A38" s="30" t="n">
        <v>34</v>
      </c>
      <c r="B38" s="49" t="n"/>
      <c r="C38" s="49" t="n"/>
      <c r="D38" s="51" t="n"/>
      <c r="E38" s="37" t="n"/>
      <c r="F38" s="49" t="n"/>
      <c r="G38" s="313" t="n"/>
      <c r="H38" s="313" t="n"/>
      <c r="I38" s="315">
        <f>IF(G38="","",G38-H38)</f>
      </c>
      <c r="J38" s="37" t="n"/>
      <c r="K38" s="49" t="n"/>
      <c r="L38" s="224" t="n"/>
    </row>
    <row r="39">
      <c r="A39" s="30" t="n">
        <v>35</v>
      </c>
      <c r="B39" s="49" t="n"/>
      <c r="C39" s="49" t="n"/>
      <c r="D39" s="51" t="n"/>
      <c r="E39" s="37" t="n"/>
      <c r="F39" s="49" t="n"/>
      <c r="G39" s="313" t="n"/>
      <c r="H39" s="313" t="n"/>
      <c r="I39" s="315">
        <f>IF(G39="","",G39-H39)</f>
      </c>
      <c r="J39" s="37" t="n"/>
      <c r="K39" s="49" t="n"/>
      <c r="L39" s="224" t="n"/>
    </row>
    <row r="40">
      <c r="A40" s="30" t="n">
        <v>36</v>
      </c>
      <c r="B40" s="49" t="n"/>
      <c r="C40" s="49" t="n"/>
      <c r="D40" s="51" t="n"/>
      <c r="E40" s="37" t="n"/>
      <c r="F40" s="49" t="n"/>
      <c r="G40" s="313" t="n"/>
      <c r="H40" s="313" t="n"/>
      <c r="I40" s="315">
        <f>IF(G40="","",G40-H40)</f>
      </c>
      <c r="J40" s="37" t="n"/>
      <c r="K40" s="49" t="n"/>
      <c r="L40" s="224" t="n"/>
    </row>
    <row r="41">
      <c r="A41" s="30" t="n">
        <v>37</v>
      </c>
      <c r="B41" s="49" t="n"/>
      <c r="C41" s="49" t="n"/>
      <c r="D41" s="51" t="n"/>
      <c r="E41" s="37" t="n"/>
      <c r="F41" s="49" t="n"/>
      <c r="G41" s="313" t="n"/>
      <c r="H41" s="313" t="n"/>
      <c r="I41" s="315">
        <f>IF(G41="","",G41-H41)</f>
      </c>
      <c r="J41" s="37" t="n"/>
      <c r="K41" s="49" t="n"/>
      <c r="L41" s="224" t="n"/>
    </row>
    <row r="42">
      <c r="A42" s="30" t="n">
        <v>38</v>
      </c>
      <c r="B42" s="49" t="n"/>
      <c r="C42" s="49" t="n"/>
      <c r="D42" s="51" t="n"/>
      <c r="E42" s="37" t="n"/>
      <c r="F42" s="49" t="n"/>
      <c r="G42" s="313" t="n"/>
      <c r="H42" s="313" t="n"/>
      <c r="I42" s="315">
        <f>IF(G42="","",G42-H42)</f>
      </c>
      <c r="J42" s="37" t="n"/>
      <c r="K42" s="49" t="n"/>
      <c r="L42" s="224" t="n"/>
    </row>
    <row r="43">
      <c r="A43" s="30" t="n">
        <v>39</v>
      </c>
      <c r="B43" s="49" t="n"/>
      <c r="C43" s="49" t="n"/>
      <c r="D43" s="51" t="n"/>
      <c r="E43" s="37" t="n"/>
      <c r="F43" s="49" t="n"/>
      <c r="G43" s="313" t="n"/>
      <c r="H43" s="313" t="n"/>
      <c r="I43" s="315">
        <f>IF(G43="","",G43-H43)</f>
      </c>
      <c r="J43" s="37" t="n"/>
      <c r="K43" s="49" t="n"/>
      <c r="L43" s="224" t="n"/>
    </row>
    <row r="44">
      <c r="A44" s="30" t="n">
        <v>40</v>
      </c>
      <c r="B44" s="49" t="n"/>
      <c r="C44" s="49" t="n"/>
      <c r="D44" s="51" t="n"/>
      <c r="E44" s="37" t="n"/>
      <c r="F44" s="49" t="n"/>
      <c r="G44" s="313" t="n"/>
      <c r="H44" s="313" t="n"/>
      <c r="I44" s="315">
        <f>IF(G44="","",G44-H44)</f>
      </c>
      <c r="J44" s="37" t="n"/>
      <c r="K44" s="49" t="n"/>
      <c r="L44" s="224" t="n"/>
    </row>
  </sheetData>
  <dataValidations count="2">
    <dataValidation sqref="B5:B44" showDropDown="0" showInputMessage="0" showErrorMessage="0" allowBlank="1" type="list">
      <formula1>"342,343,281"</formula1>
    </dataValidation>
    <dataValidation sqref="F5:F44" showDropDown="0" showInputMessage="0" showErrorMessage="0" allowBlank="1" type="list">
      <formula1>"EM ELABORAÇÃO,ENVIADO,APROVADO,FATURADO,RECEBIDO"</formula1>
    </dataValidation>
  </dataValidations>
  <hyperlinks>
    <hyperlink ref="M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22.xml><?xml version="1.0" encoding="utf-8"?>
<worksheet xmlns="http://schemas.openxmlformats.org/spreadsheetml/2006/main">
  <sheetPr>
    <tabColor rgb="FF70AD47"/>
    <outlinePr summaryBelow="1" summaryRight="1"/>
    <pageSetUpPr fitToPage="1"/>
  </sheetPr>
  <dimension ref="A1:S44"/>
  <sheetViews>
    <sheetView showGridLines="0" workbookViewId="0">
      <pane ySplit="4" topLeftCell="A5" activePane="bottomLeft" state="frozen"/>
      <selection pane="bottomLeft" activeCell="A1" sqref="A1"/>
    </sheetView>
  </sheetViews>
  <sheetFormatPr baseColWidth="8" defaultRowHeight="15"/>
  <cols>
    <col width="6" customWidth="1" style="71" min="1" max="1"/>
    <col width="8" customWidth="1" style="71" min="2" max="2"/>
    <col width="14" customWidth="1" style="71" min="3" max="3"/>
    <col width="12" customWidth="1" style="71" min="4" max="4"/>
    <col width="12" customWidth="1" style="71" min="5" max="5"/>
    <col width="16" customWidth="1" style="71" min="6" max="6"/>
    <col width="12" customWidth="1" style="71" min="7" max="7"/>
    <col width="12" customWidth="1" style="71" min="8" max="8"/>
    <col width="16" customWidth="1" style="71" min="9" max="9"/>
    <col width="12" customWidth="1" style="71" min="10" max="10"/>
    <col width="12" customWidth="1" style="71" min="11" max="11"/>
    <col width="16" customWidth="1" style="71" min="12" max="12"/>
    <col width="16" customWidth="1" style="71" min="13" max="13"/>
    <col width="44" customWidth="1" style="71" min="14" max="14"/>
    <col width="16" customWidth="1" style="71" min="15" max="15"/>
    <col width="16" customWidth="1" style="71" min="16" max="16"/>
    <col width="12" customWidth="1" style="71" min="17" max="17"/>
    <col width="30" customWidth="1" style="71" min="18" max="18"/>
    <col width="18" customWidth="1" style="71" min="19" max="19"/>
  </cols>
  <sheetData>
    <row r="1" ht="26.1" customHeight="1" s="71">
      <c r="A1" s="1" t="inlineStr">
        <is>
          <t>07. FATURAMENTO E RECEBIMENTO — uma nota por linha</t>
        </is>
      </c>
      <c r="B1" s="2" t="n"/>
      <c r="C1" s="2" t="n"/>
      <c r="D1" s="2" t="n"/>
      <c r="E1" s="2" t="n"/>
      <c r="F1" s="2" t="n"/>
      <c r="G1" s="2" t="n"/>
      <c r="H1" s="2" t="n"/>
      <c r="I1" s="2" t="n"/>
      <c r="J1" s="2" t="n"/>
      <c r="K1" s="2" t="n"/>
      <c r="L1" s="2" t="n"/>
      <c r="M1" s="2" t="n"/>
      <c r="N1" s="2" t="n"/>
      <c r="O1" s="2" t="n"/>
      <c r="P1" s="3" t="inlineStr">
        <is>
          <t>◀ MENU</t>
        </is>
      </c>
      <c r="Q1" s="2" t="n"/>
      <c r="R1" s="2" t="n"/>
      <c r="S1" s="2" t="n"/>
    </row>
    <row r="2">
      <c r="A2" s="4" t="inlineStr">
        <is>
          <t>Azul = digitar. Data prevista = emissão + prazo do contrato (03). Diferença ≠ 0 = cobrar ou explicar. Coluna P: desconto da antecipação (custo FIN; fonte na N). Q a S: reajuste por BM; linha de reajuste com NF PENDENTE = lançar a NF quando chegar.</t>
        </is>
      </c>
    </row>
    <row r="3"/>
    <row r="4" ht="30" customHeight="1" s="71">
      <c r="A4" s="23" t="inlineStr">
        <is>
          <t>Nº</t>
        </is>
      </c>
      <c r="B4" s="23" t="inlineStr">
        <is>
          <t>OBRA</t>
        </is>
      </c>
      <c r="C4" s="23" t="inlineStr">
        <is>
          <t>Nº DO BM</t>
        </is>
      </c>
      <c r="D4" s="23" t="inlineStr">
        <is>
          <t>Nº DA NF</t>
        </is>
      </c>
      <c r="E4" s="23" t="inlineStr">
        <is>
          <t>EMISSÃO</t>
        </is>
      </c>
      <c r="F4" s="23" t="inlineStr">
        <is>
          <t>VALOR DA NF (R$)</t>
        </is>
      </c>
      <c r="G4" s="23" t="inlineStr">
        <is>
          <t>ISS RETIDO</t>
        </is>
      </c>
      <c r="H4" s="23" t="inlineStr">
        <is>
          <t>INSS RETIDO</t>
        </is>
      </c>
      <c r="I4" s="23" t="inlineStr">
        <is>
          <t>LÍQUIDO ESPERADO</t>
        </is>
      </c>
      <c r="J4" s="23" t="inlineStr">
        <is>
          <t>DATA PREVISTA</t>
        </is>
      </c>
      <c r="K4" s="23" t="inlineStr">
        <is>
          <t>RECEBIDO EM</t>
        </is>
      </c>
      <c r="L4" s="23" t="inlineStr">
        <is>
          <t>VALOR RECEBIDO</t>
        </is>
      </c>
      <c r="M4" s="23" t="inlineStr">
        <is>
          <t>DIFERENÇA</t>
        </is>
      </c>
      <c r="N4" s="23" t="inlineStr">
        <is>
          <t>OBSERVAÇÃO</t>
        </is>
      </c>
      <c r="O4" s="23" t="inlineStr">
        <is>
          <t>OUTRAS RETENÇÕES (IR, CSLL, PIS, COFINS)</t>
        </is>
      </c>
      <c r="P4" s="23" t="inlineStr">
        <is>
          <t>DESCONTO DA ANTECIPAÇÃO (R$, custo FIN)</t>
        </is>
      </c>
      <c r="Q4" s="23" t="inlineStr">
        <is>
          <t>REAJUSTE: % SOBRE O BM</t>
        </is>
      </c>
      <c r="R4" s="23" t="inlineStr">
        <is>
          <t>REAJUSTE: ÍNDICE E DATA-BASE</t>
        </is>
      </c>
      <c r="S4" s="23" t="inlineStr">
        <is>
          <t>REAJUSTE SEM NF: ESTIMATIVA (R$, BM aprovado × Q6)</t>
        </is>
      </c>
    </row>
    <row r="5">
      <c r="A5" s="30" t="n">
        <v>1</v>
      </c>
      <c r="B5" s="49" t="inlineStr">
        <is>
          <t>281</t>
        </is>
      </c>
      <c r="C5" s="49" t="inlineStr">
        <is>
          <t>BM02</t>
        </is>
      </c>
      <c r="D5" s="49" t="inlineStr">
        <is>
          <t>402</t>
        </is>
      </c>
      <c r="E5" s="37" t="n">
        <v>46146</v>
      </c>
      <c r="F5" s="313" t="n">
        <v>551484.49</v>
      </c>
      <c r="G5" s="313" t="n">
        <v>0</v>
      </c>
      <c r="H5" s="313" t="n">
        <v>21232.15</v>
      </c>
      <c r="I5" s="315">
        <f>IF(F5="","",F5-G5-H5-O5)</f>
        <v>504608.32</v>
      </c>
      <c r="J5" s="44">
        <f>IF(OR(E5="",B5=""),"",E5+IF(B5="342",'03. CONTRATOS'!$B$14,IF(B5="343",'03. CONTRATOS'!$D$14,'03. CONTRATOS'!$F$14)))</f>
        <v>46176.0</v>
      </c>
      <c r="K5" s="37" t="n">
        <v>46161</v>
      </c>
      <c r="L5" s="313" t="n">
        <v>502188.8</v>
      </c>
      <c r="M5" s="315">
        <f>IF(L5="","",L5-I5)</f>
        <v>-2419.51999999996</v>
      </c>
      <c r="N5" s="49" t="inlineStr">
        <is>
          <t>Termo de antecipação: 15 dias a 1,96% a.m., desconto 4.975,01. O termo usa outras retenções de 23.088,53; a NF soma 25.644,02 (diferença de 2.555,49 a conciliar). A NF 402 cita o contrato como 300004/2025 (a 403 e os termos trazem 30000415/2025). Os termos só têm a assinatura da contratada. Crédito não conferido no extrato.</t>
        </is>
      </c>
      <c r="O5" s="313" t="n">
        <v>25644.02</v>
      </c>
      <c r="P5" s="313" t="n">
        <v>4975.01</v>
      </c>
      <c r="Q5" s="332">
        <f>IF(ISERROR(SEARCH("reajuste",C5)),"",IF(F5="","sem NF",IFERROR(F5/SUMIFS('06. MEDIÇÃO (BM)'!$G$5:$G$44,'06. MEDIÇÃO (BM)'!$B$5:$B$44,B5,'06. MEDIÇÃO (BM)'!$C$5:$C$44,LEFT(C5,4)),"BM fora da 06")))</f>
      </c>
      <c r="R5" s="49" t="n"/>
      <c r="S5" s="333">
        <f>IF(ISERROR(SEARCH("reajuste",C5)),"",IF(F5&lt;&gt;"","",IF(SUM(COUNTIFS('06. MEDIÇÃO (BM)'!$B$5:$B$44,B5,'06. MEDIÇÃO (BM)'!$C$5:$C$44,LEFT(C5,4),'06. MEDIÇÃO (BM)'!$F$5:$F$44,{"APROVADO","FATURADO","RECEBIDO"}))=0,"BM não aprovado",SUMIFS('06. MEDIÇÃO (BM)'!$G$5:$G$44,'06. MEDIÇÃO (BM)'!$B$5:$B$44,B5,'06. MEDIÇÃO (BM)'!$C$5:$C$44,LEFT(C5,4))*$Q$6)))</f>
      </c>
    </row>
    <row r="6">
      <c r="A6" s="30" t="n">
        <v>2</v>
      </c>
      <c r="B6" s="49" t="inlineStr">
        <is>
          <t>281</t>
        </is>
      </c>
      <c r="C6" s="49" t="inlineStr">
        <is>
          <t>BM02 (reajuste)</t>
        </is>
      </c>
      <c r="D6" s="49" t="inlineStr">
        <is>
          <t>403</t>
        </is>
      </c>
      <c r="E6" s="37" t="n">
        <v>46146</v>
      </c>
      <c r="F6" s="313" t="n">
        <v>57409.54</v>
      </c>
      <c r="G6" s="313" t="n">
        <v>0</v>
      </c>
      <c r="H6" s="313" t="n">
        <v>2210.26</v>
      </c>
      <c r="I6" s="315">
        <f>IF(F6="","",F6-G6-H6-O6)</f>
        <v>52529.73</v>
      </c>
      <c r="J6" s="44">
        <f>IF(OR(E6="",B6=""),"",E6+IF(B6="342",'03. CONTRATOS'!$B$14,IF(B6="343",'03. CONTRATOS'!$D$14,'03. CONTRATOS'!$F$14)))</f>
        <v>46176.0</v>
      </c>
      <c r="K6" s="37" t="n">
        <v>46161</v>
      </c>
      <c r="L6" s="313" t="n">
        <v>52014.44</v>
      </c>
      <c r="M6" s="315">
        <f>IF(L6="","",L6-I6)</f>
        <v>-515.289999999994</v>
      </c>
      <c r="N6" s="49" t="inlineStr">
        <is>
          <t>Reajuste do BM-002. Termo de antecipação: desconto 515,29. Crédito não conferido no extrato.</t>
        </is>
      </c>
      <c r="O6" s="313" t="n">
        <v>2669.55</v>
      </c>
      <c r="P6" s="313" t="n">
        <v>515.29</v>
      </c>
      <c r="Q6" s="332">
        <f>IF(ISERROR(SEARCH("reajuste",C6)),"",IF(F6="","sem NF",IFERROR(F6/SUMIFS('06. MEDIÇÃO (BM)'!$G$5:$G$44,'06. MEDIÇÃO (BM)'!$B$5:$B$44,B6,'06. MEDIÇÃO (BM)'!$C$5:$C$44,LEFT(C6,4)),"BM fora da 06")))</f>
        <v>0.104100010212436</v>
      </c>
      <c r="R6" s="49" t="inlineStr">
        <is>
          <t>PENDENTE (não estão nos anexos, 03 F19)</t>
        </is>
      </c>
      <c r="S6" s="333">
        <f>IF(ISERROR(SEARCH("reajuste",C6)),"",IF(F6&lt;&gt;"","",IF(SUM(COUNTIFS('06. MEDIÇÃO (BM)'!$B$5:$B$44,B6,'06. MEDIÇÃO (BM)'!$C$5:$C$44,LEFT(C6,4),'06. MEDIÇÃO (BM)'!$F$5:$F$44,{"APROVADO","FATURADO","RECEBIDO"}))=0,"BM não aprovado",SUMIFS('06. MEDIÇÃO (BM)'!$G$5:$G$44,'06. MEDIÇÃO (BM)'!$B$5:$B$44,B6,'06. MEDIÇÃO (BM)'!$C$5:$C$44,LEFT(C6,4))*$Q$6)))</f>
      </c>
    </row>
    <row r="7">
      <c r="A7" s="30" t="n">
        <v>3</v>
      </c>
      <c r="B7" s="49" t="inlineStr">
        <is>
          <t>281</t>
        </is>
      </c>
      <c r="C7" s="49" t="inlineStr">
        <is>
          <t>BM01 (reajuste)</t>
        </is>
      </c>
      <c r="D7" s="49" t="inlineStr">
        <is>
          <t>PENDENTE</t>
        </is>
      </c>
      <c r="E7" s="37" t="n"/>
      <c r="F7" s="313" t="n"/>
      <c r="G7" s="313" t="n"/>
      <c r="H7" s="313" t="n"/>
      <c r="I7" s="315">
        <f>IF(F7="","",F7-G7-H7-O7)</f>
      </c>
      <c r="J7" s="44">
        <f>IF(OR(E7="",B7=""),"",E7+IF(B7="342",'03. CONTRATOS'!$B$14,IF(B7="343",'03. CONTRATOS'!$D$14,'03. CONTRATOS'!$F$14)))</f>
      </c>
      <c r="K7" s="37" t="n"/>
      <c r="L7" s="313" t="n"/>
      <c r="M7" s="315">
        <f>IF(L7="","",L7-I7)</f>
      </c>
      <c r="N7" s="49" t="inlineStr">
        <is>
          <t>NF de reajuste não lançada (05C R60).</t>
        </is>
      </c>
      <c r="O7" s="313" t="n"/>
      <c r="P7" s="313" t="n"/>
      <c r="Q7" s="332" t="str">
        <f>IF(ISERROR(SEARCH("reajuste",C7)),"",IF(F7="","sem NF",IFERROR(F7/SUMIFS('06. MEDIÇÃO (BM)'!$G$5:$G$44,'06. MEDIÇÃO (BM)'!$B$5:$B$44,B7,'06. MEDIÇÃO (BM)'!$C$5:$C$44,LEFT(C7,4)),"BM fora da 06")))</f>
        <v>sem NF</v>
      </c>
      <c r="R7" s="49" t="inlineStr">
        <is>
          <t>PENDENTE</t>
        </is>
      </c>
      <c r="S7" s="333">
        <f>IF(ISERROR(SEARCH("reajuste",C7)),"",IF(F7&lt;&gt;"","",IF(SUM(COUNTIFS('06. MEDIÇÃO (BM)'!$B$5:$B$44,B7,'06. MEDIÇÃO (BM)'!$C$5:$C$44,LEFT(C7,4),'06. MEDIÇÃO (BM)'!$F$5:$F$44,{"APROVADO","FATURADO","RECEBIDO"}))=0,"BM não aprovado",SUMIFS('06. MEDIÇÃO (BM)'!$G$5:$G$44,'06. MEDIÇÃO (BM)'!$B$5:$B$44,B7,'06. MEDIÇÃO (BM)'!$C$5:$C$44,LEFT(C7,4))*$Q$6)))</f>
        <v>1520.1203991271</v>
      </c>
    </row>
    <row r="8">
      <c r="A8" s="30" t="n">
        <v>4</v>
      </c>
      <c r="B8" s="49" t="inlineStr">
        <is>
          <t>281</t>
        </is>
      </c>
      <c r="C8" s="49" t="inlineStr">
        <is>
          <t>BM03 (reajuste)</t>
        </is>
      </c>
      <c r="D8" s="49" t="inlineStr">
        <is>
          <t>PENDENTE</t>
        </is>
      </c>
      <c r="E8" s="37" t="n"/>
      <c r="F8" s="313" t="n"/>
      <c r="G8" s="313" t="n"/>
      <c r="H8" s="313" t="n"/>
      <c r="I8" s="315">
        <f>IF(F8="","",F8-G8-H8-O8)</f>
      </c>
      <c r="J8" s="44">
        <f>IF(OR(E8="",B8=""),"",E8+IF(B8="342",'03. CONTRATOS'!$B$14,IF(B8="343",'03. CONTRATOS'!$D$14,'03. CONTRATOS'!$F$14)))</f>
      </c>
      <c r="K8" s="37" t="n"/>
      <c r="L8" s="313" t="n"/>
      <c r="M8" s="315">
        <f>IF(L8="","",L8-I8)</f>
      </c>
      <c r="N8" s="49" t="inlineStr">
        <is>
          <t>NF de reajuste não lançada (05C R60).</t>
        </is>
      </c>
      <c r="O8" s="313" t="n"/>
      <c r="P8" s="313" t="n"/>
      <c r="Q8" s="332" t="str">
        <f>IF(ISERROR(SEARCH("reajuste",C8)),"",IF(F8="","sem NF",IFERROR(F8/SUMIFS('06. MEDIÇÃO (BM)'!$G$5:$G$44,'06. MEDIÇÃO (BM)'!$B$5:$B$44,B8,'06. MEDIÇÃO (BM)'!$C$5:$C$44,LEFT(C8,4)),"BM fora da 06")))</f>
        <v>sem NF</v>
      </c>
      <c r="R8" s="49" t="inlineStr">
        <is>
          <t>PENDENTE</t>
        </is>
      </c>
      <c r="S8" s="333">
        <f>IF(ISERROR(SEARCH("reajuste",C8)),"",IF(F8&lt;&gt;"","",IF(SUM(COUNTIFS('06. MEDIÇÃO (BM)'!$B$5:$B$44,B8,'06. MEDIÇÃO (BM)'!$C$5:$C$44,LEFT(C8,4),'06. MEDIÇÃO (BM)'!$F$5:$F$44,{"APROVADO","FATURADO","RECEBIDO"}))=0,"BM não aprovado",SUMIFS('06. MEDIÇÃO (BM)'!$G$5:$G$44,'06. MEDIÇÃO (BM)'!$B$5:$B$44,B8,'06. MEDIÇÃO (BM)'!$C$5:$C$44,LEFT(C8,4))*$Q$6)))</f>
        <v>91728.6910877829</v>
      </c>
    </row>
    <row r="9">
      <c r="A9" s="30" t="n">
        <v>5</v>
      </c>
      <c r="B9" s="49" t="inlineStr">
        <is>
          <t>281</t>
        </is>
      </c>
      <c r="C9" s="49" t="inlineStr">
        <is>
          <t>BM04 (reajuste)</t>
        </is>
      </c>
      <c r="D9" s="49" t="inlineStr">
        <is>
          <t>PENDENTE</t>
        </is>
      </c>
      <c r="E9" s="37" t="n"/>
      <c r="F9" s="313" t="n"/>
      <c r="G9" s="313" t="n"/>
      <c r="H9" s="313" t="n"/>
      <c r="I9" s="315">
        <f>IF(F9="","",F9-G9-H9-O9)</f>
      </c>
      <c r="J9" s="44">
        <f>IF(OR(E9="",B9=""),"",E9+IF(B9="342",'03. CONTRATOS'!$B$14,IF(B9="343",'03. CONTRATOS'!$D$14,'03. CONTRATOS'!$F$14)))</f>
      </c>
      <c r="K9" s="37" t="n"/>
      <c r="L9" s="313" t="n"/>
      <c r="M9" s="315">
        <f>IF(L9="","",L9-I9)</f>
      </c>
      <c r="N9" s="49" t="inlineStr">
        <is>
          <t>NF de reajuste não lançada (05C R60).</t>
        </is>
      </c>
      <c r="O9" s="313" t="n"/>
      <c r="P9" s="313" t="n"/>
      <c r="Q9" s="332" t="str">
        <f>IF(ISERROR(SEARCH("reajuste",C9)),"",IF(F9="","sem NF",IFERROR(F9/SUMIFS('06. MEDIÇÃO (BM)'!$G$5:$G$44,'06. MEDIÇÃO (BM)'!$B$5:$B$44,B9,'06. MEDIÇÃO (BM)'!$C$5:$C$44,LEFT(C9,4)),"BM fora da 06")))</f>
        <v>sem NF</v>
      </c>
      <c r="R9" s="49" t="inlineStr">
        <is>
          <t>PENDENTE</t>
        </is>
      </c>
      <c r="S9" s="333">
        <f>IF(ISERROR(SEARCH("reajuste",C9)),"",IF(F9&lt;&gt;"","",IF(SUM(COUNTIFS('06. MEDIÇÃO (BM)'!$B$5:$B$44,B9,'06. MEDIÇÃO (BM)'!$C$5:$C$44,LEFT(C9,4),'06. MEDIÇÃO (BM)'!$F$5:$F$44,{"APROVADO","FATURADO","RECEBIDO"}))=0,"BM não aprovado",SUMIFS('06. MEDIÇÃO (BM)'!$G$5:$G$44,'06. MEDIÇÃO (BM)'!$B$5:$B$44,B9,'06. MEDIÇÃO (BM)'!$C$5:$C$44,LEFT(C9,4))*$Q$6)))</f>
        <v>67162.5627337926</v>
      </c>
    </row>
    <row r="10">
      <c r="A10" s="30" t="n">
        <v>6</v>
      </c>
      <c r="B10" s="49" t="inlineStr">
        <is>
          <t>281</t>
        </is>
      </c>
      <c r="C10" s="49" t="inlineStr">
        <is>
          <t>BM05 (reajuste)</t>
        </is>
      </c>
      <c r="D10" s="49" t="inlineStr">
        <is>
          <t>PENDENTE</t>
        </is>
      </c>
      <c r="E10" s="37" t="n"/>
      <c r="F10" s="313" t="n"/>
      <c r="G10" s="313" t="n"/>
      <c r="H10" s="313" t="n"/>
      <c r="I10" s="315">
        <f>IF(F10="","",F10-G10-H10-O10)</f>
      </c>
      <c r="J10" s="44">
        <f>IF(OR(E10="",B10=""),"",E10+IF(B10="342",'03. CONTRATOS'!$B$14,IF(B10="343",'03. CONTRATOS'!$D$14,'03. CONTRATOS'!$F$14)))</f>
      </c>
      <c r="K10" s="37" t="n"/>
      <c r="L10" s="313" t="n"/>
      <c r="M10" s="315">
        <f>IF(L10="","",L10-I10)</f>
      </c>
      <c r="N10" s="49" t="inlineStr">
        <is>
          <t>NF de reajuste não lançada (05C R60).</t>
        </is>
      </c>
      <c r="O10" s="313" t="n"/>
      <c r="P10" s="313" t="n"/>
      <c r="Q10" s="332" t="str">
        <f>IF(ISERROR(SEARCH("reajuste",C10)),"",IF(F10="","sem NF",IFERROR(F10/SUMIFS('06. MEDIÇÃO (BM)'!$G$5:$G$44,'06. MEDIÇÃO (BM)'!$B$5:$B$44,B10,'06. MEDIÇÃO (BM)'!$C$5:$C$44,LEFT(C10,4)),"BM fora da 06")))</f>
        <v>sem NF</v>
      </c>
      <c r="R10" s="49" t="inlineStr">
        <is>
          <t>PENDENTE</t>
        </is>
      </c>
      <c r="S10" s="333">
        <f>IF(ISERROR(SEARCH("reajuste",C10)),"",IF(F10&lt;&gt;"","",IF(SUM(COUNTIFS('06. MEDIÇÃO (BM)'!$B$5:$B$44,B10,'06. MEDIÇÃO (BM)'!$C$5:$C$44,LEFT(C10,4),'06. MEDIÇÃO (BM)'!$F$5:$F$44,{"APROVADO","FATURADO","RECEBIDO"}))=0,"BM não aprovado",SUMIFS('06. MEDIÇÃO (BM)'!$G$5:$G$44,'06. MEDIÇÃO (BM)'!$B$5:$B$44,B10,'06. MEDIÇÃO (BM)'!$C$5:$C$44,LEFT(C10,4))*$Q$6)))</f>
        <v>176556.849625609</v>
      </c>
    </row>
    <row r="11">
      <c r="A11" s="30" t="n">
        <v>7</v>
      </c>
      <c r="B11" s="49" t="inlineStr">
        <is>
          <t>281</t>
        </is>
      </c>
      <c r="C11" s="49" t="inlineStr">
        <is>
          <t>BM06 (reajuste)</t>
        </is>
      </c>
      <c r="D11" s="49" t="inlineStr">
        <is>
          <t>PENDENTE</t>
        </is>
      </c>
      <c r="E11" s="37" t="n"/>
      <c r="F11" s="313" t="n"/>
      <c r="G11" s="313" t="n"/>
      <c r="H11" s="313" t="n"/>
      <c r="I11" s="315">
        <f>IF(F11="","",F11-G11-H11-O11)</f>
      </c>
      <c r="J11" s="44">
        <f>IF(OR(E11="",B11=""),"",E11+IF(B11="342",'03. CONTRATOS'!$B$14,IF(B11="343",'03. CONTRATOS'!$D$14,'03. CONTRATOS'!$F$14)))</f>
      </c>
      <c r="K11" s="37" t="n"/>
      <c r="L11" s="313" t="n"/>
      <c r="M11" s="315">
        <f>IF(L11="","",L11-I11)</f>
      </c>
      <c r="N11" s="49" t="inlineStr">
        <is>
          <t>NF de reajuste não lançada (05C R60).</t>
        </is>
      </c>
      <c r="O11" s="313" t="n"/>
      <c r="P11" s="313" t="n"/>
      <c r="Q11" s="332" t="str">
        <f>IF(ISERROR(SEARCH("reajuste",C11)),"",IF(F11="","sem NF",IFERROR(F11/SUMIFS('06. MEDIÇÃO (BM)'!$G$5:$G$44,'06. MEDIÇÃO (BM)'!$B$5:$B$44,B11,'06. MEDIÇÃO (BM)'!$C$5:$C$44,LEFT(C11,4)),"BM fora da 06")))</f>
        <v>sem NF</v>
      </c>
      <c r="R11" s="49" t="inlineStr">
        <is>
          <t>PENDENTE</t>
        </is>
      </c>
      <c r="S11" s="333">
        <f>IF(ISERROR(SEARCH("reajuste",C11)),"",IF(F11&lt;&gt;"","",IF(SUM(COUNTIFS('06. MEDIÇÃO (BM)'!$B$5:$B$44,B11,'06. MEDIÇÃO (BM)'!$C$5:$C$44,LEFT(C11,4),'06. MEDIÇÃO (BM)'!$F$5:$F$44,{"APROVADO","FATURADO","RECEBIDO"}))=0,"BM não aprovado",SUMIFS('06. MEDIÇÃO (BM)'!$G$5:$G$44,'06. MEDIÇÃO (BM)'!$B$5:$B$44,B11,'06. MEDIÇÃO (BM)'!$C$5:$C$44,LEFT(C11,4))*$Q$6)))</f>
        <v>201063.708638785</v>
      </c>
    </row>
    <row r="12">
      <c r="A12" s="30" t="n">
        <v>8</v>
      </c>
      <c r="B12" s="49" t="inlineStr">
        <is>
          <t>281</t>
        </is>
      </c>
      <c r="C12" s="49" t="inlineStr">
        <is>
          <t>BM07 (reajuste)</t>
        </is>
      </c>
      <c r="D12" s="49" t="inlineStr">
        <is>
          <t>PENDENTE</t>
        </is>
      </c>
      <c r="E12" s="37" t="n"/>
      <c r="F12" s="313" t="n"/>
      <c r="G12" s="313" t="n"/>
      <c r="H12" s="313" t="n"/>
      <c r="I12" s="315">
        <f>IF(F12="","",F12-G12-H12-O12)</f>
      </c>
      <c r="J12" s="44">
        <f>IF(OR(E12="",B12=""),"",E12+IF(B12="342",'03. CONTRATOS'!$B$14,IF(B12="343",'03. CONTRATOS'!$D$14,'03. CONTRATOS'!$F$14)))</f>
      </c>
      <c r="K12" s="37" t="n"/>
      <c r="L12" s="313" t="n"/>
      <c r="M12" s="315">
        <f>IF(L12="","",L12-I12)</f>
      </c>
      <c r="N12" s="49" t="inlineStr">
        <is>
          <t>NF de reajuste não lançada (05C R60).</t>
        </is>
      </c>
      <c r="O12" s="313" t="n"/>
      <c r="P12" s="313" t="n"/>
      <c r="Q12" s="332" t="str">
        <f>IF(ISERROR(SEARCH("reajuste",C12)),"",IF(F12="","sem NF",IFERROR(F12/SUMIFS('06. MEDIÇÃO (BM)'!$G$5:$G$44,'06. MEDIÇÃO (BM)'!$B$5:$B$44,B12,'06. MEDIÇÃO (BM)'!$C$5:$C$44,LEFT(C12,4)),"BM fora da 06")))</f>
        <v>sem NF</v>
      </c>
      <c r="R12" s="49" t="inlineStr">
        <is>
          <t>PENDENTE</t>
        </is>
      </c>
      <c r="S12" s="333" t="str">
        <f>IF(ISERROR(SEARCH("reajuste",C12)),"",IF(F12&lt;&gt;"","",IF(SUM(COUNTIFS('06. MEDIÇÃO (BM)'!$B$5:$B$44,B12,'06. MEDIÇÃO (BM)'!$C$5:$C$44,LEFT(C12,4),'06. MEDIÇÃO (BM)'!$F$5:$F$44,{"APROVADO","FATURADO","RECEBIDO"}))=0,"BM não aprovado",SUMIFS('06. MEDIÇÃO (BM)'!$G$5:$G$44,'06. MEDIÇÃO (BM)'!$B$5:$B$44,B12,'06. MEDIÇÃO (BM)'!$C$5:$C$44,LEFT(C12,4))*$Q$6)))</f>
        <v>BM não aprovado</v>
      </c>
    </row>
    <row r="13">
      <c r="A13" s="30" t="n">
        <v>9</v>
      </c>
      <c r="B13" s="49" t="n"/>
      <c r="C13" s="49" t="n"/>
      <c r="D13" s="49" t="n"/>
      <c r="E13" s="37" t="n"/>
      <c r="F13" s="313" t="n"/>
      <c r="G13" s="313" t="n"/>
      <c r="H13" s="313" t="n"/>
      <c r="I13" s="315">
        <f>IF(F13="","",F13-G13-H13-O13)</f>
      </c>
      <c r="J13" s="44">
        <f>IF(OR(E13="",B13=""),"",E13+IF(B13="342",'03. CONTRATOS'!$B$14,IF(B13="343",'03. CONTRATOS'!$D$14,'03. CONTRATOS'!$F$14)))</f>
      </c>
      <c r="K13" s="37" t="n"/>
      <c r="L13" s="313" t="n"/>
      <c r="M13" s="315">
        <f>IF(L13="","",L13-I13)</f>
      </c>
      <c r="N13" s="49" t="n"/>
      <c r="O13" s="313" t="n"/>
      <c r="P13" s="313" t="n"/>
      <c r="Q13" s="332">
        <f>IF(ISERROR(SEARCH("reajuste",C13)),"",IF(F13="","sem NF",IFERROR(F13/SUMIFS('06. MEDIÇÃO (BM)'!$G$5:$G$44,'06. MEDIÇÃO (BM)'!$B$5:$B$44,B13,'06. MEDIÇÃO (BM)'!$C$5:$C$44,LEFT(C13,4)),"BM fora da 06")))</f>
      </c>
      <c r="R13" s="49" t="n"/>
      <c r="S13" s="333">
        <f>IF(ISERROR(SEARCH("reajuste",C13)),"",IF(F13&lt;&gt;"","",IF(SUM(COUNTIFS('06. MEDIÇÃO (BM)'!$B$5:$B$44,B13,'06. MEDIÇÃO (BM)'!$C$5:$C$44,LEFT(C13,4),'06. MEDIÇÃO (BM)'!$F$5:$F$44,{"APROVADO","FATURADO","RECEBIDO"}))=0,"BM não aprovado",SUMIFS('06. MEDIÇÃO (BM)'!$G$5:$G$44,'06. MEDIÇÃO (BM)'!$B$5:$B$44,B13,'06. MEDIÇÃO (BM)'!$C$5:$C$44,LEFT(C13,4))*$Q$6)))</f>
      </c>
    </row>
    <row r="14">
      <c r="A14" s="30" t="n">
        <v>10</v>
      </c>
      <c r="B14" s="49" t="n"/>
      <c r="C14" s="49" t="n"/>
      <c r="D14" s="49" t="n"/>
      <c r="E14" s="37" t="n"/>
      <c r="F14" s="313" t="n"/>
      <c r="G14" s="313" t="n"/>
      <c r="H14" s="313" t="n"/>
      <c r="I14" s="315">
        <f>IF(F14="","",F14-G14-H14-O14)</f>
      </c>
      <c r="J14" s="44">
        <f>IF(OR(E14="",B14=""),"",E14+IF(B14="342",'03. CONTRATOS'!$B$14,IF(B14="343",'03. CONTRATOS'!$D$14,'03. CONTRATOS'!$F$14)))</f>
      </c>
      <c r="K14" s="37" t="n"/>
      <c r="L14" s="313" t="n"/>
      <c r="M14" s="315">
        <f>IF(L14="","",L14-I14)</f>
      </c>
      <c r="N14" s="49" t="n"/>
      <c r="O14" s="313" t="n"/>
      <c r="P14" s="313" t="n"/>
      <c r="Q14" s="332">
        <f>IF(ISERROR(SEARCH("reajuste",C14)),"",IF(F14="","sem NF",IFERROR(F14/SUMIFS('06. MEDIÇÃO (BM)'!$G$5:$G$44,'06. MEDIÇÃO (BM)'!$B$5:$B$44,B14,'06. MEDIÇÃO (BM)'!$C$5:$C$44,LEFT(C14,4)),"BM fora da 06")))</f>
      </c>
      <c r="R14" s="49" t="n"/>
      <c r="S14" s="333">
        <f>IF(ISERROR(SEARCH("reajuste",C14)),"",IF(F14&lt;&gt;"","",IF(SUM(COUNTIFS('06. MEDIÇÃO (BM)'!$B$5:$B$44,B14,'06. MEDIÇÃO (BM)'!$C$5:$C$44,LEFT(C14,4),'06. MEDIÇÃO (BM)'!$F$5:$F$44,{"APROVADO","FATURADO","RECEBIDO"}))=0,"BM não aprovado",SUMIFS('06. MEDIÇÃO (BM)'!$G$5:$G$44,'06. MEDIÇÃO (BM)'!$B$5:$B$44,B14,'06. MEDIÇÃO (BM)'!$C$5:$C$44,LEFT(C14,4))*$Q$6)))</f>
      </c>
    </row>
    <row r="15">
      <c r="A15" s="30" t="n">
        <v>11</v>
      </c>
      <c r="B15" s="49" t="n"/>
      <c r="C15" s="49" t="n"/>
      <c r="D15" s="49" t="n"/>
      <c r="E15" s="37" t="n"/>
      <c r="F15" s="313" t="n"/>
      <c r="G15" s="313" t="n"/>
      <c r="H15" s="313" t="n"/>
      <c r="I15" s="315">
        <f>IF(F15="","",F15-G15-H15-O15)</f>
      </c>
      <c r="J15" s="44">
        <f>IF(OR(E15="",B15=""),"",E15+IF(B15="342",'03. CONTRATOS'!$B$14,IF(B15="343",'03. CONTRATOS'!$D$14,'03. CONTRATOS'!$F$14)))</f>
      </c>
      <c r="K15" s="37" t="n"/>
      <c r="L15" s="313" t="n"/>
      <c r="M15" s="315">
        <f>IF(L15="","",L15-I15)</f>
      </c>
      <c r="N15" s="49" t="n"/>
      <c r="O15" s="313" t="n"/>
      <c r="P15" s="313" t="n"/>
      <c r="Q15" s="332">
        <f>IF(ISERROR(SEARCH("reajuste",C15)),"",IF(F15="","sem NF",IFERROR(F15/SUMIFS('06. MEDIÇÃO (BM)'!$G$5:$G$44,'06. MEDIÇÃO (BM)'!$B$5:$B$44,B15,'06. MEDIÇÃO (BM)'!$C$5:$C$44,LEFT(C15,4)),"BM fora da 06")))</f>
      </c>
      <c r="R15" s="49" t="n"/>
      <c r="S15" s="333">
        <f>IF(ISERROR(SEARCH("reajuste",C15)),"",IF(F15&lt;&gt;"","",IF(SUM(COUNTIFS('06. MEDIÇÃO (BM)'!$B$5:$B$44,B15,'06. MEDIÇÃO (BM)'!$C$5:$C$44,LEFT(C15,4),'06. MEDIÇÃO (BM)'!$F$5:$F$44,{"APROVADO","FATURADO","RECEBIDO"}))=0,"BM não aprovado",SUMIFS('06. MEDIÇÃO (BM)'!$G$5:$G$44,'06. MEDIÇÃO (BM)'!$B$5:$B$44,B15,'06. MEDIÇÃO (BM)'!$C$5:$C$44,LEFT(C15,4))*$Q$6)))</f>
      </c>
    </row>
    <row r="16">
      <c r="A16" s="30" t="n">
        <v>12</v>
      </c>
      <c r="B16" s="49" t="n"/>
      <c r="C16" s="49" t="n"/>
      <c r="D16" s="49" t="n"/>
      <c r="E16" s="37" t="n"/>
      <c r="F16" s="313" t="n"/>
      <c r="G16" s="313" t="n"/>
      <c r="H16" s="313" t="n"/>
      <c r="I16" s="315">
        <f>IF(F16="","",F16-G16-H16-O16)</f>
      </c>
      <c r="J16" s="44">
        <f>IF(OR(E16="",B16=""),"",E16+IF(B16="342",'03. CONTRATOS'!$B$14,IF(B16="343",'03. CONTRATOS'!$D$14,'03. CONTRATOS'!$F$14)))</f>
      </c>
      <c r="K16" s="37" t="n"/>
      <c r="L16" s="313" t="n"/>
      <c r="M16" s="315">
        <f>IF(L16="","",L16-I16)</f>
      </c>
      <c r="N16" s="49" t="n"/>
      <c r="O16" s="313" t="n"/>
      <c r="P16" s="313" t="n"/>
      <c r="Q16" s="332">
        <f>IF(ISERROR(SEARCH("reajuste",C16)),"",IF(F16="","sem NF",IFERROR(F16/SUMIFS('06. MEDIÇÃO (BM)'!$G$5:$G$44,'06. MEDIÇÃO (BM)'!$B$5:$B$44,B16,'06. MEDIÇÃO (BM)'!$C$5:$C$44,LEFT(C16,4)),"BM fora da 06")))</f>
      </c>
      <c r="R16" s="49" t="n"/>
      <c r="S16" s="333">
        <f>IF(ISERROR(SEARCH("reajuste",C16)),"",IF(F16&lt;&gt;"","",IF(SUM(COUNTIFS('06. MEDIÇÃO (BM)'!$B$5:$B$44,B16,'06. MEDIÇÃO (BM)'!$C$5:$C$44,LEFT(C16,4),'06. MEDIÇÃO (BM)'!$F$5:$F$44,{"APROVADO","FATURADO","RECEBIDO"}))=0,"BM não aprovado",SUMIFS('06. MEDIÇÃO (BM)'!$G$5:$G$44,'06. MEDIÇÃO (BM)'!$B$5:$B$44,B16,'06. MEDIÇÃO (BM)'!$C$5:$C$44,LEFT(C16,4))*$Q$6)))</f>
      </c>
    </row>
    <row r="17">
      <c r="A17" s="30" t="n">
        <v>13</v>
      </c>
      <c r="B17" s="49" t="n"/>
      <c r="C17" s="49" t="n"/>
      <c r="D17" s="49" t="n"/>
      <c r="E17" s="37" t="n"/>
      <c r="F17" s="313" t="n"/>
      <c r="G17" s="313" t="n"/>
      <c r="H17" s="313" t="n"/>
      <c r="I17" s="315">
        <f>IF(F17="","",F17-G17-H17-O17)</f>
      </c>
      <c r="J17" s="44">
        <f>IF(OR(E17="",B17=""),"",E17+IF(B17="342",'03. CONTRATOS'!$B$14,IF(B17="343",'03. CONTRATOS'!$D$14,'03. CONTRATOS'!$F$14)))</f>
      </c>
      <c r="K17" s="37" t="n"/>
      <c r="L17" s="313" t="n"/>
      <c r="M17" s="315">
        <f>IF(L17="","",L17-I17)</f>
      </c>
      <c r="N17" s="49" t="n"/>
      <c r="O17" s="313" t="n"/>
      <c r="P17" s="313" t="n"/>
      <c r="Q17" s="332">
        <f>IF(ISERROR(SEARCH("reajuste",C17)),"",IF(F17="","sem NF",IFERROR(F17/SUMIFS('06. MEDIÇÃO (BM)'!$G$5:$G$44,'06. MEDIÇÃO (BM)'!$B$5:$B$44,B17,'06. MEDIÇÃO (BM)'!$C$5:$C$44,LEFT(C17,4)),"BM fora da 06")))</f>
      </c>
      <c r="R17" s="49" t="n"/>
      <c r="S17" s="333">
        <f>IF(ISERROR(SEARCH("reajuste",C17)),"",IF(F17&lt;&gt;"","",IF(SUM(COUNTIFS('06. MEDIÇÃO (BM)'!$B$5:$B$44,B17,'06. MEDIÇÃO (BM)'!$C$5:$C$44,LEFT(C17,4),'06. MEDIÇÃO (BM)'!$F$5:$F$44,{"APROVADO","FATURADO","RECEBIDO"}))=0,"BM não aprovado",SUMIFS('06. MEDIÇÃO (BM)'!$G$5:$G$44,'06. MEDIÇÃO (BM)'!$B$5:$B$44,B17,'06. MEDIÇÃO (BM)'!$C$5:$C$44,LEFT(C17,4))*$Q$6)))</f>
      </c>
    </row>
    <row r="18">
      <c r="A18" s="30" t="n">
        <v>14</v>
      </c>
      <c r="B18" s="49" t="n"/>
      <c r="C18" s="49" t="n"/>
      <c r="D18" s="49" t="n"/>
      <c r="E18" s="37" t="n"/>
      <c r="F18" s="313" t="n"/>
      <c r="G18" s="313" t="n"/>
      <c r="H18" s="313" t="n"/>
      <c r="I18" s="315">
        <f>IF(F18="","",F18-G18-H18-O18)</f>
      </c>
      <c r="J18" s="44">
        <f>IF(OR(E18="",B18=""),"",E18+IF(B18="342",'03. CONTRATOS'!$B$14,IF(B18="343",'03. CONTRATOS'!$D$14,'03. CONTRATOS'!$F$14)))</f>
      </c>
      <c r="K18" s="37" t="n"/>
      <c r="L18" s="313" t="n"/>
      <c r="M18" s="315">
        <f>IF(L18="","",L18-I18)</f>
      </c>
      <c r="N18" s="49" t="n"/>
      <c r="O18" s="313" t="n"/>
      <c r="P18" s="313" t="n"/>
      <c r="Q18" s="332">
        <f>IF(ISERROR(SEARCH("reajuste",C18)),"",IF(F18="","sem NF",IFERROR(F18/SUMIFS('06. MEDIÇÃO (BM)'!$G$5:$G$44,'06. MEDIÇÃO (BM)'!$B$5:$B$44,B18,'06. MEDIÇÃO (BM)'!$C$5:$C$44,LEFT(C18,4)),"BM fora da 06")))</f>
      </c>
      <c r="R18" s="49" t="n"/>
      <c r="S18" s="333">
        <f>IF(ISERROR(SEARCH("reajuste",C18)),"",IF(F18&lt;&gt;"","",IF(SUM(COUNTIFS('06. MEDIÇÃO (BM)'!$B$5:$B$44,B18,'06. MEDIÇÃO (BM)'!$C$5:$C$44,LEFT(C18,4),'06. MEDIÇÃO (BM)'!$F$5:$F$44,{"APROVADO","FATURADO","RECEBIDO"}))=0,"BM não aprovado",SUMIFS('06. MEDIÇÃO (BM)'!$G$5:$G$44,'06. MEDIÇÃO (BM)'!$B$5:$B$44,B18,'06. MEDIÇÃO (BM)'!$C$5:$C$44,LEFT(C18,4))*$Q$6)))</f>
      </c>
    </row>
    <row r="19">
      <c r="A19" s="30" t="n">
        <v>15</v>
      </c>
      <c r="B19" s="49" t="n"/>
      <c r="C19" s="49" t="n"/>
      <c r="D19" s="49" t="n"/>
      <c r="E19" s="37" t="n"/>
      <c r="F19" s="313" t="n"/>
      <c r="G19" s="313" t="n"/>
      <c r="H19" s="313" t="n"/>
      <c r="I19" s="315">
        <f>IF(F19="","",F19-G19-H19-O19)</f>
      </c>
      <c r="J19" s="44">
        <f>IF(OR(E19="",B19=""),"",E19+IF(B19="342",'03. CONTRATOS'!$B$14,IF(B19="343",'03. CONTRATOS'!$D$14,'03. CONTRATOS'!$F$14)))</f>
      </c>
      <c r="K19" s="37" t="n"/>
      <c r="L19" s="313" t="n"/>
      <c r="M19" s="315">
        <f>IF(L19="","",L19-I19)</f>
      </c>
      <c r="N19" s="49" t="n"/>
      <c r="O19" s="313" t="n"/>
      <c r="P19" s="313" t="n"/>
      <c r="Q19" s="332">
        <f>IF(ISERROR(SEARCH("reajuste",C19)),"",IF(F19="","sem NF",IFERROR(F19/SUMIFS('06. MEDIÇÃO (BM)'!$G$5:$G$44,'06. MEDIÇÃO (BM)'!$B$5:$B$44,B19,'06. MEDIÇÃO (BM)'!$C$5:$C$44,LEFT(C19,4)),"BM fora da 06")))</f>
      </c>
      <c r="R19" s="49" t="n"/>
      <c r="S19" s="333">
        <f>IF(ISERROR(SEARCH("reajuste",C19)),"",IF(F19&lt;&gt;"","",IF(SUM(COUNTIFS('06. MEDIÇÃO (BM)'!$B$5:$B$44,B19,'06. MEDIÇÃO (BM)'!$C$5:$C$44,LEFT(C19,4),'06. MEDIÇÃO (BM)'!$F$5:$F$44,{"APROVADO","FATURADO","RECEBIDO"}))=0,"BM não aprovado",SUMIFS('06. MEDIÇÃO (BM)'!$G$5:$G$44,'06. MEDIÇÃO (BM)'!$B$5:$B$44,B19,'06. MEDIÇÃO (BM)'!$C$5:$C$44,LEFT(C19,4))*$Q$6)))</f>
      </c>
    </row>
    <row r="20">
      <c r="A20" s="30" t="n">
        <v>16</v>
      </c>
      <c r="B20" s="49" t="n"/>
      <c r="C20" s="49" t="n"/>
      <c r="D20" s="49" t="n"/>
      <c r="E20" s="37" t="n"/>
      <c r="F20" s="313" t="n"/>
      <c r="G20" s="313" t="n"/>
      <c r="H20" s="313" t="n"/>
      <c r="I20" s="315">
        <f>IF(F20="","",F20-G20-H20-O20)</f>
      </c>
      <c r="J20" s="44">
        <f>IF(OR(E20="",B20=""),"",E20+IF(B20="342",'03. CONTRATOS'!$B$14,IF(B20="343",'03. CONTRATOS'!$D$14,'03. CONTRATOS'!$F$14)))</f>
      </c>
      <c r="K20" s="37" t="n"/>
      <c r="L20" s="313" t="n"/>
      <c r="M20" s="315">
        <f>IF(L20="","",L20-I20)</f>
      </c>
      <c r="N20" s="49" t="n"/>
      <c r="O20" s="313" t="n"/>
      <c r="P20" s="313" t="n"/>
      <c r="Q20" s="332">
        <f>IF(ISERROR(SEARCH("reajuste",C20)),"",IF(F20="","sem NF",IFERROR(F20/SUMIFS('06. MEDIÇÃO (BM)'!$G$5:$G$44,'06. MEDIÇÃO (BM)'!$B$5:$B$44,B20,'06. MEDIÇÃO (BM)'!$C$5:$C$44,LEFT(C20,4)),"BM fora da 06")))</f>
      </c>
      <c r="R20" s="49" t="n"/>
      <c r="S20" s="333">
        <f>IF(ISERROR(SEARCH("reajuste",C20)),"",IF(F20&lt;&gt;"","",IF(SUM(COUNTIFS('06. MEDIÇÃO (BM)'!$B$5:$B$44,B20,'06. MEDIÇÃO (BM)'!$C$5:$C$44,LEFT(C20,4),'06. MEDIÇÃO (BM)'!$F$5:$F$44,{"APROVADO","FATURADO","RECEBIDO"}))=0,"BM não aprovado",SUMIFS('06. MEDIÇÃO (BM)'!$G$5:$G$44,'06. MEDIÇÃO (BM)'!$B$5:$B$44,B20,'06. MEDIÇÃO (BM)'!$C$5:$C$44,LEFT(C20,4))*$Q$6)))</f>
      </c>
    </row>
    <row r="21">
      <c r="A21" s="30" t="n">
        <v>17</v>
      </c>
      <c r="B21" s="49" t="n"/>
      <c r="C21" s="49" t="n"/>
      <c r="D21" s="49" t="n"/>
      <c r="E21" s="37" t="n"/>
      <c r="F21" s="313" t="n"/>
      <c r="G21" s="313" t="n"/>
      <c r="H21" s="313" t="n"/>
      <c r="I21" s="315">
        <f>IF(F21="","",F21-G21-H21-O21)</f>
      </c>
      <c r="J21" s="44">
        <f>IF(OR(E21="",B21=""),"",E21+IF(B21="342",'03. CONTRATOS'!$B$14,IF(B21="343",'03. CONTRATOS'!$D$14,'03. CONTRATOS'!$F$14)))</f>
      </c>
      <c r="K21" s="37" t="n"/>
      <c r="L21" s="313" t="n"/>
      <c r="M21" s="315">
        <f>IF(L21="","",L21-I21)</f>
      </c>
      <c r="N21" s="49" t="n"/>
      <c r="O21" s="313" t="n"/>
      <c r="P21" s="313" t="n"/>
      <c r="Q21" s="332">
        <f>IF(ISERROR(SEARCH("reajuste",C21)),"",IF(F21="","sem NF",IFERROR(F21/SUMIFS('06. MEDIÇÃO (BM)'!$G$5:$G$44,'06. MEDIÇÃO (BM)'!$B$5:$B$44,B21,'06. MEDIÇÃO (BM)'!$C$5:$C$44,LEFT(C21,4)),"BM fora da 06")))</f>
      </c>
      <c r="R21" s="49" t="n"/>
      <c r="S21" s="333">
        <f>IF(ISERROR(SEARCH("reajuste",C21)),"",IF(F21&lt;&gt;"","",IF(SUM(COUNTIFS('06. MEDIÇÃO (BM)'!$B$5:$B$44,B21,'06. MEDIÇÃO (BM)'!$C$5:$C$44,LEFT(C21,4),'06. MEDIÇÃO (BM)'!$F$5:$F$44,{"APROVADO","FATURADO","RECEBIDO"}))=0,"BM não aprovado",SUMIFS('06. MEDIÇÃO (BM)'!$G$5:$G$44,'06. MEDIÇÃO (BM)'!$B$5:$B$44,B21,'06. MEDIÇÃO (BM)'!$C$5:$C$44,LEFT(C21,4))*$Q$6)))</f>
      </c>
    </row>
    <row r="22">
      <c r="A22" s="30" t="n">
        <v>18</v>
      </c>
      <c r="B22" s="49" t="n"/>
      <c r="C22" s="49" t="n"/>
      <c r="D22" s="49" t="n"/>
      <c r="E22" s="37" t="n"/>
      <c r="F22" s="313" t="n"/>
      <c r="G22" s="313" t="n"/>
      <c r="H22" s="313" t="n"/>
      <c r="I22" s="315">
        <f>IF(F22="","",F22-G22-H22-O22)</f>
      </c>
      <c r="J22" s="44">
        <f>IF(OR(E22="",B22=""),"",E22+IF(B22="342",'03. CONTRATOS'!$B$14,IF(B22="343",'03. CONTRATOS'!$D$14,'03. CONTRATOS'!$F$14)))</f>
      </c>
      <c r="K22" s="37" t="n"/>
      <c r="L22" s="313" t="n"/>
      <c r="M22" s="315">
        <f>IF(L22="","",L22-I22)</f>
      </c>
      <c r="N22" s="49" t="n"/>
      <c r="O22" s="313" t="n"/>
      <c r="P22" s="313" t="n"/>
      <c r="Q22" s="332">
        <f>IF(ISERROR(SEARCH("reajuste",C22)),"",IF(F22="","sem NF",IFERROR(F22/SUMIFS('06. MEDIÇÃO (BM)'!$G$5:$G$44,'06. MEDIÇÃO (BM)'!$B$5:$B$44,B22,'06. MEDIÇÃO (BM)'!$C$5:$C$44,LEFT(C22,4)),"BM fora da 06")))</f>
      </c>
      <c r="R22" s="49" t="n"/>
      <c r="S22" s="333">
        <f>IF(ISERROR(SEARCH("reajuste",C22)),"",IF(F22&lt;&gt;"","",IF(SUM(COUNTIFS('06. MEDIÇÃO (BM)'!$B$5:$B$44,B22,'06. MEDIÇÃO (BM)'!$C$5:$C$44,LEFT(C22,4),'06. MEDIÇÃO (BM)'!$F$5:$F$44,{"APROVADO","FATURADO","RECEBIDO"}))=0,"BM não aprovado",SUMIFS('06. MEDIÇÃO (BM)'!$G$5:$G$44,'06. MEDIÇÃO (BM)'!$B$5:$B$44,B22,'06. MEDIÇÃO (BM)'!$C$5:$C$44,LEFT(C22,4))*$Q$6)))</f>
      </c>
    </row>
    <row r="23">
      <c r="A23" s="30" t="n">
        <v>19</v>
      </c>
      <c r="B23" s="49" t="n"/>
      <c r="C23" s="49" t="n"/>
      <c r="D23" s="49" t="n"/>
      <c r="E23" s="37" t="n"/>
      <c r="F23" s="313" t="n"/>
      <c r="G23" s="313" t="n"/>
      <c r="H23" s="313" t="n"/>
      <c r="I23" s="315">
        <f>IF(F23="","",F23-G23-H23-O23)</f>
      </c>
      <c r="J23" s="44">
        <f>IF(OR(E23="",B23=""),"",E23+IF(B23="342",'03. CONTRATOS'!$B$14,IF(B23="343",'03. CONTRATOS'!$D$14,'03. CONTRATOS'!$F$14)))</f>
      </c>
      <c r="K23" s="37" t="n"/>
      <c r="L23" s="313" t="n"/>
      <c r="M23" s="315">
        <f>IF(L23="","",L23-I23)</f>
      </c>
      <c r="N23" s="49" t="n"/>
      <c r="O23" s="313" t="n"/>
      <c r="P23" s="313" t="n"/>
      <c r="Q23" s="332">
        <f>IF(ISERROR(SEARCH("reajuste",C23)),"",IF(F23="","sem NF",IFERROR(F23/SUMIFS('06. MEDIÇÃO (BM)'!$G$5:$G$44,'06. MEDIÇÃO (BM)'!$B$5:$B$44,B23,'06. MEDIÇÃO (BM)'!$C$5:$C$44,LEFT(C23,4)),"BM fora da 06")))</f>
      </c>
      <c r="R23" s="49" t="n"/>
      <c r="S23" s="333">
        <f>IF(ISERROR(SEARCH("reajuste",C23)),"",IF(F23&lt;&gt;"","",IF(SUM(COUNTIFS('06. MEDIÇÃO (BM)'!$B$5:$B$44,B23,'06. MEDIÇÃO (BM)'!$C$5:$C$44,LEFT(C23,4),'06. MEDIÇÃO (BM)'!$F$5:$F$44,{"APROVADO","FATURADO","RECEBIDO"}))=0,"BM não aprovado",SUMIFS('06. MEDIÇÃO (BM)'!$G$5:$G$44,'06. MEDIÇÃO (BM)'!$B$5:$B$44,B23,'06. MEDIÇÃO (BM)'!$C$5:$C$44,LEFT(C23,4))*$Q$6)))</f>
      </c>
    </row>
    <row r="24">
      <c r="A24" s="30" t="n">
        <v>20</v>
      </c>
      <c r="B24" s="49" t="n"/>
      <c r="C24" s="49" t="n"/>
      <c r="D24" s="49" t="n"/>
      <c r="E24" s="37" t="n"/>
      <c r="F24" s="313" t="n"/>
      <c r="G24" s="313" t="n"/>
      <c r="H24" s="313" t="n"/>
      <c r="I24" s="315">
        <f>IF(F24="","",F24-G24-H24-O24)</f>
      </c>
      <c r="J24" s="44">
        <f>IF(OR(E24="",B24=""),"",E24+IF(B24="342",'03. CONTRATOS'!$B$14,IF(B24="343",'03. CONTRATOS'!$D$14,'03. CONTRATOS'!$F$14)))</f>
      </c>
      <c r="K24" s="37" t="n"/>
      <c r="L24" s="313" t="n"/>
      <c r="M24" s="315">
        <f>IF(L24="","",L24-I24)</f>
      </c>
      <c r="N24" s="49" t="n"/>
      <c r="O24" s="313" t="n"/>
      <c r="P24" s="313" t="n"/>
      <c r="Q24" s="332">
        <f>IF(ISERROR(SEARCH("reajuste",C24)),"",IF(F24="","sem NF",IFERROR(F24/SUMIFS('06. MEDIÇÃO (BM)'!$G$5:$G$44,'06. MEDIÇÃO (BM)'!$B$5:$B$44,B24,'06. MEDIÇÃO (BM)'!$C$5:$C$44,LEFT(C24,4)),"BM fora da 06")))</f>
      </c>
      <c r="R24" s="49" t="n"/>
      <c r="S24" s="333">
        <f>IF(ISERROR(SEARCH("reajuste",C24)),"",IF(F24&lt;&gt;"","",IF(SUM(COUNTIFS('06. MEDIÇÃO (BM)'!$B$5:$B$44,B24,'06. MEDIÇÃO (BM)'!$C$5:$C$44,LEFT(C24,4),'06. MEDIÇÃO (BM)'!$F$5:$F$44,{"APROVADO","FATURADO","RECEBIDO"}))=0,"BM não aprovado",SUMIFS('06. MEDIÇÃO (BM)'!$G$5:$G$44,'06. MEDIÇÃO (BM)'!$B$5:$B$44,B24,'06. MEDIÇÃO (BM)'!$C$5:$C$44,LEFT(C24,4))*$Q$6)))</f>
      </c>
    </row>
    <row r="25">
      <c r="A25" s="30" t="n">
        <v>21</v>
      </c>
      <c r="B25" s="49" t="n"/>
      <c r="C25" s="49" t="n"/>
      <c r="D25" s="49" t="n"/>
      <c r="E25" s="37" t="n"/>
      <c r="F25" s="313" t="n"/>
      <c r="G25" s="313" t="n"/>
      <c r="H25" s="313" t="n"/>
      <c r="I25" s="315">
        <f>IF(F25="","",F25-G25-H25-O25)</f>
      </c>
      <c r="J25" s="44">
        <f>IF(OR(E25="",B25=""),"",E25+IF(B25="342",'03. CONTRATOS'!$B$14,IF(B25="343",'03. CONTRATOS'!$D$14,'03. CONTRATOS'!$F$14)))</f>
      </c>
      <c r="K25" s="37" t="n"/>
      <c r="L25" s="313" t="n"/>
      <c r="M25" s="315">
        <f>IF(L25="","",L25-I25)</f>
      </c>
      <c r="N25" s="49" t="n"/>
      <c r="O25" s="313" t="n"/>
      <c r="P25" s="313" t="n"/>
      <c r="Q25" s="332">
        <f>IF(ISERROR(SEARCH("reajuste",C25)),"",IF(F25="","sem NF",IFERROR(F25/SUMIFS('06. MEDIÇÃO (BM)'!$G$5:$G$44,'06. MEDIÇÃO (BM)'!$B$5:$B$44,B25,'06. MEDIÇÃO (BM)'!$C$5:$C$44,LEFT(C25,4)),"BM fora da 06")))</f>
      </c>
      <c r="R25" s="49" t="n"/>
      <c r="S25" s="333">
        <f>IF(ISERROR(SEARCH("reajuste",C25)),"",IF(F25&lt;&gt;"","",IF(SUM(COUNTIFS('06. MEDIÇÃO (BM)'!$B$5:$B$44,B25,'06. MEDIÇÃO (BM)'!$C$5:$C$44,LEFT(C25,4),'06. MEDIÇÃO (BM)'!$F$5:$F$44,{"APROVADO","FATURADO","RECEBIDO"}))=0,"BM não aprovado",SUMIFS('06. MEDIÇÃO (BM)'!$G$5:$G$44,'06. MEDIÇÃO (BM)'!$B$5:$B$44,B25,'06. MEDIÇÃO (BM)'!$C$5:$C$44,LEFT(C25,4))*$Q$6)))</f>
      </c>
    </row>
    <row r="26">
      <c r="A26" s="30" t="n">
        <v>22</v>
      </c>
      <c r="B26" s="49" t="n"/>
      <c r="C26" s="49" t="n"/>
      <c r="D26" s="49" t="n"/>
      <c r="E26" s="37" t="n"/>
      <c r="F26" s="313" t="n"/>
      <c r="G26" s="313" t="n"/>
      <c r="H26" s="313" t="n"/>
      <c r="I26" s="315">
        <f>IF(F26="","",F26-G26-H26-O26)</f>
      </c>
      <c r="J26" s="44">
        <f>IF(OR(E26="",B26=""),"",E26+IF(B26="342",'03. CONTRATOS'!$B$14,IF(B26="343",'03. CONTRATOS'!$D$14,'03. CONTRATOS'!$F$14)))</f>
      </c>
      <c r="K26" s="37" t="n"/>
      <c r="L26" s="313" t="n"/>
      <c r="M26" s="315">
        <f>IF(L26="","",L26-I26)</f>
      </c>
      <c r="N26" s="49" t="n"/>
      <c r="O26" s="313" t="n"/>
      <c r="P26" s="313" t="n"/>
      <c r="Q26" s="332">
        <f>IF(ISERROR(SEARCH("reajuste",C26)),"",IF(F26="","sem NF",IFERROR(F26/SUMIFS('06. MEDIÇÃO (BM)'!$G$5:$G$44,'06. MEDIÇÃO (BM)'!$B$5:$B$44,B26,'06. MEDIÇÃO (BM)'!$C$5:$C$44,LEFT(C26,4)),"BM fora da 06")))</f>
      </c>
      <c r="R26" s="49" t="n"/>
      <c r="S26" s="333">
        <f>IF(ISERROR(SEARCH("reajuste",C26)),"",IF(F26&lt;&gt;"","",IF(SUM(COUNTIFS('06. MEDIÇÃO (BM)'!$B$5:$B$44,B26,'06. MEDIÇÃO (BM)'!$C$5:$C$44,LEFT(C26,4),'06. MEDIÇÃO (BM)'!$F$5:$F$44,{"APROVADO","FATURADO","RECEBIDO"}))=0,"BM não aprovado",SUMIFS('06. MEDIÇÃO (BM)'!$G$5:$G$44,'06. MEDIÇÃO (BM)'!$B$5:$B$44,B26,'06. MEDIÇÃO (BM)'!$C$5:$C$44,LEFT(C26,4))*$Q$6)))</f>
      </c>
    </row>
    <row r="27">
      <c r="A27" s="30" t="n">
        <v>23</v>
      </c>
      <c r="B27" s="49" t="n"/>
      <c r="C27" s="49" t="n"/>
      <c r="D27" s="49" t="n"/>
      <c r="E27" s="37" t="n"/>
      <c r="F27" s="313" t="n"/>
      <c r="G27" s="313" t="n"/>
      <c r="H27" s="313" t="n"/>
      <c r="I27" s="315">
        <f>IF(F27="","",F27-G27-H27-O27)</f>
      </c>
      <c r="J27" s="44">
        <f>IF(OR(E27="",B27=""),"",E27+IF(B27="342",'03. CONTRATOS'!$B$14,IF(B27="343",'03. CONTRATOS'!$D$14,'03. CONTRATOS'!$F$14)))</f>
      </c>
      <c r="K27" s="37" t="n"/>
      <c r="L27" s="313" t="n"/>
      <c r="M27" s="315">
        <f>IF(L27="","",L27-I27)</f>
      </c>
      <c r="N27" s="49" t="n"/>
      <c r="O27" s="313" t="n"/>
      <c r="P27" s="313" t="n"/>
      <c r="Q27" s="332">
        <f>IF(ISERROR(SEARCH("reajuste",C27)),"",IF(F27="","sem NF",IFERROR(F27/SUMIFS('06. MEDIÇÃO (BM)'!$G$5:$G$44,'06. MEDIÇÃO (BM)'!$B$5:$B$44,B27,'06. MEDIÇÃO (BM)'!$C$5:$C$44,LEFT(C27,4)),"BM fora da 06")))</f>
      </c>
      <c r="R27" s="49" t="n"/>
      <c r="S27" s="333">
        <f>IF(ISERROR(SEARCH("reajuste",C27)),"",IF(F27&lt;&gt;"","",IF(SUM(COUNTIFS('06. MEDIÇÃO (BM)'!$B$5:$B$44,B27,'06. MEDIÇÃO (BM)'!$C$5:$C$44,LEFT(C27,4),'06. MEDIÇÃO (BM)'!$F$5:$F$44,{"APROVADO","FATURADO","RECEBIDO"}))=0,"BM não aprovado",SUMIFS('06. MEDIÇÃO (BM)'!$G$5:$G$44,'06. MEDIÇÃO (BM)'!$B$5:$B$44,B27,'06. MEDIÇÃO (BM)'!$C$5:$C$44,LEFT(C27,4))*$Q$6)))</f>
      </c>
    </row>
    <row r="28">
      <c r="A28" s="30" t="n">
        <v>24</v>
      </c>
      <c r="B28" s="49" t="n"/>
      <c r="C28" s="49" t="n"/>
      <c r="D28" s="49" t="n"/>
      <c r="E28" s="37" t="n"/>
      <c r="F28" s="313" t="n"/>
      <c r="G28" s="313" t="n"/>
      <c r="H28" s="313" t="n"/>
      <c r="I28" s="315">
        <f>IF(F28="","",F28-G28-H28-O28)</f>
      </c>
      <c r="J28" s="44">
        <f>IF(OR(E28="",B28=""),"",E28+IF(B28="342",'03. CONTRATOS'!$B$14,IF(B28="343",'03. CONTRATOS'!$D$14,'03. CONTRATOS'!$F$14)))</f>
      </c>
      <c r="K28" s="37" t="n"/>
      <c r="L28" s="313" t="n"/>
      <c r="M28" s="315">
        <f>IF(L28="","",L28-I28)</f>
      </c>
      <c r="N28" s="49" t="n"/>
      <c r="O28" s="313" t="n"/>
      <c r="P28" s="313" t="n"/>
      <c r="Q28" s="332">
        <f>IF(ISERROR(SEARCH("reajuste",C28)),"",IF(F28="","sem NF",IFERROR(F28/SUMIFS('06. MEDIÇÃO (BM)'!$G$5:$G$44,'06. MEDIÇÃO (BM)'!$B$5:$B$44,B28,'06. MEDIÇÃO (BM)'!$C$5:$C$44,LEFT(C28,4)),"BM fora da 06")))</f>
      </c>
      <c r="R28" s="49" t="n"/>
      <c r="S28" s="333">
        <f>IF(ISERROR(SEARCH("reajuste",C28)),"",IF(F28&lt;&gt;"","",IF(SUM(COUNTIFS('06. MEDIÇÃO (BM)'!$B$5:$B$44,B28,'06. MEDIÇÃO (BM)'!$C$5:$C$44,LEFT(C28,4),'06. MEDIÇÃO (BM)'!$F$5:$F$44,{"APROVADO","FATURADO","RECEBIDO"}))=0,"BM não aprovado",SUMIFS('06. MEDIÇÃO (BM)'!$G$5:$G$44,'06. MEDIÇÃO (BM)'!$B$5:$B$44,B28,'06. MEDIÇÃO (BM)'!$C$5:$C$44,LEFT(C28,4))*$Q$6)))</f>
      </c>
    </row>
    <row r="29">
      <c r="A29" s="30" t="n">
        <v>25</v>
      </c>
      <c r="B29" s="49" t="n"/>
      <c r="C29" s="49" t="n"/>
      <c r="D29" s="49" t="n"/>
      <c r="E29" s="37" t="n"/>
      <c r="F29" s="313" t="n"/>
      <c r="G29" s="313" t="n"/>
      <c r="H29" s="313" t="n"/>
      <c r="I29" s="315">
        <f>IF(F29="","",F29-G29-H29-O29)</f>
      </c>
      <c r="J29" s="44">
        <f>IF(OR(E29="",B29=""),"",E29+IF(B29="342",'03. CONTRATOS'!$B$14,IF(B29="343",'03. CONTRATOS'!$D$14,'03. CONTRATOS'!$F$14)))</f>
      </c>
      <c r="K29" s="37" t="n"/>
      <c r="L29" s="313" t="n"/>
      <c r="M29" s="315">
        <f>IF(L29="","",L29-I29)</f>
      </c>
      <c r="N29" s="49" t="n"/>
      <c r="O29" s="313" t="n"/>
      <c r="P29" s="313" t="n"/>
      <c r="Q29" s="332">
        <f>IF(ISERROR(SEARCH("reajuste",C29)),"",IF(F29="","sem NF",IFERROR(F29/SUMIFS('06. MEDIÇÃO (BM)'!$G$5:$G$44,'06. MEDIÇÃO (BM)'!$B$5:$B$44,B29,'06. MEDIÇÃO (BM)'!$C$5:$C$44,LEFT(C29,4)),"BM fora da 06")))</f>
      </c>
      <c r="R29" s="49" t="n"/>
      <c r="S29" s="333">
        <f>IF(ISERROR(SEARCH("reajuste",C29)),"",IF(F29&lt;&gt;"","",IF(SUM(COUNTIFS('06. MEDIÇÃO (BM)'!$B$5:$B$44,B29,'06. MEDIÇÃO (BM)'!$C$5:$C$44,LEFT(C29,4),'06. MEDIÇÃO (BM)'!$F$5:$F$44,{"APROVADO","FATURADO","RECEBIDO"}))=0,"BM não aprovado",SUMIFS('06. MEDIÇÃO (BM)'!$G$5:$G$44,'06. MEDIÇÃO (BM)'!$B$5:$B$44,B29,'06. MEDIÇÃO (BM)'!$C$5:$C$44,LEFT(C29,4))*$Q$6)))</f>
      </c>
    </row>
    <row r="30">
      <c r="A30" s="30" t="n">
        <v>26</v>
      </c>
      <c r="B30" s="49" t="n"/>
      <c r="C30" s="49" t="n"/>
      <c r="D30" s="49" t="n"/>
      <c r="E30" s="37" t="n"/>
      <c r="F30" s="313" t="n"/>
      <c r="G30" s="313" t="n"/>
      <c r="H30" s="313" t="n"/>
      <c r="I30" s="315">
        <f>IF(F30="","",F30-G30-H30-O30)</f>
      </c>
      <c r="J30" s="44">
        <f>IF(OR(E30="",B30=""),"",E30+IF(B30="342",'03. CONTRATOS'!$B$14,IF(B30="343",'03. CONTRATOS'!$D$14,'03. CONTRATOS'!$F$14)))</f>
      </c>
      <c r="K30" s="37" t="n"/>
      <c r="L30" s="313" t="n"/>
      <c r="M30" s="315">
        <f>IF(L30="","",L30-I30)</f>
      </c>
      <c r="N30" s="49" t="n"/>
      <c r="O30" s="313" t="n"/>
      <c r="P30" s="313" t="n"/>
      <c r="Q30" s="332">
        <f>IF(ISERROR(SEARCH("reajuste",C30)),"",IF(F30="","sem NF",IFERROR(F30/SUMIFS('06. MEDIÇÃO (BM)'!$G$5:$G$44,'06. MEDIÇÃO (BM)'!$B$5:$B$44,B30,'06. MEDIÇÃO (BM)'!$C$5:$C$44,LEFT(C30,4)),"BM fora da 06")))</f>
      </c>
      <c r="R30" s="49" t="n"/>
      <c r="S30" s="333">
        <f>IF(ISERROR(SEARCH("reajuste",C30)),"",IF(F30&lt;&gt;"","",IF(SUM(COUNTIFS('06. MEDIÇÃO (BM)'!$B$5:$B$44,B30,'06. MEDIÇÃO (BM)'!$C$5:$C$44,LEFT(C30,4),'06. MEDIÇÃO (BM)'!$F$5:$F$44,{"APROVADO","FATURADO","RECEBIDO"}))=0,"BM não aprovado",SUMIFS('06. MEDIÇÃO (BM)'!$G$5:$G$44,'06. MEDIÇÃO (BM)'!$B$5:$B$44,B30,'06. MEDIÇÃO (BM)'!$C$5:$C$44,LEFT(C30,4))*$Q$6)))</f>
      </c>
    </row>
    <row r="31">
      <c r="A31" s="30" t="n">
        <v>27</v>
      </c>
      <c r="B31" s="49" t="n"/>
      <c r="C31" s="49" t="n"/>
      <c r="D31" s="49" t="n"/>
      <c r="E31" s="37" t="n"/>
      <c r="F31" s="313" t="n"/>
      <c r="G31" s="313" t="n"/>
      <c r="H31" s="313" t="n"/>
      <c r="I31" s="315">
        <f>IF(F31="","",F31-G31-H31-O31)</f>
      </c>
      <c r="J31" s="44">
        <f>IF(OR(E31="",B31=""),"",E31+IF(B31="342",'03. CONTRATOS'!$B$14,IF(B31="343",'03. CONTRATOS'!$D$14,'03. CONTRATOS'!$F$14)))</f>
      </c>
      <c r="K31" s="37" t="n"/>
      <c r="L31" s="313" t="n"/>
      <c r="M31" s="315">
        <f>IF(L31="","",L31-I31)</f>
      </c>
      <c r="N31" s="49" t="n"/>
      <c r="O31" s="313" t="n"/>
      <c r="P31" s="313" t="n"/>
      <c r="Q31" s="332">
        <f>IF(ISERROR(SEARCH("reajuste",C31)),"",IF(F31="","sem NF",IFERROR(F31/SUMIFS('06. MEDIÇÃO (BM)'!$G$5:$G$44,'06. MEDIÇÃO (BM)'!$B$5:$B$44,B31,'06. MEDIÇÃO (BM)'!$C$5:$C$44,LEFT(C31,4)),"BM fora da 06")))</f>
      </c>
      <c r="R31" s="49" t="n"/>
      <c r="S31" s="333">
        <f>IF(ISERROR(SEARCH("reajuste",C31)),"",IF(F31&lt;&gt;"","",IF(SUM(COUNTIFS('06. MEDIÇÃO (BM)'!$B$5:$B$44,B31,'06. MEDIÇÃO (BM)'!$C$5:$C$44,LEFT(C31,4),'06. MEDIÇÃO (BM)'!$F$5:$F$44,{"APROVADO","FATURADO","RECEBIDO"}))=0,"BM não aprovado",SUMIFS('06. MEDIÇÃO (BM)'!$G$5:$G$44,'06. MEDIÇÃO (BM)'!$B$5:$B$44,B31,'06. MEDIÇÃO (BM)'!$C$5:$C$44,LEFT(C31,4))*$Q$6)))</f>
      </c>
    </row>
    <row r="32">
      <c r="A32" s="30" t="n">
        <v>28</v>
      </c>
      <c r="B32" s="49" t="n"/>
      <c r="C32" s="49" t="n"/>
      <c r="D32" s="49" t="n"/>
      <c r="E32" s="37" t="n"/>
      <c r="F32" s="313" t="n"/>
      <c r="G32" s="313" t="n"/>
      <c r="H32" s="313" t="n"/>
      <c r="I32" s="315">
        <f>IF(F32="","",F32-G32-H32-O32)</f>
      </c>
      <c r="J32" s="44">
        <f>IF(OR(E32="",B32=""),"",E32+IF(B32="342",'03. CONTRATOS'!$B$14,IF(B32="343",'03. CONTRATOS'!$D$14,'03. CONTRATOS'!$F$14)))</f>
      </c>
      <c r="K32" s="37" t="n"/>
      <c r="L32" s="313" t="n"/>
      <c r="M32" s="315">
        <f>IF(L32="","",L32-I32)</f>
      </c>
      <c r="N32" s="49" t="n"/>
      <c r="O32" s="313" t="n"/>
      <c r="P32" s="313" t="n"/>
      <c r="Q32" s="332">
        <f>IF(ISERROR(SEARCH("reajuste",C32)),"",IF(F32="","sem NF",IFERROR(F32/SUMIFS('06. MEDIÇÃO (BM)'!$G$5:$G$44,'06. MEDIÇÃO (BM)'!$B$5:$B$44,B32,'06. MEDIÇÃO (BM)'!$C$5:$C$44,LEFT(C32,4)),"BM fora da 06")))</f>
      </c>
      <c r="R32" s="49" t="n"/>
      <c r="S32" s="333">
        <f>IF(ISERROR(SEARCH("reajuste",C32)),"",IF(F32&lt;&gt;"","",IF(SUM(COUNTIFS('06. MEDIÇÃO (BM)'!$B$5:$B$44,B32,'06. MEDIÇÃO (BM)'!$C$5:$C$44,LEFT(C32,4),'06. MEDIÇÃO (BM)'!$F$5:$F$44,{"APROVADO","FATURADO","RECEBIDO"}))=0,"BM não aprovado",SUMIFS('06. MEDIÇÃO (BM)'!$G$5:$G$44,'06. MEDIÇÃO (BM)'!$B$5:$B$44,B32,'06. MEDIÇÃO (BM)'!$C$5:$C$44,LEFT(C32,4))*$Q$6)))</f>
      </c>
    </row>
    <row r="33">
      <c r="A33" s="30" t="n">
        <v>29</v>
      </c>
      <c r="B33" s="49" t="n"/>
      <c r="C33" s="49" t="n"/>
      <c r="D33" s="49" t="n"/>
      <c r="E33" s="37" t="n"/>
      <c r="F33" s="313" t="n"/>
      <c r="G33" s="313" t="n"/>
      <c r="H33" s="313" t="n"/>
      <c r="I33" s="315">
        <f>IF(F33="","",F33-G33-H33-O33)</f>
      </c>
      <c r="J33" s="44">
        <f>IF(OR(E33="",B33=""),"",E33+IF(B33="342",'03. CONTRATOS'!$B$14,IF(B33="343",'03. CONTRATOS'!$D$14,'03. CONTRATOS'!$F$14)))</f>
      </c>
      <c r="K33" s="37" t="n"/>
      <c r="L33" s="313" t="n"/>
      <c r="M33" s="315">
        <f>IF(L33="","",L33-I33)</f>
      </c>
      <c r="N33" s="49" t="n"/>
      <c r="O33" s="313" t="n"/>
      <c r="P33" s="313" t="n"/>
      <c r="Q33" s="332">
        <f>IF(ISERROR(SEARCH("reajuste",C33)),"",IF(F33="","sem NF",IFERROR(F33/SUMIFS('06. MEDIÇÃO (BM)'!$G$5:$G$44,'06. MEDIÇÃO (BM)'!$B$5:$B$44,B33,'06. MEDIÇÃO (BM)'!$C$5:$C$44,LEFT(C33,4)),"BM fora da 06")))</f>
      </c>
      <c r="R33" s="49" t="n"/>
      <c r="S33" s="333">
        <f>IF(ISERROR(SEARCH("reajuste",C33)),"",IF(F33&lt;&gt;"","",IF(SUM(COUNTIFS('06. MEDIÇÃO (BM)'!$B$5:$B$44,B33,'06. MEDIÇÃO (BM)'!$C$5:$C$44,LEFT(C33,4),'06. MEDIÇÃO (BM)'!$F$5:$F$44,{"APROVADO","FATURADO","RECEBIDO"}))=0,"BM não aprovado",SUMIFS('06. MEDIÇÃO (BM)'!$G$5:$G$44,'06. MEDIÇÃO (BM)'!$B$5:$B$44,B33,'06. MEDIÇÃO (BM)'!$C$5:$C$44,LEFT(C33,4))*$Q$6)))</f>
      </c>
    </row>
    <row r="34">
      <c r="A34" s="30" t="n">
        <v>30</v>
      </c>
      <c r="B34" s="49" t="n"/>
      <c r="C34" s="49" t="n"/>
      <c r="D34" s="49" t="n"/>
      <c r="E34" s="37" t="n"/>
      <c r="F34" s="313" t="n"/>
      <c r="G34" s="313" t="n"/>
      <c r="H34" s="313" t="n"/>
      <c r="I34" s="315">
        <f>IF(F34="","",F34-G34-H34-O34)</f>
      </c>
      <c r="J34" s="44">
        <f>IF(OR(E34="",B34=""),"",E34+IF(B34="342",'03. CONTRATOS'!$B$14,IF(B34="343",'03. CONTRATOS'!$D$14,'03. CONTRATOS'!$F$14)))</f>
      </c>
      <c r="K34" s="37" t="n"/>
      <c r="L34" s="313" t="n"/>
      <c r="M34" s="315">
        <f>IF(L34="","",L34-I34)</f>
      </c>
      <c r="N34" s="49" t="n"/>
      <c r="O34" s="313" t="n"/>
      <c r="P34" s="313" t="n"/>
      <c r="Q34" s="332">
        <f>IF(ISERROR(SEARCH("reajuste",C34)),"",IF(F34="","sem NF",IFERROR(F34/SUMIFS('06. MEDIÇÃO (BM)'!$G$5:$G$44,'06. MEDIÇÃO (BM)'!$B$5:$B$44,B34,'06. MEDIÇÃO (BM)'!$C$5:$C$44,LEFT(C34,4)),"BM fora da 06")))</f>
      </c>
      <c r="R34" s="49" t="n"/>
      <c r="S34" s="333">
        <f>IF(ISERROR(SEARCH("reajuste",C34)),"",IF(F34&lt;&gt;"","",IF(SUM(COUNTIFS('06. MEDIÇÃO (BM)'!$B$5:$B$44,B34,'06. MEDIÇÃO (BM)'!$C$5:$C$44,LEFT(C34,4),'06. MEDIÇÃO (BM)'!$F$5:$F$44,{"APROVADO","FATURADO","RECEBIDO"}))=0,"BM não aprovado",SUMIFS('06. MEDIÇÃO (BM)'!$G$5:$G$44,'06. MEDIÇÃO (BM)'!$B$5:$B$44,B34,'06. MEDIÇÃO (BM)'!$C$5:$C$44,LEFT(C34,4))*$Q$6)))</f>
      </c>
    </row>
    <row r="35">
      <c r="A35" s="30" t="n">
        <v>31</v>
      </c>
      <c r="B35" s="49" t="n"/>
      <c r="C35" s="49" t="n"/>
      <c r="D35" s="49" t="n"/>
      <c r="E35" s="37" t="n"/>
      <c r="F35" s="313" t="n"/>
      <c r="G35" s="313" t="n"/>
      <c r="H35" s="313" t="n"/>
      <c r="I35" s="315">
        <f>IF(F35="","",F35-G35-H35-O35)</f>
      </c>
      <c r="J35" s="44">
        <f>IF(OR(E35="",B35=""),"",E35+IF(B35="342",'03. CONTRATOS'!$B$14,IF(B35="343",'03. CONTRATOS'!$D$14,'03. CONTRATOS'!$F$14)))</f>
      </c>
      <c r="K35" s="37" t="n"/>
      <c r="L35" s="313" t="n"/>
      <c r="M35" s="315">
        <f>IF(L35="","",L35-I35)</f>
      </c>
      <c r="N35" s="49" t="n"/>
      <c r="O35" s="313" t="n"/>
      <c r="P35" s="313" t="n"/>
      <c r="Q35" s="332">
        <f>IF(ISERROR(SEARCH("reajuste",C35)),"",IF(F35="","sem NF",IFERROR(F35/SUMIFS('06. MEDIÇÃO (BM)'!$G$5:$G$44,'06. MEDIÇÃO (BM)'!$B$5:$B$44,B35,'06. MEDIÇÃO (BM)'!$C$5:$C$44,LEFT(C35,4)),"BM fora da 06")))</f>
      </c>
      <c r="R35" s="49" t="n"/>
      <c r="S35" s="333">
        <f>IF(ISERROR(SEARCH("reajuste",C35)),"",IF(F35&lt;&gt;"","",IF(SUM(COUNTIFS('06. MEDIÇÃO (BM)'!$B$5:$B$44,B35,'06. MEDIÇÃO (BM)'!$C$5:$C$44,LEFT(C35,4),'06. MEDIÇÃO (BM)'!$F$5:$F$44,{"APROVADO","FATURADO","RECEBIDO"}))=0,"BM não aprovado",SUMIFS('06. MEDIÇÃO (BM)'!$G$5:$G$44,'06. MEDIÇÃO (BM)'!$B$5:$B$44,B35,'06. MEDIÇÃO (BM)'!$C$5:$C$44,LEFT(C35,4))*$Q$6)))</f>
      </c>
    </row>
    <row r="36">
      <c r="A36" s="30" t="n">
        <v>32</v>
      </c>
      <c r="B36" s="49" t="n"/>
      <c r="C36" s="49" t="n"/>
      <c r="D36" s="49" t="n"/>
      <c r="E36" s="37" t="n"/>
      <c r="F36" s="313" t="n"/>
      <c r="G36" s="313" t="n"/>
      <c r="H36" s="313" t="n"/>
      <c r="I36" s="315">
        <f>IF(F36="","",F36-G36-H36-O36)</f>
      </c>
      <c r="J36" s="44">
        <f>IF(OR(E36="",B36=""),"",E36+IF(B36="342",'03. CONTRATOS'!$B$14,IF(B36="343",'03. CONTRATOS'!$D$14,'03. CONTRATOS'!$F$14)))</f>
      </c>
      <c r="K36" s="37" t="n"/>
      <c r="L36" s="313" t="n"/>
      <c r="M36" s="315">
        <f>IF(L36="","",L36-I36)</f>
      </c>
      <c r="N36" s="49" t="n"/>
      <c r="O36" s="313" t="n"/>
      <c r="P36" s="313" t="n"/>
      <c r="Q36" s="332">
        <f>IF(ISERROR(SEARCH("reajuste",C36)),"",IF(F36="","sem NF",IFERROR(F36/SUMIFS('06. MEDIÇÃO (BM)'!$G$5:$G$44,'06. MEDIÇÃO (BM)'!$B$5:$B$44,B36,'06. MEDIÇÃO (BM)'!$C$5:$C$44,LEFT(C36,4)),"BM fora da 06")))</f>
      </c>
      <c r="R36" s="49" t="n"/>
      <c r="S36" s="333">
        <f>IF(ISERROR(SEARCH("reajuste",C36)),"",IF(F36&lt;&gt;"","",IF(SUM(COUNTIFS('06. MEDIÇÃO (BM)'!$B$5:$B$44,B36,'06. MEDIÇÃO (BM)'!$C$5:$C$44,LEFT(C36,4),'06. MEDIÇÃO (BM)'!$F$5:$F$44,{"APROVADO","FATURADO","RECEBIDO"}))=0,"BM não aprovado",SUMIFS('06. MEDIÇÃO (BM)'!$G$5:$G$44,'06. MEDIÇÃO (BM)'!$B$5:$B$44,B36,'06. MEDIÇÃO (BM)'!$C$5:$C$44,LEFT(C36,4))*$Q$6)))</f>
      </c>
    </row>
    <row r="37">
      <c r="A37" s="30" t="n">
        <v>33</v>
      </c>
      <c r="B37" s="49" t="n"/>
      <c r="C37" s="49" t="n"/>
      <c r="D37" s="49" t="n"/>
      <c r="E37" s="37" t="n"/>
      <c r="F37" s="313" t="n"/>
      <c r="G37" s="313" t="n"/>
      <c r="H37" s="313" t="n"/>
      <c r="I37" s="315">
        <f>IF(F37="","",F37-G37-H37-O37)</f>
      </c>
      <c r="J37" s="44">
        <f>IF(OR(E37="",B37=""),"",E37+IF(B37="342",'03. CONTRATOS'!$B$14,IF(B37="343",'03. CONTRATOS'!$D$14,'03. CONTRATOS'!$F$14)))</f>
      </c>
      <c r="K37" s="37" t="n"/>
      <c r="L37" s="313" t="n"/>
      <c r="M37" s="315">
        <f>IF(L37="","",L37-I37)</f>
      </c>
      <c r="N37" s="49" t="n"/>
      <c r="O37" s="313" t="n"/>
      <c r="P37" s="313" t="n"/>
      <c r="Q37" s="332">
        <f>IF(ISERROR(SEARCH("reajuste",C37)),"",IF(F37="","sem NF",IFERROR(F37/SUMIFS('06. MEDIÇÃO (BM)'!$G$5:$G$44,'06. MEDIÇÃO (BM)'!$B$5:$B$44,B37,'06. MEDIÇÃO (BM)'!$C$5:$C$44,LEFT(C37,4)),"BM fora da 06")))</f>
      </c>
      <c r="R37" s="49" t="n"/>
      <c r="S37" s="333">
        <f>IF(ISERROR(SEARCH("reajuste",C37)),"",IF(F37&lt;&gt;"","",IF(SUM(COUNTIFS('06. MEDIÇÃO (BM)'!$B$5:$B$44,B37,'06. MEDIÇÃO (BM)'!$C$5:$C$44,LEFT(C37,4),'06. MEDIÇÃO (BM)'!$F$5:$F$44,{"APROVADO","FATURADO","RECEBIDO"}))=0,"BM não aprovado",SUMIFS('06. MEDIÇÃO (BM)'!$G$5:$G$44,'06. MEDIÇÃO (BM)'!$B$5:$B$44,B37,'06. MEDIÇÃO (BM)'!$C$5:$C$44,LEFT(C37,4))*$Q$6)))</f>
      </c>
    </row>
    <row r="38">
      <c r="A38" s="30" t="n">
        <v>34</v>
      </c>
      <c r="B38" s="49" t="n"/>
      <c r="C38" s="49" t="n"/>
      <c r="D38" s="49" t="n"/>
      <c r="E38" s="37" t="n"/>
      <c r="F38" s="313" t="n"/>
      <c r="G38" s="313" t="n"/>
      <c r="H38" s="313" t="n"/>
      <c r="I38" s="315">
        <f>IF(F38="","",F38-G38-H38-O38)</f>
      </c>
      <c r="J38" s="44">
        <f>IF(OR(E38="",B38=""),"",E38+IF(B38="342",'03. CONTRATOS'!$B$14,IF(B38="343",'03. CONTRATOS'!$D$14,'03. CONTRATOS'!$F$14)))</f>
      </c>
      <c r="K38" s="37" t="n"/>
      <c r="L38" s="313" t="n"/>
      <c r="M38" s="315">
        <f>IF(L38="","",L38-I38)</f>
      </c>
      <c r="N38" s="49" t="n"/>
      <c r="O38" s="313" t="n"/>
      <c r="P38" s="313" t="n"/>
      <c r="Q38" s="332">
        <f>IF(ISERROR(SEARCH("reajuste",C38)),"",IF(F38="","sem NF",IFERROR(F38/SUMIFS('06. MEDIÇÃO (BM)'!$G$5:$G$44,'06. MEDIÇÃO (BM)'!$B$5:$B$44,B38,'06. MEDIÇÃO (BM)'!$C$5:$C$44,LEFT(C38,4)),"BM fora da 06")))</f>
      </c>
      <c r="R38" s="49" t="n"/>
      <c r="S38" s="333">
        <f>IF(ISERROR(SEARCH("reajuste",C38)),"",IF(F38&lt;&gt;"","",IF(SUM(COUNTIFS('06. MEDIÇÃO (BM)'!$B$5:$B$44,B38,'06. MEDIÇÃO (BM)'!$C$5:$C$44,LEFT(C38,4),'06. MEDIÇÃO (BM)'!$F$5:$F$44,{"APROVADO","FATURADO","RECEBIDO"}))=0,"BM não aprovado",SUMIFS('06. MEDIÇÃO (BM)'!$G$5:$G$44,'06. MEDIÇÃO (BM)'!$B$5:$B$44,B38,'06. MEDIÇÃO (BM)'!$C$5:$C$44,LEFT(C38,4))*$Q$6)))</f>
      </c>
    </row>
    <row r="39">
      <c r="A39" s="30" t="n">
        <v>35</v>
      </c>
      <c r="B39" s="49" t="n"/>
      <c r="C39" s="49" t="n"/>
      <c r="D39" s="49" t="n"/>
      <c r="E39" s="37" t="n"/>
      <c r="F39" s="313" t="n"/>
      <c r="G39" s="313" t="n"/>
      <c r="H39" s="313" t="n"/>
      <c r="I39" s="315">
        <f>IF(F39="","",F39-G39-H39-O39)</f>
      </c>
      <c r="J39" s="44">
        <f>IF(OR(E39="",B39=""),"",E39+IF(B39="342",'03. CONTRATOS'!$B$14,IF(B39="343",'03. CONTRATOS'!$D$14,'03. CONTRATOS'!$F$14)))</f>
      </c>
      <c r="K39" s="37" t="n"/>
      <c r="L39" s="313" t="n"/>
      <c r="M39" s="315">
        <f>IF(L39="","",L39-I39)</f>
      </c>
      <c r="N39" s="49" t="n"/>
      <c r="O39" s="313" t="n"/>
      <c r="P39" s="313" t="n"/>
      <c r="Q39" s="332">
        <f>IF(ISERROR(SEARCH("reajuste",C39)),"",IF(F39="","sem NF",IFERROR(F39/SUMIFS('06. MEDIÇÃO (BM)'!$G$5:$G$44,'06. MEDIÇÃO (BM)'!$B$5:$B$44,B39,'06. MEDIÇÃO (BM)'!$C$5:$C$44,LEFT(C39,4)),"BM fora da 06")))</f>
      </c>
      <c r="R39" s="49" t="n"/>
      <c r="S39" s="333">
        <f>IF(ISERROR(SEARCH("reajuste",C39)),"",IF(F39&lt;&gt;"","",IF(SUM(COUNTIFS('06. MEDIÇÃO (BM)'!$B$5:$B$44,B39,'06. MEDIÇÃO (BM)'!$C$5:$C$44,LEFT(C39,4),'06. MEDIÇÃO (BM)'!$F$5:$F$44,{"APROVADO","FATURADO","RECEBIDO"}))=0,"BM não aprovado",SUMIFS('06. MEDIÇÃO (BM)'!$G$5:$G$44,'06. MEDIÇÃO (BM)'!$B$5:$B$44,B39,'06. MEDIÇÃO (BM)'!$C$5:$C$44,LEFT(C39,4))*$Q$6)))</f>
      </c>
    </row>
    <row r="40">
      <c r="A40" s="30" t="n">
        <v>36</v>
      </c>
      <c r="B40" s="49" t="n"/>
      <c r="C40" s="49" t="n"/>
      <c r="D40" s="49" t="n"/>
      <c r="E40" s="37" t="n"/>
      <c r="F40" s="313" t="n"/>
      <c r="G40" s="313" t="n"/>
      <c r="H40" s="313" t="n"/>
      <c r="I40" s="315">
        <f>IF(F40="","",F40-G40-H40-O40)</f>
      </c>
      <c r="J40" s="44">
        <f>IF(OR(E40="",B40=""),"",E40+IF(B40="342",'03. CONTRATOS'!$B$14,IF(B40="343",'03. CONTRATOS'!$D$14,'03. CONTRATOS'!$F$14)))</f>
      </c>
      <c r="K40" s="37" t="n"/>
      <c r="L40" s="313" t="n"/>
      <c r="M40" s="315">
        <f>IF(L40="","",L40-I40)</f>
      </c>
      <c r="N40" s="49" t="n"/>
      <c r="O40" s="313" t="n"/>
      <c r="P40" s="313" t="n"/>
      <c r="Q40" s="332">
        <f>IF(ISERROR(SEARCH("reajuste",C40)),"",IF(F40="","sem NF",IFERROR(F40/SUMIFS('06. MEDIÇÃO (BM)'!$G$5:$G$44,'06. MEDIÇÃO (BM)'!$B$5:$B$44,B40,'06. MEDIÇÃO (BM)'!$C$5:$C$44,LEFT(C40,4)),"BM fora da 06")))</f>
      </c>
      <c r="R40" s="49" t="n"/>
      <c r="S40" s="333">
        <f>IF(ISERROR(SEARCH("reajuste",C40)),"",IF(F40&lt;&gt;"","",IF(SUM(COUNTIFS('06. MEDIÇÃO (BM)'!$B$5:$B$44,B40,'06. MEDIÇÃO (BM)'!$C$5:$C$44,LEFT(C40,4),'06. MEDIÇÃO (BM)'!$F$5:$F$44,{"APROVADO","FATURADO","RECEBIDO"}))=0,"BM não aprovado",SUMIFS('06. MEDIÇÃO (BM)'!$G$5:$G$44,'06. MEDIÇÃO (BM)'!$B$5:$B$44,B40,'06. MEDIÇÃO (BM)'!$C$5:$C$44,LEFT(C40,4))*$Q$6)))</f>
      </c>
    </row>
    <row r="41">
      <c r="A41" s="30" t="n">
        <v>37</v>
      </c>
      <c r="B41" s="49" t="n"/>
      <c r="C41" s="49" t="n"/>
      <c r="D41" s="49" t="n"/>
      <c r="E41" s="37" t="n"/>
      <c r="F41" s="313" t="n"/>
      <c r="G41" s="313" t="n"/>
      <c r="H41" s="313" t="n"/>
      <c r="I41" s="315">
        <f>IF(F41="","",F41-G41-H41-O41)</f>
      </c>
      <c r="J41" s="44">
        <f>IF(OR(E41="",B41=""),"",E41+IF(B41="342",'03. CONTRATOS'!$B$14,IF(B41="343",'03. CONTRATOS'!$D$14,'03. CONTRATOS'!$F$14)))</f>
      </c>
      <c r="K41" s="37" t="n"/>
      <c r="L41" s="313" t="n"/>
      <c r="M41" s="315">
        <f>IF(L41="","",L41-I41)</f>
      </c>
      <c r="N41" s="49" t="n"/>
      <c r="O41" s="313" t="n"/>
      <c r="P41" s="313" t="n"/>
      <c r="Q41" s="332">
        <f>IF(ISERROR(SEARCH("reajuste",C41)),"",IF(F41="","sem NF",IFERROR(F41/SUMIFS('06. MEDIÇÃO (BM)'!$G$5:$G$44,'06. MEDIÇÃO (BM)'!$B$5:$B$44,B41,'06. MEDIÇÃO (BM)'!$C$5:$C$44,LEFT(C41,4)),"BM fora da 06")))</f>
      </c>
      <c r="R41" s="49" t="n"/>
      <c r="S41" s="333">
        <f>IF(ISERROR(SEARCH("reajuste",C41)),"",IF(F41&lt;&gt;"","",IF(SUM(COUNTIFS('06. MEDIÇÃO (BM)'!$B$5:$B$44,B41,'06. MEDIÇÃO (BM)'!$C$5:$C$44,LEFT(C41,4),'06. MEDIÇÃO (BM)'!$F$5:$F$44,{"APROVADO","FATURADO","RECEBIDO"}))=0,"BM não aprovado",SUMIFS('06. MEDIÇÃO (BM)'!$G$5:$G$44,'06. MEDIÇÃO (BM)'!$B$5:$B$44,B41,'06. MEDIÇÃO (BM)'!$C$5:$C$44,LEFT(C41,4))*$Q$6)))</f>
      </c>
    </row>
    <row r="42">
      <c r="A42" s="30" t="n">
        <v>38</v>
      </c>
      <c r="B42" s="49" t="n"/>
      <c r="C42" s="49" t="n"/>
      <c r="D42" s="49" t="n"/>
      <c r="E42" s="37" t="n"/>
      <c r="F42" s="313" t="n"/>
      <c r="G42" s="313" t="n"/>
      <c r="H42" s="313" t="n"/>
      <c r="I42" s="315">
        <f>IF(F42="","",F42-G42-H42-O42)</f>
      </c>
      <c r="J42" s="44">
        <f>IF(OR(E42="",B42=""),"",E42+IF(B42="342",'03. CONTRATOS'!$B$14,IF(B42="343",'03. CONTRATOS'!$D$14,'03. CONTRATOS'!$F$14)))</f>
      </c>
      <c r="K42" s="37" t="n"/>
      <c r="L42" s="313" t="n"/>
      <c r="M42" s="315">
        <f>IF(L42="","",L42-I42)</f>
      </c>
      <c r="N42" s="49" t="n"/>
      <c r="O42" s="313" t="n"/>
      <c r="P42" s="313" t="n"/>
      <c r="Q42" s="332">
        <f>IF(ISERROR(SEARCH("reajuste",C42)),"",IF(F42="","sem NF",IFERROR(F42/SUMIFS('06. MEDIÇÃO (BM)'!$G$5:$G$44,'06. MEDIÇÃO (BM)'!$B$5:$B$44,B42,'06. MEDIÇÃO (BM)'!$C$5:$C$44,LEFT(C42,4)),"BM fora da 06")))</f>
      </c>
      <c r="R42" s="49" t="n"/>
      <c r="S42" s="333">
        <f>IF(ISERROR(SEARCH("reajuste",C42)),"",IF(F42&lt;&gt;"","",IF(SUM(COUNTIFS('06. MEDIÇÃO (BM)'!$B$5:$B$44,B42,'06. MEDIÇÃO (BM)'!$C$5:$C$44,LEFT(C42,4),'06. MEDIÇÃO (BM)'!$F$5:$F$44,{"APROVADO","FATURADO","RECEBIDO"}))=0,"BM não aprovado",SUMIFS('06. MEDIÇÃO (BM)'!$G$5:$G$44,'06. MEDIÇÃO (BM)'!$B$5:$B$44,B42,'06. MEDIÇÃO (BM)'!$C$5:$C$44,LEFT(C42,4))*$Q$6)))</f>
      </c>
    </row>
    <row r="43">
      <c r="A43" s="30" t="n">
        <v>39</v>
      </c>
      <c r="B43" s="49" t="n"/>
      <c r="C43" s="49" t="n"/>
      <c r="D43" s="49" t="n"/>
      <c r="E43" s="37" t="n"/>
      <c r="F43" s="313" t="n"/>
      <c r="G43" s="313" t="n"/>
      <c r="H43" s="313" t="n"/>
      <c r="I43" s="315">
        <f>IF(F43="","",F43-G43-H43-O43)</f>
      </c>
      <c r="J43" s="44">
        <f>IF(OR(E43="",B43=""),"",E43+IF(B43="342",'03. CONTRATOS'!$B$14,IF(B43="343",'03. CONTRATOS'!$D$14,'03. CONTRATOS'!$F$14)))</f>
      </c>
      <c r="K43" s="37" t="n"/>
      <c r="L43" s="313" t="n"/>
      <c r="M43" s="315">
        <f>IF(L43="","",L43-I43)</f>
      </c>
      <c r="N43" s="49" t="n"/>
      <c r="O43" s="313" t="n"/>
      <c r="P43" s="313" t="n"/>
      <c r="Q43" s="332">
        <f>IF(ISERROR(SEARCH("reajuste",C43)),"",IF(F43="","sem NF",IFERROR(F43/SUMIFS('06. MEDIÇÃO (BM)'!$G$5:$G$44,'06. MEDIÇÃO (BM)'!$B$5:$B$44,B43,'06. MEDIÇÃO (BM)'!$C$5:$C$44,LEFT(C43,4)),"BM fora da 06")))</f>
      </c>
      <c r="R43" s="49" t="n"/>
      <c r="S43" s="333">
        <f>IF(ISERROR(SEARCH("reajuste",C43)),"",IF(F43&lt;&gt;"","",IF(SUM(COUNTIFS('06. MEDIÇÃO (BM)'!$B$5:$B$44,B43,'06. MEDIÇÃO (BM)'!$C$5:$C$44,LEFT(C43,4),'06. MEDIÇÃO (BM)'!$F$5:$F$44,{"APROVADO","FATURADO","RECEBIDO"}))=0,"BM não aprovado",SUMIFS('06. MEDIÇÃO (BM)'!$G$5:$G$44,'06. MEDIÇÃO (BM)'!$B$5:$B$44,B43,'06. MEDIÇÃO (BM)'!$C$5:$C$44,LEFT(C43,4))*$Q$6)))</f>
      </c>
    </row>
    <row r="44">
      <c r="A44" s="30" t="n">
        <v>40</v>
      </c>
      <c r="B44" s="49" t="n"/>
      <c r="C44" s="49" t="n"/>
      <c r="D44" s="49" t="n"/>
      <c r="E44" s="37" t="n"/>
      <c r="F44" s="313" t="n"/>
      <c r="G44" s="313" t="n"/>
      <c r="H44" s="313" t="n"/>
      <c r="I44" s="315">
        <f>IF(F44="","",F44-G44-H44-O44)</f>
      </c>
      <c r="J44" s="44">
        <f>IF(OR(E44="",B44=""),"",E44+IF(B44="342",'03. CONTRATOS'!$B$14,IF(B44="343",'03. CONTRATOS'!$D$14,'03. CONTRATOS'!$F$14)))</f>
      </c>
      <c r="K44" s="37" t="n"/>
      <c r="L44" s="313" t="n"/>
      <c r="M44" s="315">
        <f>IF(L44="","",L44-I44)</f>
      </c>
      <c r="N44" s="49" t="n"/>
      <c r="O44" s="313" t="n"/>
      <c r="P44" s="313" t="n"/>
      <c r="Q44" s="332">
        <f>IF(ISERROR(SEARCH("reajuste",C44)),"",IF(F44="","sem NF",IFERROR(F44/SUMIFS('06. MEDIÇÃO (BM)'!$G$5:$G$44,'06. MEDIÇÃO (BM)'!$B$5:$B$44,B44,'06. MEDIÇÃO (BM)'!$C$5:$C$44,LEFT(C44,4)),"BM fora da 06")))</f>
      </c>
      <c r="R44" s="49" t="n"/>
      <c r="S44" s="333">
        <f>IF(ISERROR(SEARCH("reajuste",C44)),"",IF(F44&lt;&gt;"","",IF(SUM(COUNTIFS('06. MEDIÇÃO (BM)'!$B$5:$B$44,B44,'06. MEDIÇÃO (BM)'!$C$5:$C$44,LEFT(C44,4),'06. MEDIÇÃO (BM)'!$F$5:$F$44,{"APROVADO","FATURADO","RECEBIDO"}))=0,"BM não aprovado",SUMIFS('06. MEDIÇÃO (BM)'!$G$5:$G$44,'06. MEDIÇÃO (BM)'!$B$5:$B$44,B44,'06. MEDIÇÃO (BM)'!$C$5:$C$44,LEFT(C44,4))*$Q$6)))</f>
      </c>
    </row>
  </sheetData>
  <dataValidations count="1">
    <dataValidation sqref="B5:B44" showDropDown="0" showInputMessage="0" showErrorMessage="0" allowBlank="1" type="list">
      <formula1>"342,343,281"</formula1>
    </dataValidation>
  </dataValidations>
  <hyperlinks>
    <hyperlink ref="P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23.xml><?xml version="1.0" encoding="utf-8"?>
<worksheet xmlns="http://schemas.openxmlformats.org/spreadsheetml/2006/main">
  <sheetPr>
    <tabColor rgb="FF70AD47"/>
    <outlinePr summaryBelow="1" summaryRight="1"/>
    <pageSetUpPr fitToPage="1"/>
  </sheetPr>
  <dimension ref="A1:M404"/>
  <sheetViews>
    <sheetView showGridLines="0" workbookViewId="0">
      <pane ySplit="4" topLeftCell="A5" activePane="bottomLeft" state="frozen"/>
      <selection pane="bottomLeft" activeCell="A1" sqref="A1"/>
    </sheetView>
  </sheetViews>
  <sheetFormatPr baseColWidth="8" defaultRowHeight="15"/>
  <cols>
    <col width="6" customWidth="1" style="71" min="1" max="1"/>
    <col width="12" customWidth="1" style="71" min="2" max="2"/>
    <col width="8" customWidth="1" style="71" min="3" max="4"/>
    <col width="44" customWidth="1" style="71" min="5" max="5"/>
    <col width="16" customWidth="1" style="71" min="6" max="6"/>
    <col width="12" customWidth="1" style="71" min="7" max="7"/>
    <col width="26" customWidth="1" style="71" min="8" max="8"/>
    <col width="30" customWidth="1" style="71" min="9" max="9"/>
    <col width="14" customWidth="1" style="71" min="10" max="10"/>
    <col width="8" customWidth="1" style="71" min="12" max="12"/>
    <col width="60" customWidth="1" style="71" min="13" max="13"/>
  </cols>
  <sheetData>
    <row r="1" ht="26.1" customHeight="1" s="71">
      <c r="A1" s="1" t="inlineStr">
        <is>
          <t>08. CUSTOS — todo pagamento da obra, uma linha por lançamento</t>
        </is>
      </c>
      <c r="B1" s="2" t="n"/>
      <c r="C1" s="2" t="n"/>
      <c r="D1" s="2" t="n"/>
      <c r="E1" s="2" t="n"/>
      <c r="F1" s="2" t="n"/>
      <c r="G1" s="2" t="n"/>
      <c r="H1" s="2" t="n"/>
      <c r="I1" s="2" t="n"/>
      <c r="J1" s="2" t="n"/>
      <c r="K1" s="3" t="inlineStr">
        <is>
          <t>◀ MENU</t>
        </is>
      </c>
    </row>
    <row r="2">
      <c r="A2" s="4" t="inlineStr">
        <is>
          <t>Centro de custo = a obra. Sem obra e conta o lançamento não entra no resultado (13. CHECKS acusa).</t>
        </is>
      </c>
    </row>
    <row r="3"/>
    <row r="4" ht="30" customHeight="1" s="71">
      <c r="A4" s="23" t="inlineStr">
        <is>
          <t>Nº</t>
        </is>
      </c>
      <c r="B4" s="23" t="inlineStr">
        <is>
          <t>MÊS (competência)</t>
        </is>
      </c>
      <c r="C4" s="23" t="inlineStr">
        <is>
          <t>OBRA</t>
        </is>
      </c>
      <c r="D4" s="23" t="inlineStr">
        <is>
          <t>CONTA</t>
        </is>
      </c>
      <c r="E4" s="23" t="inlineStr">
        <is>
          <t>DESCRIÇÃO</t>
        </is>
      </c>
      <c r="F4" s="23" t="inlineStr">
        <is>
          <t>VALOR (R$)</t>
        </is>
      </c>
      <c r="G4" s="23" t="inlineStr">
        <is>
          <t>DATA DO PAGAMENTO</t>
        </is>
      </c>
      <c r="H4" s="23" t="inlineStr">
        <is>
          <t>FAVORECIDO</t>
        </is>
      </c>
      <c r="I4" s="23" t="inlineStr">
        <is>
          <t>FONTE / DOCUMENTO</t>
        </is>
      </c>
      <c r="J4" s="23" t="inlineStr">
        <is>
          <t>SITUAÇÃO</t>
        </is>
      </c>
      <c r="L4" s="53" t="inlineStr">
        <is>
          <t>CONTA</t>
        </is>
      </c>
      <c r="M4" s="53" t="inlineStr">
        <is>
          <t>O QUE ENTRA</t>
        </is>
      </c>
    </row>
    <row r="5">
      <c r="A5" s="30" t="n">
        <v>1</v>
      </c>
      <c r="B5" s="331" t="n">
        <v>45992</v>
      </c>
      <c r="C5" s="49" t="inlineStr">
        <is>
          <t>281</t>
        </is>
      </c>
      <c r="D5" s="49" t="inlineStr">
        <is>
          <t>TER</t>
        </is>
      </c>
      <c r="E5" s="30" t="str">
        <f>"Consórcio TAF TECNOBOMBAS: "&amp;D5&amp;" com vencimento em "&amp;TEXT(MONTH(B5),"00")&amp;"/"&amp;RIGHT(YEAR(B5),2)&amp;" ("&amp;COUNTIFS('08D. LANÇAMENTOS 281'!$B$4:$B$603,"DESPESA",'08D. LANÇAMENTOS 281'!$E$4:$E$603,B5,'08D. LANÇAMENTOS 281'!$L$4:$L$603,D5)&amp;" lançamentos na 08D)"</f>
        <v>Consórcio TAF TECNOBOMBAS: TER com vencimento em 12/25 (1 lançamentos na 08D)</v>
      </c>
      <c r="F5" s="333">
        <f>SUMIFS('08D. LANÇAMENTOS 281'!$I$4:$I$603,'08D. LANÇAMENTOS 281'!$B$4:$B$603,"DESPESA",'08D. LANÇAMENTOS 281'!$E$4:$E$603,B5,'08D. LANÇAMENTOS 281'!$L$4:$L$603,D5)</f>
        <v>1343.04</v>
      </c>
      <c r="G5" s="44">
        <f>_xlfn.MAXIFS('08D. LANÇAMENTOS 281'!$D$4:$D$603,'08D. LANÇAMENTOS 281'!$B$4:$B$603,"DESPESA",'08D. LANÇAMENTOS 281'!$E$4:$E$603,B5,'08D. LANÇAMENTOS 281'!$L$4:$L$603,D5)</f>
        <v>46002.0</v>
      </c>
      <c r="H5" s="49" t="inlineStr">
        <is>
          <t>vários (08D)</t>
        </is>
      </c>
      <c r="I5" s="49" t="inlineStr">
        <is>
          <t>08D; vencimento usado como data (a planilha do consórcio não tem data de pagamento)</t>
        </is>
      </c>
      <c r="J5" s="49" t="inlineStr">
        <is>
          <t>PAGO</t>
        </is>
      </c>
      <c r="L5" s="18" t="inlineStr">
        <is>
          <t>MO</t>
        </is>
      </c>
      <c r="M5" s="54" t="inlineStr">
        <is>
          <t>Mão de obra de campo (salário, encargos, benefícios)</t>
        </is>
      </c>
    </row>
    <row r="6">
      <c r="A6" s="30" t="n">
        <v>2</v>
      </c>
      <c r="B6" s="331" t="n">
        <v>46023</v>
      </c>
      <c r="C6" s="49" t="inlineStr">
        <is>
          <t>281</t>
        </is>
      </c>
      <c r="D6" s="49" t="inlineStr">
        <is>
          <t>ADM</t>
        </is>
      </c>
      <c r="E6" s="30" t="str">
        <f>"Consórcio TAF TECNOBOMBAS: "&amp;D6&amp;" com vencimento em "&amp;TEXT(MONTH(B6),"00")&amp;"/"&amp;RIGHT(YEAR(B6),2)&amp;" ("&amp;COUNTIFS('08D. LANÇAMENTOS 281'!$B$4:$B$603,"DESPESA",'08D. LANÇAMENTOS 281'!$E$4:$E$603,B6,'08D. LANÇAMENTOS 281'!$L$4:$L$603,D6)&amp;" lançamentos na 08D)"</f>
        <v>Consórcio TAF TECNOBOMBAS: ADM com vencimento em 01/26 (7 lançamentos na 08D)</v>
      </c>
      <c r="F6" s="333">
        <f>SUMIFS('08D. LANÇAMENTOS 281'!$I$4:$I$603,'08D. LANÇAMENTOS 281'!$B$4:$B$603,"DESPESA",'08D. LANÇAMENTOS 281'!$E$4:$E$603,B6,'08D. LANÇAMENTOS 281'!$L$4:$L$603,D6)</f>
        <v>18179.41</v>
      </c>
      <c r="G6" s="44">
        <f>_xlfn.MAXIFS('08D. LANÇAMENTOS 281'!$D$4:$D$603,'08D. LANÇAMENTOS 281'!$B$4:$B$603,"DESPESA",'08D. LANÇAMENTOS 281'!$E$4:$E$603,B6,'08D. LANÇAMENTOS 281'!$L$4:$L$603,D6)</f>
        <v>46052.0</v>
      </c>
      <c r="H6" s="49" t="inlineStr">
        <is>
          <t>vários (08D)</t>
        </is>
      </c>
      <c r="I6" s="49" t="inlineStr">
        <is>
          <t>08D; vencimento usado como data (a planilha do consórcio não tem data de pagamento)</t>
        </is>
      </c>
      <c r="J6" s="49" t="inlineStr">
        <is>
          <t>PAGO</t>
        </is>
      </c>
      <c r="L6" s="18" t="inlineStr">
        <is>
          <t>EQP</t>
        </is>
      </c>
      <c r="M6" s="54" t="inlineStr">
        <is>
          <t>Equipamentos (locação, combustível, manutenção)</t>
        </is>
      </c>
    </row>
    <row r="7">
      <c r="A7" s="30" t="n">
        <v>3</v>
      </c>
      <c r="B7" s="331" t="n">
        <v>46023</v>
      </c>
      <c r="C7" s="49" t="inlineStr">
        <is>
          <t>281</t>
        </is>
      </c>
      <c r="D7" s="49" t="inlineStr">
        <is>
          <t>EQP</t>
        </is>
      </c>
      <c r="E7" s="30" t="str">
        <f>"Consórcio TAF TECNOBOMBAS: "&amp;D7&amp;" com vencimento em "&amp;TEXT(MONTH(B7),"00")&amp;"/"&amp;RIGHT(YEAR(B7),2)&amp;" ("&amp;COUNTIFS('08D. LANÇAMENTOS 281'!$B$4:$B$603,"DESPESA",'08D. LANÇAMENTOS 281'!$E$4:$E$603,B7,'08D. LANÇAMENTOS 281'!$L$4:$L$603,D7)&amp;" lançamentos na 08D)"</f>
        <v>Consórcio TAF TECNOBOMBAS: EQP com vencimento em 01/26 (1 lançamentos na 08D)</v>
      </c>
      <c r="F7" s="333">
        <f>SUMIFS('08D. LANÇAMENTOS 281'!$I$4:$I$603,'08D. LANÇAMENTOS 281'!$B$4:$B$603,"DESPESA",'08D. LANÇAMENTOS 281'!$E$4:$E$603,B7,'08D. LANÇAMENTOS 281'!$L$4:$L$603,D7)</f>
        <v>293.16</v>
      </c>
      <c r="G7" s="44">
        <f>_xlfn.MAXIFS('08D. LANÇAMENTOS 281'!$D$4:$D$603,'08D. LANÇAMENTOS 281'!$B$4:$B$603,"DESPESA",'08D. LANÇAMENTOS 281'!$E$4:$E$603,B7,'08D. LANÇAMENTOS 281'!$L$4:$L$603,D7)</f>
        <v>46052.0</v>
      </c>
      <c r="H7" s="49" t="inlineStr">
        <is>
          <t>vários (08D)</t>
        </is>
      </c>
      <c r="I7" s="49" t="inlineStr">
        <is>
          <t>08D; vencimento usado como data (a planilha do consórcio não tem data de pagamento)</t>
        </is>
      </c>
      <c r="J7" s="49" t="inlineStr">
        <is>
          <t>PAGO</t>
        </is>
      </c>
      <c r="L7" s="18" t="inlineStr">
        <is>
          <t>MAT</t>
        </is>
      </c>
      <c r="M7" s="54" t="inlineStr">
        <is>
          <t>Materiais e fornecimentos</t>
        </is>
      </c>
    </row>
    <row r="8">
      <c r="A8" s="30" t="n">
        <v>4</v>
      </c>
      <c r="B8" s="331" t="n">
        <v>46023</v>
      </c>
      <c r="C8" s="49" t="inlineStr">
        <is>
          <t>281</t>
        </is>
      </c>
      <c r="D8" s="49" t="inlineStr">
        <is>
          <t>TER</t>
        </is>
      </c>
      <c r="E8" s="30" t="str">
        <f>"Consórcio TAF TECNOBOMBAS: "&amp;D8&amp;" com vencimento em "&amp;TEXT(MONTH(B8),"00")&amp;"/"&amp;RIGHT(YEAR(B8),2)&amp;" ("&amp;COUNTIFS('08D. LANÇAMENTOS 281'!$B$4:$B$603,"DESPESA",'08D. LANÇAMENTOS 281'!$E$4:$E$603,B8,'08D. LANÇAMENTOS 281'!$L$4:$L$603,D8)&amp;" lançamentos na 08D)"</f>
        <v>Consórcio TAF TECNOBOMBAS: TER com vencimento em 01/26 (2 lançamentos na 08D)</v>
      </c>
      <c r="F8" s="333">
        <f>SUMIFS('08D. LANÇAMENTOS 281'!$I$4:$I$603,'08D. LANÇAMENTOS 281'!$B$4:$B$603,"DESPESA",'08D. LANÇAMENTOS 281'!$E$4:$E$603,B8,'08D. LANÇAMENTOS 281'!$L$4:$L$603,D8)</f>
        <v>1870.8</v>
      </c>
      <c r="G8" s="44">
        <f>_xlfn.MAXIFS('08D. LANÇAMENTOS 281'!$D$4:$D$603,'08D. LANÇAMENTOS 281'!$B$4:$B$603,"DESPESA",'08D. LANÇAMENTOS 281'!$E$4:$E$603,B8,'08D. LANÇAMENTOS 281'!$L$4:$L$603,D8)</f>
        <v>46049.0</v>
      </c>
      <c r="H8" s="49" t="inlineStr">
        <is>
          <t>vários (08D)</t>
        </is>
      </c>
      <c r="I8" s="49" t="inlineStr">
        <is>
          <t>08D; vencimento usado como data (a planilha do consórcio não tem data de pagamento)</t>
        </is>
      </c>
      <c r="J8" s="49" t="inlineStr">
        <is>
          <t>PAGO</t>
        </is>
      </c>
      <c r="L8" s="18" t="inlineStr">
        <is>
          <t>TER</t>
        </is>
      </c>
      <c r="M8" s="54" t="inlineStr">
        <is>
          <t>Terceiros e empreiteiros</t>
        </is>
      </c>
    </row>
    <row r="9">
      <c r="A9" s="30" t="n">
        <v>5</v>
      </c>
      <c r="B9" s="331" t="n">
        <v>46054</v>
      </c>
      <c r="C9" s="49" t="inlineStr">
        <is>
          <t>281</t>
        </is>
      </c>
      <c r="D9" s="49" t="inlineStr">
        <is>
          <t>ADM</t>
        </is>
      </c>
      <c r="E9" s="30" t="str">
        <f>"Consórcio TAF TECNOBOMBAS: "&amp;D9&amp;" com vencimento em "&amp;TEXT(MONTH(B9),"00")&amp;"/"&amp;RIGHT(YEAR(B9),2)&amp;" ("&amp;COUNTIFS('08D. LANÇAMENTOS 281'!$B$4:$B$603,"DESPESA",'08D. LANÇAMENTOS 281'!$E$4:$E$603,B9,'08D. LANÇAMENTOS 281'!$L$4:$L$603,D9)&amp;" lançamentos na 08D)"</f>
        <v>Consórcio TAF TECNOBOMBAS: ADM com vencimento em 02/26 (6 lançamentos na 08D)</v>
      </c>
      <c r="F9" s="333">
        <f>SUMIFS('08D. LANÇAMENTOS 281'!$I$4:$I$603,'08D. LANÇAMENTOS 281'!$B$4:$B$603,"DESPESA",'08D. LANÇAMENTOS 281'!$E$4:$E$603,B9,'08D. LANÇAMENTOS 281'!$L$4:$L$603,D9)</f>
        <v>21436.93</v>
      </c>
      <c r="G9" s="44">
        <f>_xlfn.MAXIFS('08D. LANÇAMENTOS 281'!$D$4:$D$603,'08D. LANÇAMENTOS 281'!$B$4:$B$603,"DESPESA",'08D. LANÇAMENTOS 281'!$E$4:$E$603,B9,'08D. LANÇAMENTOS 281'!$L$4:$L$603,D9)</f>
        <v>46071.0</v>
      </c>
      <c r="H9" s="49" t="inlineStr">
        <is>
          <t>vários (08D)</t>
        </is>
      </c>
      <c r="I9" s="49" t="inlineStr">
        <is>
          <t>08D; vencimento usado como data (a planilha do consórcio não tem data de pagamento)</t>
        </is>
      </c>
      <c r="J9" s="49" t="inlineStr">
        <is>
          <t>PAGO</t>
        </is>
      </c>
      <c r="L9" s="18" t="inlineStr">
        <is>
          <t>ADM</t>
        </is>
      </c>
      <c r="M9" s="54" t="inlineStr">
        <is>
          <t>Administração da obra (engenharia, TST, almoxarife, vigia, veículo, canteiro)</t>
        </is>
      </c>
    </row>
    <row r="10">
      <c r="A10" s="30" t="n">
        <v>6</v>
      </c>
      <c r="B10" s="331" t="n">
        <v>46054</v>
      </c>
      <c r="C10" s="49" t="inlineStr">
        <is>
          <t>281</t>
        </is>
      </c>
      <c r="D10" s="49" t="inlineStr">
        <is>
          <t>EQP</t>
        </is>
      </c>
      <c r="E10" s="30" t="str">
        <f>"Consórcio TAF TECNOBOMBAS: "&amp;D10&amp;" com vencimento em "&amp;TEXT(MONTH(B10),"00")&amp;"/"&amp;RIGHT(YEAR(B10),2)&amp;" ("&amp;COUNTIFS('08D. LANÇAMENTOS 281'!$B$4:$B$603,"DESPESA",'08D. LANÇAMENTOS 281'!$E$4:$E$603,B10,'08D. LANÇAMENTOS 281'!$L$4:$L$603,D10)&amp;" lançamentos na 08D)"</f>
        <v>Consórcio TAF TECNOBOMBAS: EQP com vencimento em 02/26 (1 lançamentos na 08D)</v>
      </c>
      <c r="F10" s="333">
        <f>SUMIFS('08D. LANÇAMENTOS 281'!$I$4:$I$603,'08D. LANÇAMENTOS 281'!$B$4:$B$603,"DESPESA",'08D. LANÇAMENTOS 281'!$E$4:$E$603,B10,'08D. LANÇAMENTOS 281'!$L$4:$L$603,D10)</f>
        <v>209.8</v>
      </c>
      <c r="G10" s="44">
        <f>_xlfn.MAXIFS('08D. LANÇAMENTOS 281'!$D$4:$D$603,'08D. LANÇAMENTOS 281'!$B$4:$B$603,"DESPESA",'08D. LANÇAMENTOS 281'!$E$4:$E$603,B10,'08D. LANÇAMENTOS 281'!$L$4:$L$603,D10)</f>
        <v>46071.0</v>
      </c>
      <c r="H10" s="49" t="inlineStr">
        <is>
          <t>vários (08D)</t>
        </is>
      </c>
      <c r="I10" s="49" t="inlineStr">
        <is>
          <t>08D; vencimento usado como data (a planilha do consórcio não tem data de pagamento)</t>
        </is>
      </c>
      <c r="J10" s="49" t="inlineStr">
        <is>
          <t>PAGO</t>
        </is>
      </c>
      <c r="L10" s="18" t="inlineStr">
        <is>
          <t>SEG</t>
        </is>
      </c>
      <c r="M10" s="54" t="inlineStr">
        <is>
          <t>Seguros e garantias</t>
        </is>
      </c>
    </row>
    <row r="11">
      <c r="A11" s="30" t="n">
        <v>7</v>
      </c>
      <c r="B11" s="331" t="n">
        <v>46054</v>
      </c>
      <c r="C11" s="49" t="inlineStr">
        <is>
          <t>281</t>
        </is>
      </c>
      <c r="D11" s="49" t="inlineStr">
        <is>
          <t>MAT</t>
        </is>
      </c>
      <c r="E11" s="30" t="str">
        <f>"Consórcio TAF TECNOBOMBAS: "&amp;D11&amp;" com vencimento em "&amp;TEXT(MONTH(B11),"00")&amp;"/"&amp;RIGHT(YEAR(B11),2)&amp;" ("&amp;COUNTIFS('08D. LANÇAMENTOS 281'!$B$4:$B$603,"DESPESA",'08D. LANÇAMENTOS 281'!$E$4:$E$603,B11,'08D. LANÇAMENTOS 281'!$L$4:$L$603,D11)&amp;" lançamentos na 08D)"</f>
        <v>Consórcio TAF TECNOBOMBAS: MAT com vencimento em 02/26 (4 lançamentos na 08D)</v>
      </c>
      <c r="F11" s="333">
        <f>SUMIFS('08D. LANÇAMENTOS 281'!$I$4:$I$603,'08D. LANÇAMENTOS 281'!$B$4:$B$603,"DESPESA",'08D. LANÇAMENTOS 281'!$E$4:$E$603,B11,'08D. LANÇAMENTOS 281'!$L$4:$L$603,D11)</f>
        <v>36376.69</v>
      </c>
      <c r="G11" s="44">
        <f>_xlfn.MAXIFS('08D. LANÇAMENTOS 281'!$D$4:$D$603,'08D. LANÇAMENTOS 281'!$B$4:$B$603,"DESPESA",'08D. LANÇAMENTOS 281'!$E$4:$E$603,B11,'08D. LANÇAMENTOS 281'!$L$4:$L$603,D11)</f>
        <v>46075.0</v>
      </c>
      <c r="H11" s="49" t="inlineStr">
        <is>
          <t>vários (08D)</t>
        </is>
      </c>
      <c r="I11" s="49" t="inlineStr">
        <is>
          <t>08D; vencimento usado como data (a planilha do consórcio não tem data de pagamento)</t>
        </is>
      </c>
      <c r="J11" s="49" t="inlineStr">
        <is>
          <t>PAGO</t>
        </is>
      </c>
      <c r="L11" s="18" t="inlineStr">
        <is>
          <t>TRIB</t>
        </is>
      </c>
      <c r="M11" s="54" t="inlineStr">
        <is>
          <t>Tributos sobre a receita</t>
        </is>
      </c>
    </row>
    <row r="12">
      <c r="A12" s="30" t="n">
        <v>8</v>
      </c>
      <c r="B12" s="331" t="n">
        <v>46054</v>
      </c>
      <c r="C12" s="49" t="inlineStr">
        <is>
          <t>281</t>
        </is>
      </c>
      <c r="D12" s="49" t="inlineStr">
        <is>
          <t>MO</t>
        </is>
      </c>
      <c r="E12" s="30" t="str">
        <f>"Consórcio TAF TECNOBOMBAS: "&amp;D12&amp;" com vencimento em "&amp;TEXT(MONTH(B12),"00")&amp;"/"&amp;RIGHT(YEAR(B12),2)&amp;" ("&amp;COUNTIFS('08D. LANÇAMENTOS 281'!$B$4:$B$603,"DESPESA",'08D. LANÇAMENTOS 281'!$E$4:$E$603,B12,'08D. LANÇAMENTOS 281'!$L$4:$L$603,D12)&amp;" lançamentos na 08D)"</f>
        <v>Consórcio TAF TECNOBOMBAS: MO com vencimento em 02/26 (13 lançamentos na 08D)</v>
      </c>
      <c r="F12" s="333">
        <f>SUMIFS('08D. LANÇAMENTOS 281'!$I$4:$I$603,'08D. LANÇAMENTOS 281'!$B$4:$B$603,"DESPESA",'08D. LANÇAMENTOS 281'!$E$4:$E$603,B12,'08D. LANÇAMENTOS 281'!$L$4:$L$603,D12)</f>
        <v>13240</v>
      </c>
      <c r="G12" s="44">
        <f>_xlfn.MAXIFS('08D. LANÇAMENTOS 281'!$D$4:$D$603,'08D. LANÇAMENTOS 281'!$B$4:$B$603,"DESPESA",'08D. LANÇAMENTOS 281'!$E$4:$E$603,B12,'08D. LANÇAMENTOS 281'!$L$4:$L$603,D12)</f>
        <v>46073.0</v>
      </c>
      <c r="H12" s="49" t="inlineStr">
        <is>
          <t>vários (08D)</t>
        </is>
      </c>
      <c r="I12" s="49" t="inlineStr">
        <is>
          <t>08D; vencimento usado como data (a planilha do consórcio não tem data de pagamento)</t>
        </is>
      </c>
      <c r="J12" s="49" t="inlineStr">
        <is>
          <t>PAGO</t>
        </is>
      </c>
      <c r="L12" s="18" t="inlineStr">
        <is>
          <t>FIN</t>
        </is>
      </c>
      <c r="M12" s="54" t="inlineStr">
        <is>
          <t>Financeiro (juros, tarifas)</t>
        </is>
      </c>
    </row>
    <row r="13">
      <c r="A13" s="30" t="n">
        <v>9</v>
      </c>
      <c r="B13" s="331" t="n">
        <v>46054</v>
      </c>
      <c r="C13" s="49" t="inlineStr">
        <is>
          <t>281</t>
        </is>
      </c>
      <c r="D13" s="49" t="inlineStr">
        <is>
          <t>TER</t>
        </is>
      </c>
      <c r="E13" s="30" t="str">
        <f>"Consórcio TAF TECNOBOMBAS: "&amp;D13&amp;" com vencimento em "&amp;TEXT(MONTH(B13),"00")&amp;"/"&amp;RIGHT(YEAR(B13),2)&amp;" ("&amp;COUNTIFS('08D. LANÇAMENTOS 281'!$B$4:$B$603,"DESPESA",'08D. LANÇAMENTOS 281'!$E$4:$E$603,B13,'08D. LANÇAMENTOS 281'!$L$4:$L$603,D13)&amp;" lançamentos na 08D)"</f>
        <v>Consórcio TAF TECNOBOMBAS: TER com vencimento em 02/26 (3 lançamentos na 08D)</v>
      </c>
      <c r="F13" s="333">
        <f>SUMIFS('08D. LANÇAMENTOS 281'!$I$4:$I$603,'08D. LANÇAMENTOS 281'!$B$4:$B$603,"DESPESA",'08D. LANÇAMENTOS 281'!$E$4:$E$603,B13,'08D. LANÇAMENTOS 281'!$L$4:$L$603,D13)</f>
        <v>5190</v>
      </c>
      <c r="G13" s="44">
        <f>_xlfn.MAXIFS('08D. LANÇAMENTOS 281'!$D$4:$D$603,'08D. LANÇAMENTOS 281'!$B$4:$B$603,"DESPESA",'08D. LANÇAMENTOS 281'!$E$4:$E$603,B13,'08D. LANÇAMENTOS 281'!$L$4:$L$603,D13)</f>
        <v>46066.0</v>
      </c>
      <c r="H13" s="49" t="inlineStr">
        <is>
          <t>vários (08D)</t>
        </is>
      </c>
      <c r="I13" s="49" t="inlineStr">
        <is>
          <t>08D; vencimento usado como data (a planilha do consórcio não tem data de pagamento)</t>
        </is>
      </c>
      <c r="J13" s="49" t="inlineStr">
        <is>
          <t>PAGO</t>
        </is>
      </c>
    </row>
    <row r="14">
      <c r="A14" s="30" t="n">
        <v>10</v>
      </c>
      <c r="B14" s="331" t="n">
        <v>46082</v>
      </c>
      <c r="C14" s="49" t="inlineStr">
        <is>
          <t>281</t>
        </is>
      </c>
      <c r="D14" s="49" t="inlineStr">
        <is>
          <t>ADM</t>
        </is>
      </c>
      <c r="E14" s="30" t="str">
        <f>"Consórcio TAF TECNOBOMBAS: "&amp;D14&amp;" com vencimento em "&amp;TEXT(MONTH(B14),"00")&amp;"/"&amp;RIGHT(YEAR(B14),2)&amp;" ("&amp;COUNTIFS('08D. LANÇAMENTOS 281'!$B$4:$B$603,"DESPESA",'08D. LANÇAMENTOS 281'!$E$4:$E$603,B14,'08D. LANÇAMENTOS 281'!$L$4:$L$603,D14)&amp;" lançamentos na 08D)"</f>
        <v>Consórcio TAF TECNOBOMBAS: ADM com vencimento em 03/26 (31 lançamentos na 08D)</v>
      </c>
      <c r="F14" s="333">
        <f>SUMIFS('08D. LANÇAMENTOS 281'!$I$4:$I$603,'08D. LANÇAMENTOS 281'!$B$4:$B$603,"DESPESA",'08D. LANÇAMENTOS 281'!$E$4:$E$603,B14,'08D. LANÇAMENTOS 281'!$L$4:$L$603,D14)</f>
        <v>51064.01</v>
      </c>
      <c r="G14" s="44">
        <f>_xlfn.MAXIFS('08D. LANÇAMENTOS 281'!$D$4:$D$603,'08D. LANÇAMENTOS 281'!$B$4:$B$603,"DESPESA",'08D. LANÇAMENTOS 281'!$E$4:$E$603,B14,'08D. LANÇAMENTOS 281'!$L$4:$L$603,D14)</f>
        <v>46112.0</v>
      </c>
      <c r="H14" s="49" t="inlineStr">
        <is>
          <t>vários (08D)</t>
        </is>
      </c>
      <c r="I14" s="49" t="inlineStr">
        <is>
          <t>08D; vencimento usado como data (a planilha do consórcio não tem data de pagamento)</t>
        </is>
      </c>
      <c r="J14" s="49" t="inlineStr">
        <is>
          <t>PAGO</t>
        </is>
      </c>
      <c r="L14" s="18" t="inlineStr">
        <is>
          <t>Conferência 281</t>
        </is>
      </c>
      <c r="M14" s="54" t="str">
        <f>IF(ABS(SUMIFS($F$5:$F$404,$C$5:$C$404,"281")-'08D. LANÇAMENTOS 281'!$Q$20)&lt;0.01,"08 = 08D","08 difere da 08D")</f>
        <v>08 = 08D</v>
      </c>
    </row>
    <row r="15">
      <c r="A15" s="30" t="n">
        <v>11</v>
      </c>
      <c r="B15" s="331" t="n">
        <v>46082</v>
      </c>
      <c r="C15" s="49" t="inlineStr">
        <is>
          <t>281</t>
        </is>
      </c>
      <c r="D15" s="49" t="inlineStr">
        <is>
          <t>EQP</t>
        </is>
      </c>
      <c r="E15" s="30" t="str">
        <f>"Consórcio TAF TECNOBOMBAS: "&amp;D15&amp;" com vencimento em "&amp;TEXT(MONTH(B15),"00")&amp;"/"&amp;RIGHT(YEAR(B15),2)&amp;" ("&amp;COUNTIFS('08D. LANÇAMENTOS 281'!$B$4:$B$603,"DESPESA",'08D. LANÇAMENTOS 281'!$E$4:$E$603,B15,'08D. LANÇAMENTOS 281'!$L$4:$L$603,D15)&amp;" lançamentos na 08D)"</f>
        <v>Consórcio TAF TECNOBOMBAS: EQP com vencimento em 03/26 (11 lançamentos na 08D)</v>
      </c>
      <c r="F15" s="333">
        <f>SUMIFS('08D. LANÇAMENTOS 281'!$I$4:$I$603,'08D. LANÇAMENTOS 281'!$B$4:$B$603,"DESPESA",'08D. LANÇAMENTOS 281'!$E$4:$E$603,B15,'08D. LANÇAMENTOS 281'!$L$4:$L$603,D15)</f>
        <v>16858.42</v>
      </c>
      <c r="G15" s="44">
        <f>_xlfn.MAXIFS('08D. LANÇAMENTOS 281'!$D$4:$D$603,'08D. LANÇAMENTOS 281'!$B$4:$B$603,"DESPESA",'08D. LANÇAMENTOS 281'!$E$4:$E$603,B15,'08D. LANÇAMENTOS 281'!$L$4:$L$603,D15)</f>
        <v>46111.0</v>
      </c>
      <c r="H15" s="49" t="inlineStr">
        <is>
          <t>vários (08D)</t>
        </is>
      </c>
      <c r="I15" s="49" t="inlineStr">
        <is>
          <t>08D; vencimento usado como data (a planilha do consórcio não tem data de pagamento)</t>
        </is>
      </c>
      <c r="J15" s="49" t="inlineStr">
        <is>
          <t>PAGO</t>
        </is>
      </c>
    </row>
    <row r="16">
      <c r="A16" s="30" t="n">
        <v>12</v>
      </c>
      <c r="B16" s="331" t="n">
        <v>46082</v>
      </c>
      <c r="C16" s="49" t="inlineStr">
        <is>
          <t>281</t>
        </is>
      </c>
      <c r="D16" s="49" t="inlineStr">
        <is>
          <t>MAT</t>
        </is>
      </c>
      <c r="E16" s="30" t="str">
        <f>"Consórcio TAF TECNOBOMBAS: "&amp;D16&amp;" com vencimento em "&amp;TEXT(MONTH(B16),"00")&amp;"/"&amp;RIGHT(YEAR(B16),2)&amp;" ("&amp;COUNTIFS('08D. LANÇAMENTOS 281'!$B$4:$B$603,"DESPESA",'08D. LANÇAMENTOS 281'!$E$4:$E$603,B16,'08D. LANÇAMENTOS 281'!$L$4:$L$603,D16)&amp;" lançamentos na 08D)"</f>
        <v>Consórcio TAF TECNOBOMBAS: MAT com vencimento em 03/26 (27 lançamentos na 08D)</v>
      </c>
      <c r="F16" s="333">
        <f>SUMIFS('08D. LANÇAMENTOS 281'!$I$4:$I$603,'08D. LANÇAMENTOS 281'!$B$4:$B$603,"DESPESA",'08D. LANÇAMENTOS 281'!$E$4:$E$603,B16,'08D. LANÇAMENTOS 281'!$L$4:$L$603,D16)</f>
        <v>68925.03</v>
      </c>
      <c r="G16" s="44">
        <f>_xlfn.MAXIFS('08D. LANÇAMENTOS 281'!$D$4:$D$603,'08D. LANÇAMENTOS 281'!$B$4:$B$603,"DESPESA",'08D. LANÇAMENTOS 281'!$E$4:$E$603,B16,'08D. LANÇAMENTOS 281'!$L$4:$L$603,D16)</f>
        <v>46110.0</v>
      </c>
      <c r="H16" s="49" t="inlineStr">
        <is>
          <t>vários (08D)</t>
        </is>
      </c>
      <c r="I16" s="49" t="inlineStr">
        <is>
          <t>08D; vencimento usado como data (a planilha do consórcio não tem data de pagamento)</t>
        </is>
      </c>
      <c r="J16" s="49" t="inlineStr">
        <is>
          <t>PAGO</t>
        </is>
      </c>
    </row>
    <row r="17">
      <c r="A17" s="30" t="n">
        <v>13</v>
      </c>
      <c r="B17" s="331" t="n">
        <v>46082</v>
      </c>
      <c r="C17" s="49" t="inlineStr">
        <is>
          <t>281</t>
        </is>
      </c>
      <c r="D17" s="49" t="inlineStr">
        <is>
          <t>MO</t>
        </is>
      </c>
      <c r="E17" s="30" t="str">
        <f>"Consórcio TAF TECNOBOMBAS: "&amp;D17&amp;" com vencimento em "&amp;TEXT(MONTH(B17),"00")&amp;"/"&amp;RIGHT(YEAR(B17),2)&amp;" ("&amp;COUNTIFS('08D. LANÇAMENTOS 281'!$B$4:$B$603,"DESPESA",'08D. LANÇAMENTOS 281'!$E$4:$E$603,B17,'08D. LANÇAMENTOS 281'!$L$4:$L$603,D17)&amp;" lançamentos na 08D)"</f>
        <v>Consórcio TAF TECNOBOMBAS: MO com vencimento em 03/26 (10 lançamentos na 08D)</v>
      </c>
      <c r="F17" s="333">
        <f>SUMIFS('08D. LANÇAMENTOS 281'!$I$4:$I$603,'08D. LANÇAMENTOS 281'!$B$4:$B$603,"DESPESA",'08D. LANÇAMENTOS 281'!$E$4:$E$603,B17,'08D. LANÇAMENTOS 281'!$L$4:$L$603,D17)</f>
        <v>68257.78</v>
      </c>
      <c r="G17" s="44">
        <f>_xlfn.MAXIFS('08D. LANÇAMENTOS 281'!$D$4:$D$603,'08D. LANÇAMENTOS 281'!$B$4:$B$603,"DESPESA",'08D. LANÇAMENTOS 281'!$E$4:$E$603,B17,'08D. LANÇAMENTOS 281'!$L$4:$L$603,D17)</f>
        <v>46101.0</v>
      </c>
      <c r="H17" s="49" t="inlineStr">
        <is>
          <t>vários (08D)</t>
        </is>
      </c>
      <c r="I17" s="49" t="inlineStr">
        <is>
          <t>08D; vencimento usado como data (a planilha do consórcio não tem data de pagamento)</t>
        </is>
      </c>
      <c r="J17" s="49" t="inlineStr">
        <is>
          <t>PAGO</t>
        </is>
      </c>
    </row>
    <row r="18">
      <c r="A18" s="30" t="n">
        <v>14</v>
      </c>
      <c r="B18" s="331" t="n">
        <v>46082</v>
      </c>
      <c r="C18" s="49" t="inlineStr">
        <is>
          <t>281</t>
        </is>
      </c>
      <c r="D18" s="49" t="inlineStr">
        <is>
          <t>TER</t>
        </is>
      </c>
      <c r="E18" s="30" t="str">
        <f>"Consórcio TAF TECNOBOMBAS: "&amp;D18&amp;" com vencimento em "&amp;TEXT(MONTH(B18),"00")&amp;"/"&amp;RIGHT(YEAR(B18),2)&amp;" ("&amp;COUNTIFS('08D. LANÇAMENTOS 281'!$B$4:$B$603,"DESPESA",'08D. LANÇAMENTOS 281'!$E$4:$E$603,B18,'08D. LANÇAMENTOS 281'!$L$4:$L$603,D18)&amp;" lançamentos na 08D)"</f>
        <v>Consórcio TAF TECNOBOMBAS: TER com vencimento em 03/26 (5 lançamentos na 08D)</v>
      </c>
      <c r="F18" s="333">
        <f>SUMIFS('08D. LANÇAMENTOS 281'!$I$4:$I$603,'08D. LANÇAMENTOS 281'!$B$4:$B$603,"DESPESA",'08D. LANÇAMENTOS 281'!$E$4:$E$603,B18,'08D. LANÇAMENTOS 281'!$L$4:$L$603,D18)</f>
        <v>9334.9</v>
      </c>
      <c r="G18" s="44">
        <f>_xlfn.MAXIFS('08D. LANÇAMENTOS 281'!$D$4:$D$603,'08D. LANÇAMENTOS 281'!$B$4:$B$603,"DESPESA",'08D. LANÇAMENTOS 281'!$E$4:$E$603,B18,'08D. LANÇAMENTOS 281'!$L$4:$L$603,D18)</f>
        <v>46102.0</v>
      </c>
      <c r="H18" s="49" t="inlineStr">
        <is>
          <t>vários (08D)</t>
        </is>
      </c>
      <c r="I18" s="49" t="inlineStr">
        <is>
          <t>08D; vencimento usado como data (a planilha do consórcio não tem data de pagamento)</t>
        </is>
      </c>
      <c r="J18" s="49" t="inlineStr">
        <is>
          <t>PAGO</t>
        </is>
      </c>
    </row>
    <row r="19">
      <c r="A19" s="30" t="n">
        <v>15</v>
      </c>
      <c r="B19" s="331" t="n">
        <v>46113</v>
      </c>
      <c r="C19" s="49" t="inlineStr">
        <is>
          <t>281</t>
        </is>
      </c>
      <c r="D19" s="49" t="inlineStr">
        <is>
          <t>ADM</t>
        </is>
      </c>
      <c r="E19" s="30" t="str">
        <f>"Consórcio TAF TECNOBOMBAS: "&amp;D19&amp;" com vencimento em "&amp;TEXT(MONTH(B19),"00")&amp;"/"&amp;RIGHT(YEAR(B19),2)&amp;" ("&amp;COUNTIFS('08D. LANÇAMENTOS 281'!$B$4:$B$603,"DESPESA",'08D. LANÇAMENTOS 281'!$E$4:$E$603,B19,'08D. LANÇAMENTOS 281'!$L$4:$L$603,D19)&amp;" lançamentos na 08D)"</f>
        <v>Consórcio TAF TECNOBOMBAS: ADM com vencimento em 04/26 (41 lançamentos na 08D)</v>
      </c>
      <c r="F19" s="333">
        <f>SUMIFS('08D. LANÇAMENTOS 281'!$I$4:$I$603,'08D. LANÇAMENTOS 281'!$B$4:$B$603,"DESPESA",'08D. LANÇAMENTOS 281'!$E$4:$E$603,B19,'08D. LANÇAMENTOS 281'!$L$4:$L$603,D19)</f>
        <v>71862.16</v>
      </c>
      <c r="G19" s="44">
        <f>_xlfn.MAXIFS('08D. LANÇAMENTOS 281'!$D$4:$D$603,'08D. LANÇAMENTOS 281'!$B$4:$B$603,"DESPESA",'08D. LANÇAMENTOS 281'!$E$4:$E$603,B19,'08D. LANÇAMENTOS 281'!$L$4:$L$603,D19)</f>
        <v>46142.0</v>
      </c>
      <c r="H19" s="49" t="inlineStr">
        <is>
          <t>vários (08D)</t>
        </is>
      </c>
      <c r="I19" s="49" t="inlineStr">
        <is>
          <t>08D; vencimento usado como data (a planilha do consórcio não tem data de pagamento)</t>
        </is>
      </c>
      <c r="J19" s="49" t="inlineStr">
        <is>
          <t>PAGO</t>
        </is>
      </c>
    </row>
    <row r="20">
      <c r="A20" s="30" t="n">
        <v>16</v>
      </c>
      <c r="B20" s="331" t="n">
        <v>46113</v>
      </c>
      <c r="C20" s="49" t="inlineStr">
        <is>
          <t>281</t>
        </is>
      </c>
      <c r="D20" s="49" t="inlineStr">
        <is>
          <t>EQP</t>
        </is>
      </c>
      <c r="E20" s="30" t="str">
        <f>"Consórcio TAF TECNOBOMBAS: "&amp;D20&amp;" com vencimento em "&amp;TEXT(MONTH(B20),"00")&amp;"/"&amp;RIGHT(YEAR(B20),2)&amp;" ("&amp;COUNTIFS('08D. LANÇAMENTOS 281'!$B$4:$B$603,"DESPESA",'08D. LANÇAMENTOS 281'!$E$4:$E$603,B20,'08D. LANÇAMENTOS 281'!$L$4:$L$603,D20)&amp;" lançamentos na 08D)"</f>
        <v>Consórcio TAF TECNOBOMBAS: EQP com vencimento em 04/26 (12 lançamentos na 08D)</v>
      </c>
      <c r="F20" s="333">
        <f>SUMIFS('08D. LANÇAMENTOS 281'!$I$4:$I$603,'08D. LANÇAMENTOS 281'!$B$4:$B$603,"DESPESA",'08D. LANÇAMENTOS 281'!$E$4:$E$603,B20,'08D. LANÇAMENTOS 281'!$L$4:$L$603,D20)</f>
        <v>38748.79</v>
      </c>
      <c r="G20" s="44">
        <f>_xlfn.MAXIFS('08D. LANÇAMENTOS 281'!$D$4:$D$603,'08D. LANÇAMENTOS 281'!$B$4:$B$603,"DESPESA",'08D. LANÇAMENTOS 281'!$E$4:$E$603,B20,'08D. LANÇAMENTOS 281'!$L$4:$L$603,D20)</f>
        <v>46142.0</v>
      </c>
      <c r="H20" s="49" t="inlineStr">
        <is>
          <t>vários (08D)</t>
        </is>
      </c>
      <c r="I20" s="49" t="inlineStr">
        <is>
          <t>08D; vencimento usado como data (a planilha do consórcio não tem data de pagamento)</t>
        </is>
      </c>
      <c r="J20" s="49" t="inlineStr">
        <is>
          <t>PAGO</t>
        </is>
      </c>
    </row>
    <row r="21">
      <c r="A21" s="30" t="n">
        <v>17</v>
      </c>
      <c r="B21" s="331" t="n">
        <v>46113</v>
      </c>
      <c r="C21" s="49" t="inlineStr">
        <is>
          <t>281</t>
        </is>
      </c>
      <c r="D21" s="49" t="inlineStr">
        <is>
          <t>MAT</t>
        </is>
      </c>
      <c r="E21" s="30" t="str">
        <f>"Consórcio TAF TECNOBOMBAS: "&amp;D21&amp;" com vencimento em "&amp;TEXT(MONTH(B21),"00")&amp;"/"&amp;RIGHT(YEAR(B21),2)&amp;" ("&amp;COUNTIFS('08D. LANÇAMENTOS 281'!$B$4:$B$603,"DESPESA",'08D. LANÇAMENTOS 281'!$E$4:$E$603,B21,'08D. LANÇAMENTOS 281'!$L$4:$L$603,D21)&amp;" lançamentos na 08D)"</f>
        <v>Consórcio TAF TECNOBOMBAS: MAT com vencimento em 04/26 (54 lançamentos na 08D)</v>
      </c>
      <c r="F21" s="333">
        <f>SUMIFS('08D. LANÇAMENTOS 281'!$I$4:$I$603,'08D. LANÇAMENTOS 281'!$B$4:$B$603,"DESPESA",'08D. LANÇAMENTOS 281'!$E$4:$E$603,B21,'08D. LANÇAMENTOS 281'!$L$4:$L$603,D21)</f>
        <v>242654.24</v>
      </c>
      <c r="G21" s="44">
        <f>_xlfn.MAXIFS('08D. LANÇAMENTOS 281'!$D$4:$D$603,'08D. LANÇAMENTOS 281'!$B$4:$B$603,"DESPESA",'08D. LANÇAMENTOS 281'!$E$4:$E$603,B21,'08D. LANÇAMENTOS 281'!$L$4:$L$603,D21)</f>
        <v>46140.0</v>
      </c>
      <c r="H21" s="49" t="inlineStr">
        <is>
          <t>vários (08D)</t>
        </is>
      </c>
      <c r="I21" s="49" t="inlineStr">
        <is>
          <t>08D; vencimento usado como data (a planilha do consórcio não tem data de pagamento)</t>
        </is>
      </c>
      <c r="J21" s="49" t="inlineStr">
        <is>
          <t>PAGO</t>
        </is>
      </c>
    </row>
    <row r="22">
      <c r="A22" s="30" t="n">
        <v>18</v>
      </c>
      <c r="B22" s="331" t="n">
        <v>46113</v>
      </c>
      <c r="C22" s="49" t="inlineStr">
        <is>
          <t>281</t>
        </is>
      </c>
      <c r="D22" s="49" t="inlineStr">
        <is>
          <t>MO</t>
        </is>
      </c>
      <c r="E22" s="30" t="str">
        <f>"Consórcio TAF TECNOBOMBAS: "&amp;D22&amp;" com vencimento em "&amp;TEXT(MONTH(B22),"00")&amp;"/"&amp;RIGHT(YEAR(B22),2)&amp;" ("&amp;COUNTIFS('08D. LANÇAMENTOS 281'!$B$4:$B$603,"DESPESA",'08D. LANÇAMENTOS 281'!$E$4:$E$603,B22,'08D. LANÇAMENTOS 281'!$L$4:$L$603,D22)&amp;" lançamentos na 08D)"</f>
        <v>Consórcio TAF TECNOBOMBAS: MO com vencimento em 04/26 (21 lançamentos na 08D)</v>
      </c>
      <c r="F22" s="333">
        <f>SUMIFS('08D. LANÇAMENTOS 281'!$I$4:$I$603,'08D. LANÇAMENTOS 281'!$B$4:$B$603,"DESPESA",'08D. LANÇAMENTOS 281'!$E$4:$E$603,B22,'08D. LANÇAMENTOS 281'!$L$4:$L$603,D22)</f>
        <v>84862.15</v>
      </c>
      <c r="G22" s="44">
        <f>_xlfn.MAXIFS('08D. LANÇAMENTOS 281'!$D$4:$D$603,'08D. LANÇAMENTOS 281'!$B$4:$B$603,"DESPESA",'08D. LANÇAMENTOS 281'!$E$4:$E$603,B22,'08D. LANÇAMENTOS 281'!$L$4:$L$603,D22)</f>
        <v>46142.0</v>
      </c>
      <c r="H22" s="49" t="inlineStr">
        <is>
          <t>vários (08D)</t>
        </is>
      </c>
      <c r="I22" s="49" t="inlineStr">
        <is>
          <t>08D; vencimento usado como data (a planilha do consórcio não tem data de pagamento)</t>
        </is>
      </c>
      <c r="J22" s="49" t="inlineStr">
        <is>
          <t>PAGO</t>
        </is>
      </c>
    </row>
    <row r="23">
      <c r="A23" s="30" t="n">
        <v>19</v>
      </c>
      <c r="B23" s="331" t="n">
        <v>46113</v>
      </c>
      <c r="C23" s="49" t="inlineStr">
        <is>
          <t>281</t>
        </is>
      </c>
      <c r="D23" s="49" t="inlineStr">
        <is>
          <t>TER</t>
        </is>
      </c>
      <c r="E23" s="30" t="str">
        <f>"Consórcio TAF TECNOBOMBAS: "&amp;D23&amp;" com vencimento em "&amp;TEXT(MONTH(B23),"00")&amp;"/"&amp;RIGHT(YEAR(B23),2)&amp;" ("&amp;COUNTIFS('08D. LANÇAMENTOS 281'!$B$4:$B$603,"DESPESA",'08D. LANÇAMENTOS 281'!$E$4:$E$603,B23,'08D. LANÇAMENTOS 281'!$L$4:$L$603,D23)&amp;" lançamentos na 08D)"</f>
        <v>Consórcio TAF TECNOBOMBAS: TER com vencimento em 04/26 (10 lançamentos na 08D)</v>
      </c>
      <c r="F23" s="333">
        <f>SUMIFS('08D. LANÇAMENTOS 281'!$I$4:$I$603,'08D. LANÇAMENTOS 281'!$B$4:$B$603,"DESPESA",'08D. LANÇAMENTOS 281'!$E$4:$E$603,B23,'08D. LANÇAMENTOS 281'!$L$4:$L$603,D23)</f>
        <v>27576.96</v>
      </c>
      <c r="G23" s="44">
        <f>_xlfn.MAXIFS('08D. LANÇAMENTOS 281'!$D$4:$D$603,'08D. LANÇAMENTOS 281'!$B$4:$B$603,"DESPESA",'08D. LANÇAMENTOS 281'!$E$4:$E$603,B23,'08D. LANÇAMENTOS 281'!$L$4:$L$603,D23)</f>
        <v>46142.0</v>
      </c>
      <c r="H23" s="49" t="inlineStr">
        <is>
          <t>vários (08D)</t>
        </is>
      </c>
      <c r="I23" s="49" t="inlineStr">
        <is>
          <t>08D; vencimento usado como data (a planilha do consórcio não tem data de pagamento)</t>
        </is>
      </c>
      <c r="J23" s="49" t="inlineStr">
        <is>
          <t>PAGO</t>
        </is>
      </c>
    </row>
    <row r="24">
      <c r="A24" s="30" t="n">
        <v>20</v>
      </c>
      <c r="B24" s="331" t="n">
        <v>46143</v>
      </c>
      <c r="C24" s="49" t="inlineStr">
        <is>
          <t>281</t>
        </is>
      </c>
      <c r="D24" s="49" t="inlineStr">
        <is>
          <t>ADM</t>
        </is>
      </c>
      <c r="E24" s="30" t="str">
        <f>"Consórcio TAF TECNOBOMBAS: "&amp;D24&amp;" com vencimento em "&amp;TEXT(MONTH(B24),"00")&amp;"/"&amp;RIGHT(YEAR(B24),2)&amp;" ("&amp;COUNTIFS('08D. LANÇAMENTOS 281'!$B$4:$B$603,"DESPESA",'08D. LANÇAMENTOS 281'!$E$4:$E$603,B24,'08D. LANÇAMENTOS 281'!$L$4:$L$603,D24)&amp;" lançamentos na 08D)"</f>
        <v>Consórcio TAF TECNOBOMBAS: ADM com vencimento em 05/26 (17 lançamentos na 08D)</v>
      </c>
      <c r="F24" s="333">
        <f>SUMIFS('08D. LANÇAMENTOS 281'!$I$4:$I$603,'08D. LANÇAMENTOS 281'!$B$4:$B$603,"DESPESA",'08D. LANÇAMENTOS 281'!$E$4:$E$603,B24,'08D. LANÇAMENTOS 281'!$L$4:$L$603,D24)</f>
        <v>32728.37</v>
      </c>
      <c r="G24" s="44">
        <f>_xlfn.MAXIFS('08D. LANÇAMENTOS 281'!$D$4:$D$603,'08D. LANÇAMENTOS 281'!$B$4:$B$603,"DESPESA",'08D. LANÇAMENTOS 281'!$E$4:$E$603,B24,'08D. LANÇAMENTOS 281'!$L$4:$L$603,D24)</f>
        <v>46172.0</v>
      </c>
      <c r="H24" s="49" t="inlineStr">
        <is>
          <t>vários (08D)</t>
        </is>
      </c>
      <c r="I24" s="49" t="inlineStr">
        <is>
          <t>08D; vencimento usado como data (a planilha do consórcio não tem data de pagamento)</t>
        </is>
      </c>
      <c r="J24" s="49" t="inlineStr">
        <is>
          <t>A PAGAR</t>
        </is>
      </c>
    </row>
    <row r="25">
      <c r="A25" s="30" t="n">
        <v>21</v>
      </c>
      <c r="B25" s="331" t="n">
        <v>46143</v>
      </c>
      <c r="C25" s="49" t="inlineStr">
        <is>
          <t>281</t>
        </is>
      </c>
      <c r="D25" s="49" t="inlineStr">
        <is>
          <t>EQP</t>
        </is>
      </c>
      <c r="E25" s="30" t="str">
        <f>"Consórcio TAF TECNOBOMBAS: "&amp;D25&amp;" com vencimento em "&amp;TEXT(MONTH(B25),"00")&amp;"/"&amp;RIGHT(YEAR(B25),2)&amp;" ("&amp;COUNTIFS('08D. LANÇAMENTOS 281'!$B$4:$B$603,"DESPESA",'08D. LANÇAMENTOS 281'!$E$4:$E$603,B25,'08D. LANÇAMENTOS 281'!$L$4:$L$603,D25)&amp;" lançamentos na 08D)"</f>
        <v>Consórcio TAF TECNOBOMBAS: EQP com vencimento em 05/26 (10 lançamentos na 08D)</v>
      </c>
      <c r="F25" s="333">
        <f>SUMIFS('08D. LANÇAMENTOS 281'!$I$4:$I$603,'08D. LANÇAMENTOS 281'!$B$4:$B$603,"DESPESA",'08D. LANÇAMENTOS 281'!$E$4:$E$603,B25,'08D. LANÇAMENTOS 281'!$L$4:$L$603,D25)</f>
        <v>15765</v>
      </c>
      <c r="G25" s="44">
        <f>_xlfn.MAXIFS('08D. LANÇAMENTOS 281'!$D$4:$D$603,'08D. LANÇAMENTOS 281'!$B$4:$B$603,"DESPESA",'08D. LANÇAMENTOS 281'!$E$4:$E$603,B25,'08D. LANÇAMENTOS 281'!$L$4:$L$603,D25)</f>
        <v>46163.0</v>
      </c>
      <c r="H25" s="49" t="inlineStr">
        <is>
          <t>vários (08D)</t>
        </is>
      </c>
      <c r="I25" s="49" t="inlineStr">
        <is>
          <t>08D; vencimento usado como data (a planilha do consórcio não tem data de pagamento)</t>
        </is>
      </c>
      <c r="J25" s="49" t="inlineStr">
        <is>
          <t>A PAGAR</t>
        </is>
      </c>
    </row>
    <row r="26">
      <c r="A26" s="30" t="n">
        <v>22</v>
      </c>
      <c r="B26" s="331" t="n">
        <v>46143</v>
      </c>
      <c r="C26" s="49" t="inlineStr">
        <is>
          <t>281</t>
        </is>
      </c>
      <c r="D26" s="49" t="inlineStr">
        <is>
          <t>MAT</t>
        </is>
      </c>
      <c r="E26" s="30" t="str">
        <f>"Consórcio TAF TECNOBOMBAS: "&amp;D26&amp;" com vencimento em "&amp;TEXT(MONTH(B26),"00")&amp;"/"&amp;RIGHT(YEAR(B26),2)&amp;" ("&amp;COUNTIFS('08D. LANÇAMENTOS 281'!$B$4:$B$603,"DESPESA",'08D. LANÇAMENTOS 281'!$E$4:$E$603,B26,'08D. LANÇAMENTOS 281'!$L$4:$L$603,D26)&amp;" lançamentos na 08D)"</f>
        <v>Consórcio TAF TECNOBOMBAS: MAT com vencimento em 05/26 (23 lançamentos na 08D)</v>
      </c>
      <c r="F26" s="333">
        <f>SUMIFS('08D. LANÇAMENTOS 281'!$I$4:$I$603,'08D. LANÇAMENTOS 281'!$B$4:$B$603,"DESPESA",'08D. LANÇAMENTOS 281'!$E$4:$E$603,B26,'08D. LANÇAMENTOS 281'!$L$4:$L$603,D26)</f>
        <v>179989.31</v>
      </c>
      <c r="G26" s="44">
        <f>_xlfn.MAXIFS('08D. LANÇAMENTOS 281'!$D$4:$D$603,'08D. LANÇAMENTOS 281'!$B$4:$B$603,"DESPESA",'08D. LANÇAMENTOS 281'!$E$4:$E$603,B26,'08D. LANÇAMENTOS 281'!$L$4:$L$603,D26)</f>
        <v>46167.0</v>
      </c>
      <c r="H26" s="49" t="inlineStr">
        <is>
          <t>vários (08D)</t>
        </is>
      </c>
      <c r="I26" s="49" t="inlineStr">
        <is>
          <t>08D; vencimento usado como data (a planilha do consórcio não tem data de pagamento)</t>
        </is>
      </c>
      <c r="J26" s="49" t="inlineStr">
        <is>
          <t>A PAGAR</t>
        </is>
      </c>
    </row>
    <row r="27">
      <c r="A27" s="30" t="n">
        <v>23</v>
      </c>
      <c r="B27" s="331" t="n">
        <v>46143</v>
      </c>
      <c r="C27" s="49" t="inlineStr">
        <is>
          <t>281</t>
        </is>
      </c>
      <c r="D27" s="49" t="inlineStr">
        <is>
          <t>MO</t>
        </is>
      </c>
      <c r="E27" s="30" t="str">
        <f>"Consórcio TAF TECNOBOMBAS: "&amp;D27&amp;" com vencimento em "&amp;TEXT(MONTH(B27),"00")&amp;"/"&amp;RIGHT(YEAR(B27),2)&amp;" ("&amp;COUNTIFS('08D. LANÇAMENTOS 281'!$B$4:$B$603,"DESPESA",'08D. LANÇAMENTOS 281'!$E$4:$E$603,B27,'08D. LANÇAMENTOS 281'!$L$4:$L$603,D27)&amp;" lançamentos na 08D)"</f>
        <v>Consórcio TAF TECNOBOMBAS: MO com vencimento em 05/26 (6 lançamentos na 08D)</v>
      </c>
      <c r="F27" s="333">
        <f>SUMIFS('08D. LANÇAMENTOS 281'!$I$4:$I$603,'08D. LANÇAMENTOS 281'!$B$4:$B$603,"DESPESA",'08D. LANÇAMENTOS 281'!$E$4:$E$603,B27,'08D. LANÇAMENTOS 281'!$L$4:$L$603,D27)</f>
        <v>50228.87</v>
      </c>
      <c r="G27" s="44">
        <f>_xlfn.MAXIFS('08D. LANÇAMENTOS 281'!$D$4:$D$603,'08D. LANÇAMENTOS 281'!$B$4:$B$603,"DESPESA",'08D. LANÇAMENTOS 281'!$E$4:$E$603,B27,'08D. LANÇAMENTOS 281'!$L$4:$L$603,D27)</f>
        <v>46162.0</v>
      </c>
      <c r="H27" s="49" t="inlineStr">
        <is>
          <t>vários (08D)</t>
        </is>
      </c>
      <c r="I27" s="49" t="inlineStr">
        <is>
          <t>08D; vencimento usado como data (a planilha do consórcio não tem data de pagamento)</t>
        </is>
      </c>
      <c r="J27" s="49" t="inlineStr">
        <is>
          <t>A PAGAR</t>
        </is>
      </c>
    </row>
    <row r="28">
      <c r="A28" s="30" t="n">
        <v>24</v>
      </c>
      <c r="B28" s="331" t="n">
        <v>46143</v>
      </c>
      <c r="C28" s="49" t="inlineStr">
        <is>
          <t>281</t>
        </is>
      </c>
      <c r="D28" s="49" t="inlineStr">
        <is>
          <t>TER</t>
        </is>
      </c>
      <c r="E28" s="30" t="str">
        <f>"Consórcio TAF TECNOBOMBAS: "&amp;D28&amp;" com vencimento em "&amp;TEXT(MONTH(B28),"00")&amp;"/"&amp;RIGHT(YEAR(B28),2)&amp;" ("&amp;COUNTIFS('08D. LANÇAMENTOS 281'!$B$4:$B$603,"DESPESA",'08D. LANÇAMENTOS 281'!$E$4:$E$603,B28,'08D. LANÇAMENTOS 281'!$L$4:$L$603,D28)&amp;" lançamentos na 08D)"</f>
        <v>Consórcio TAF TECNOBOMBAS: TER com vencimento em 05/26 (8 lançamentos na 08D)</v>
      </c>
      <c r="F28" s="333">
        <f>SUMIFS('08D. LANÇAMENTOS 281'!$I$4:$I$603,'08D. LANÇAMENTOS 281'!$B$4:$B$603,"DESPESA",'08D. LANÇAMENTOS 281'!$E$4:$E$603,B28,'08D. LANÇAMENTOS 281'!$L$4:$L$603,D28)</f>
        <v>46557.55</v>
      </c>
      <c r="G28" s="44">
        <f>_xlfn.MAXIFS('08D. LANÇAMENTOS 281'!$D$4:$D$603,'08D. LANÇAMENTOS 281'!$B$4:$B$603,"DESPESA",'08D. LANÇAMENTOS 281'!$E$4:$E$603,B28,'08D. LANÇAMENTOS 281'!$L$4:$L$603,D28)</f>
        <v>46163.0</v>
      </c>
      <c r="H28" s="49" t="inlineStr">
        <is>
          <t>vários (08D)</t>
        </is>
      </c>
      <c r="I28" s="49" t="inlineStr">
        <is>
          <t>08D; vencimento usado como data (a planilha do consórcio não tem data de pagamento)</t>
        </is>
      </c>
      <c r="J28" s="49" t="inlineStr">
        <is>
          <t>A PAGAR</t>
        </is>
      </c>
    </row>
    <row r="29">
      <c r="A29" s="30" t="n">
        <v>25</v>
      </c>
      <c r="B29" s="51" t="n"/>
      <c r="C29" s="49" t="n"/>
      <c r="D29" s="49" t="n"/>
      <c r="E29" s="49" t="n"/>
      <c r="F29" s="313" t="n"/>
      <c r="G29" s="37" t="n"/>
      <c r="H29" s="49" t="n"/>
      <c r="I29" s="49" t="n"/>
      <c r="J29" s="49" t="n"/>
    </row>
    <row r="30">
      <c r="A30" s="30" t="n">
        <v>26</v>
      </c>
      <c r="B30" s="51" t="n"/>
      <c r="C30" s="49" t="n"/>
      <c r="D30" s="49" t="n"/>
      <c r="E30" s="49" t="n"/>
      <c r="F30" s="313" t="n"/>
      <c r="G30" s="37" t="n"/>
      <c r="H30" s="49" t="n"/>
      <c r="I30" s="49" t="n"/>
      <c r="J30" s="49" t="n"/>
    </row>
    <row r="31">
      <c r="A31" s="30" t="n">
        <v>27</v>
      </c>
      <c r="B31" s="51" t="n"/>
      <c r="C31" s="49" t="n"/>
      <c r="D31" s="49" t="n"/>
      <c r="E31" s="49" t="n"/>
      <c r="F31" s="313" t="n"/>
      <c r="G31" s="37" t="n"/>
      <c r="H31" s="49" t="n"/>
      <c r="I31" s="49" t="n"/>
      <c r="J31" s="49" t="n"/>
    </row>
    <row r="32">
      <c r="A32" s="30" t="n">
        <v>28</v>
      </c>
      <c r="B32" s="51" t="n"/>
      <c r="C32" s="49" t="n"/>
      <c r="D32" s="49" t="n"/>
      <c r="E32" s="49" t="n"/>
      <c r="F32" s="313" t="n"/>
      <c r="G32" s="37" t="n"/>
      <c r="H32" s="49" t="n"/>
      <c r="I32" s="49" t="n"/>
      <c r="J32" s="49" t="n"/>
    </row>
    <row r="33">
      <c r="A33" s="30" t="n">
        <v>29</v>
      </c>
      <c r="B33" s="51" t="n"/>
      <c r="C33" s="49" t="n"/>
      <c r="D33" s="49" t="n"/>
      <c r="E33" s="49" t="n"/>
      <c r="F33" s="313" t="n"/>
      <c r="G33" s="37" t="n"/>
      <c r="H33" s="49" t="n"/>
      <c r="I33" s="49" t="n"/>
      <c r="J33" s="49" t="n"/>
    </row>
    <row r="34">
      <c r="A34" s="30" t="n">
        <v>30</v>
      </c>
      <c r="B34" s="51" t="n"/>
      <c r="C34" s="49" t="n"/>
      <c r="D34" s="49" t="n"/>
      <c r="E34" s="49" t="n"/>
      <c r="F34" s="313" t="n"/>
      <c r="G34" s="37" t="n"/>
      <c r="H34" s="49" t="n"/>
      <c r="I34" s="49" t="n"/>
      <c r="J34" s="49" t="n"/>
    </row>
    <row r="35">
      <c r="A35" s="30" t="n">
        <v>31</v>
      </c>
      <c r="B35" s="51" t="n"/>
      <c r="C35" s="49" t="n"/>
      <c r="D35" s="49" t="n"/>
      <c r="E35" s="49" t="n"/>
      <c r="F35" s="313" t="n"/>
      <c r="G35" s="37" t="n"/>
      <c r="H35" s="49" t="n"/>
      <c r="I35" s="49" t="n"/>
      <c r="J35" s="49" t="n"/>
    </row>
    <row r="36">
      <c r="A36" s="30" t="n">
        <v>32</v>
      </c>
      <c r="B36" s="51" t="n"/>
      <c r="C36" s="49" t="n"/>
      <c r="D36" s="49" t="n"/>
      <c r="E36" s="49" t="n"/>
      <c r="F36" s="313" t="n"/>
      <c r="G36" s="37" t="n"/>
      <c r="H36" s="49" t="n"/>
      <c r="I36" s="49" t="n"/>
      <c r="J36" s="49" t="n"/>
    </row>
    <row r="37">
      <c r="A37" s="30" t="n">
        <v>33</v>
      </c>
      <c r="B37" s="51" t="n"/>
      <c r="C37" s="49" t="n"/>
      <c r="D37" s="49" t="n"/>
      <c r="E37" s="49" t="n"/>
      <c r="F37" s="313" t="n"/>
      <c r="G37" s="37" t="n"/>
      <c r="H37" s="49" t="n"/>
      <c r="I37" s="49" t="n"/>
      <c r="J37" s="49" t="n"/>
    </row>
    <row r="38">
      <c r="A38" s="30" t="n">
        <v>34</v>
      </c>
      <c r="B38" s="51" t="n"/>
      <c r="C38" s="49" t="n"/>
      <c r="D38" s="49" t="n"/>
      <c r="E38" s="49" t="n"/>
      <c r="F38" s="313" t="n"/>
      <c r="G38" s="37" t="n"/>
      <c r="H38" s="49" t="n"/>
      <c r="I38" s="49" t="n"/>
      <c r="J38" s="49" t="n"/>
    </row>
    <row r="39">
      <c r="A39" s="30" t="n">
        <v>35</v>
      </c>
      <c r="B39" s="51" t="n"/>
      <c r="C39" s="49" t="n"/>
      <c r="D39" s="49" t="n"/>
      <c r="E39" s="49" t="n"/>
      <c r="F39" s="313" t="n"/>
      <c r="G39" s="37" t="n"/>
      <c r="H39" s="49" t="n"/>
      <c r="I39" s="49" t="n"/>
      <c r="J39" s="49" t="n"/>
    </row>
    <row r="40">
      <c r="A40" s="30" t="n">
        <v>36</v>
      </c>
      <c r="B40" s="51" t="n"/>
      <c r="C40" s="49" t="n"/>
      <c r="D40" s="49" t="n"/>
      <c r="E40" s="49" t="n"/>
      <c r="F40" s="313" t="n"/>
      <c r="G40" s="37" t="n"/>
      <c r="H40" s="49" t="n"/>
      <c r="I40" s="49" t="n"/>
      <c r="J40" s="49" t="n"/>
    </row>
    <row r="41">
      <c r="A41" s="30" t="n">
        <v>37</v>
      </c>
      <c r="B41" s="51" t="n"/>
      <c r="C41" s="49" t="n"/>
      <c r="D41" s="49" t="n"/>
      <c r="E41" s="49" t="n"/>
      <c r="F41" s="313" t="n"/>
      <c r="G41" s="37" t="n"/>
      <c r="H41" s="49" t="n"/>
      <c r="I41" s="49" t="n"/>
      <c r="J41" s="49" t="n"/>
    </row>
    <row r="42">
      <c r="A42" s="30" t="n">
        <v>38</v>
      </c>
      <c r="B42" s="51" t="n"/>
      <c r="C42" s="49" t="n"/>
      <c r="D42" s="49" t="n"/>
      <c r="E42" s="49" t="n"/>
      <c r="F42" s="313" t="n"/>
      <c r="G42" s="37" t="n"/>
      <c r="H42" s="49" t="n"/>
      <c r="I42" s="49" t="n"/>
      <c r="J42" s="49" t="n"/>
    </row>
    <row r="43">
      <c r="A43" s="30" t="n">
        <v>39</v>
      </c>
      <c r="B43" s="51" t="n"/>
      <c r="C43" s="49" t="n"/>
      <c r="D43" s="49" t="n"/>
      <c r="E43" s="49" t="n"/>
      <c r="F43" s="313" t="n"/>
      <c r="G43" s="37" t="n"/>
      <c r="H43" s="49" t="n"/>
      <c r="I43" s="49" t="n"/>
      <c r="J43" s="49" t="n"/>
    </row>
    <row r="44">
      <c r="A44" s="30" t="n">
        <v>40</v>
      </c>
      <c r="B44" s="51" t="n"/>
      <c r="C44" s="49" t="n"/>
      <c r="D44" s="49" t="n"/>
      <c r="E44" s="49" t="n"/>
      <c r="F44" s="313" t="n"/>
      <c r="G44" s="37" t="n"/>
      <c r="H44" s="49" t="n"/>
      <c r="I44" s="49" t="n"/>
      <c r="J44" s="49" t="n"/>
    </row>
    <row r="45">
      <c r="A45" s="30" t="n">
        <v>41</v>
      </c>
      <c r="B45" s="51" t="n"/>
      <c r="C45" s="49" t="n"/>
      <c r="D45" s="49" t="n"/>
      <c r="E45" s="49" t="n"/>
      <c r="F45" s="313" t="n"/>
      <c r="G45" s="37" t="n"/>
      <c r="H45" s="49" t="n"/>
      <c r="I45" s="49" t="n"/>
      <c r="J45" s="49" t="n"/>
    </row>
    <row r="46">
      <c r="A46" s="30" t="n">
        <v>42</v>
      </c>
      <c r="B46" s="51" t="n"/>
      <c r="C46" s="49" t="n"/>
      <c r="D46" s="49" t="n"/>
      <c r="E46" s="49" t="n"/>
      <c r="F46" s="313" t="n"/>
      <c r="G46" s="37" t="n"/>
      <c r="H46" s="49" t="n"/>
      <c r="I46" s="49" t="n"/>
      <c r="J46" s="49" t="n"/>
    </row>
    <row r="47">
      <c r="A47" s="30" t="n">
        <v>43</v>
      </c>
      <c r="B47" s="51" t="n"/>
      <c r="C47" s="49" t="n"/>
      <c r="D47" s="49" t="n"/>
      <c r="E47" s="49" t="n"/>
      <c r="F47" s="313" t="n"/>
      <c r="G47" s="37" t="n"/>
      <c r="H47" s="49" t="n"/>
      <c r="I47" s="49" t="n"/>
      <c r="J47" s="49" t="n"/>
    </row>
    <row r="48">
      <c r="A48" s="30" t="n">
        <v>44</v>
      </c>
      <c r="B48" s="51" t="n"/>
      <c r="C48" s="49" t="n"/>
      <c r="D48" s="49" t="n"/>
      <c r="E48" s="49" t="n"/>
      <c r="F48" s="313" t="n"/>
      <c r="G48" s="37" t="n"/>
      <c r="H48" s="49" t="n"/>
      <c r="I48" s="49" t="n"/>
      <c r="J48" s="49" t="n"/>
    </row>
    <row r="49">
      <c r="A49" s="30" t="n">
        <v>45</v>
      </c>
      <c r="B49" s="51" t="n"/>
      <c r="C49" s="49" t="n"/>
      <c r="D49" s="49" t="n"/>
      <c r="E49" s="49" t="n"/>
      <c r="F49" s="313" t="n"/>
      <c r="G49" s="37" t="n"/>
      <c r="H49" s="49" t="n"/>
      <c r="I49" s="49" t="n"/>
      <c r="J49" s="49" t="n"/>
    </row>
    <row r="50">
      <c r="A50" s="30" t="n">
        <v>46</v>
      </c>
      <c r="B50" s="51" t="n"/>
      <c r="C50" s="49" t="n"/>
      <c r="D50" s="49" t="n"/>
      <c r="E50" s="49" t="n"/>
      <c r="F50" s="313" t="n"/>
      <c r="G50" s="37" t="n"/>
      <c r="H50" s="49" t="n"/>
      <c r="I50" s="49" t="n"/>
      <c r="J50" s="49" t="n"/>
    </row>
    <row r="51">
      <c r="A51" s="30" t="n">
        <v>47</v>
      </c>
      <c r="B51" s="51" t="n"/>
      <c r="C51" s="49" t="n"/>
      <c r="D51" s="49" t="n"/>
      <c r="E51" s="49" t="n"/>
      <c r="F51" s="313" t="n"/>
      <c r="G51" s="37" t="n"/>
      <c r="H51" s="49" t="n"/>
      <c r="I51" s="49" t="n"/>
      <c r="J51" s="49" t="n"/>
    </row>
    <row r="52">
      <c r="A52" s="30" t="n">
        <v>48</v>
      </c>
      <c r="B52" s="51" t="n"/>
      <c r="C52" s="49" t="n"/>
      <c r="D52" s="49" t="n"/>
      <c r="E52" s="49" t="n"/>
      <c r="F52" s="313" t="n"/>
      <c r="G52" s="37" t="n"/>
      <c r="H52" s="49" t="n"/>
      <c r="I52" s="49" t="n"/>
      <c r="J52" s="49" t="n"/>
    </row>
    <row r="53">
      <c r="A53" s="30" t="n">
        <v>49</v>
      </c>
      <c r="B53" s="51" t="n"/>
      <c r="C53" s="49" t="n"/>
      <c r="D53" s="49" t="n"/>
      <c r="E53" s="49" t="n"/>
      <c r="F53" s="313" t="n"/>
      <c r="G53" s="37" t="n"/>
      <c r="H53" s="49" t="n"/>
      <c r="I53" s="49" t="n"/>
      <c r="J53" s="49" t="n"/>
    </row>
    <row r="54">
      <c r="A54" s="30" t="n">
        <v>50</v>
      </c>
      <c r="B54" s="51" t="n"/>
      <c r="C54" s="49" t="n"/>
      <c r="D54" s="49" t="n"/>
      <c r="E54" s="49" t="n"/>
      <c r="F54" s="313" t="n"/>
      <c r="G54" s="37" t="n"/>
      <c r="H54" s="49" t="n"/>
      <c r="I54" s="49" t="n"/>
      <c r="J54" s="49" t="n"/>
    </row>
    <row r="55">
      <c r="A55" s="30" t="n">
        <v>51</v>
      </c>
      <c r="B55" s="51" t="n"/>
      <c r="C55" s="49" t="n"/>
      <c r="D55" s="49" t="n"/>
      <c r="E55" s="49" t="n"/>
      <c r="F55" s="313" t="n"/>
      <c r="G55" s="37" t="n"/>
      <c r="H55" s="49" t="n"/>
      <c r="I55" s="49" t="n"/>
      <c r="J55" s="49" t="n"/>
    </row>
    <row r="56">
      <c r="A56" s="30" t="n">
        <v>52</v>
      </c>
      <c r="B56" s="51" t="n"/>
      <c r="C56" s="49" t="n"/>
      <c r="D56" s="49" t="n"/>
      <c r="E56" s="49" t="n"/>
      <c r="F56" s="313" t="n"/>
      <c r="G56" s="37" t="n"/>
      <c r="H56" s="49" t="n"/>
      <c r="I56" s="49" t="n"/>
      <c r="J56" s="49" t="n"/>
    </row>
    <row r="57">
      <c r="A57" s="30" t="n">
        <v>53</v>
      </c>
      <c r="B57" s="51" t="n"/>
      <c r="C57" s="49" t="n"/>
      <c r="D57" s="49" t="n"/>
      <c r="E57" s="49" t="n"/>
      <c r="F57" s="313" t="n"/>
      <c r="G57" s="37" t="n"/>
      <c r="H57" s="49" t="n"/>
      <c r="I57" s="49" t="n"/>
      <c r="J57" s="49" t="n"/>
    </row>
    <row r="58">
      <c r="A58" s="30" t="n">
        <v>54</v>
      </c>
      <c r="B58" s="51" t="n"/>
      <c r="C58" s="49" t="n"/>
      <c r="D58" s="49" t="n"/>
      <c r="E58" s="49" t="n"/>
      <c r="F58" s="313" t="n"/>
      <c r="G58" s="37" t="n"/>
      <c r="H58" s="49" t="n"/>
      <c r="I58" s="49" t="n"/>
      <c r="J58" s="49" t="n"/>
    </row>
    <row r="59">
      <c r="A59" s="30" t="n">
        <v>55</v>
      </c>
      <c r="B59" s="51" t="n"/>
      <c r="C59" s="49" t="n"/>
      <c r="D59" s="49" t="n"/>
      <c r="E59" s="49" t="n"/>
      <c r="F59" s="313" t="n"/>
      <c r="G59" s="37" t="n"/>
      <c r="H59" s="49" t="n"/>
      <c r="I59" s="49" t="n"/>
      <c r="J59" s="49" t="n"/>
    </row>
    <row r="60">
      <c r="A60" s="30" t="n">
        <v>56</v>
      </c>
      <c r="B60" s="51" t="n"/>
      <c r="C60" s="49" t="n"/>
      <c r="D60" s="49" t="n"/>
      <c r="E60" s="49" t="n"/>
      <c r="F60" s="313" t="n"/>
      <c r="G60" s="37" t="n"/>
      <c r="H60" s="49" t="n"/>
      <c r="I60" s="49" t="n"/>
      <c r="J60" s="49" t="n"/>
    </row>
    <row r="61">
      <c r="A61" s="30" t="n">
        <v>57</v>
      </c>
      <c r="B61" s="51" t="n"/>
      <c r="C61" s="49" t="n"/>
      <c r="D61" s="49" t="n"/>
      <c r="E61" s="49" t="n"/>
      <c r="F61" s="313" t="n"/>
      <c r="G61" s="37" t="n"/>
      <c r="H61" s="49" t="n"/>
      <c r="I61" s="49" t="n"/>
      <c r="J61" s="49" t="n"/>
    </row>
    <row r="62">
      <c r="A62" s="30" t="n">
        <v>58</v>
      </c>
      <c r="B62" s="51" t="n"/>
      <c r="C62" s="49" t="n"/>
      <c r="D62" s="49" t="n"/>
      <c r="E62" s="49" t="n"/>
      <c r="F62" s="313" t="n"/>
      <c r="G62" s="37" t="n"/>
      <c r="H62" s="49" t="n"/>
      <c r="I62" s="49" t="n"/>
      <c r="J62" s="49" t="n"/>
    </row>
    <row r="63">
      <c r="A63" s="30" t="n">
        <v>59</v>
      </c>
      <c r="B63" s="51" t="n"/>
      <c r="C63" s="49" t="n"/>
      <c r="D63" s="49" t="n"/>
      <c r="E63" s="49" t="n"/>
      <c r="F63" s="313" t="n"/>
      <c r="G63" s="37" t="n"/>
      <c r="H63" s="49" t="n"/>
      <c r="I63" s="49" t="n"/>
      <c r="J63" s="49" t="n"/>
    </row>
    <row r="64">
      <c r="A64" s="30" t="n">
        <v>60</v>
      </c>
      <c r="B64" s="51" t="n"/>
      <c r="C64" s="49" t="n"/>
      <c r="D64" s="49" t="n"/>
      <c r="E64" s="49" t="n"/>
      <c r="F64" s="313" t="n"/>
      <c r="G64" s="37" t="n"/>
      <c r="H64" s="49" t="n"/>
      <c r="I64" s="49" t="n"/>
      <c r="J64" s="49" t="n"/>
    </row>
    <row r="65">
      <c r="A65" s="30" t="n">
        <v>61</v>
      </c>
      <c r="B65" s="51" t="n"/>
      <c r="C65" s="49" t="n"/>
      <c r="D65" s="49" t="n"/>
      <c r="E65" s="49" t="n"/>
      <c r="F65" s="313" t="n"/>
      <c r="G65" s="37" t="n"/>
      <c r="H65" s="49" t="n"/>
      <c r="I65" s="49" t="n"/>
      <c r="J65" s="49" t="n"/>
    </row>
    <row r="66">
      <c r="A66" s="30" t="n">
        <v>62</v>
      </c>
      <c r="B66" s="51" t="n"/>
      <c r="C66" s="49" t="n"/>
      <c r="D66" s="49" t="n"/>
      <c r="E66" s="49" t="n"/>
      <c r="F66" s="313" t="n"/>
      <c r="G66" s="37" t="n"/>
      <c r="H66" s="49" t="n"/>
      <c r="I66" s="49" t="n"/>
      <c r="J66" s="49" t="n"/>
    </row>
    <row r="67">
      <c r="A67" s="30" t="n">
        <v>63</v>
      </c>
      <c r="B67" s="51" t="n"/>
      <c r="C67" s="49" t="n"/>
      <c r="D67" s="49" t="n"/>
      <c r="E67" s="49" t="n"/>
      <c r="F67" s="313" t="n"/>
      <c r="G67" s="37" t="n"/>
      <c r="H67" s="49" t="n"/>
      <c r="I67" s="49" t="n"/>
      <c r="J67" s="49" t="n"/>
    </row>
    <row r="68">
      <c r="A68" s="30" t="n">
        <v>64</v>
      </c>
      <c r="B68" s="51" t="n"/>
      <c r="C68" s="49" t="n"/>
      <c r="D68" s="49" t="n"/>
      <c r="E68" s="49" t="n"/>
      <c r="F68" s="313" t="n"/>
      <c r="G68" s="37" t="n"/>
      <c r="H68" s="49" t="n"/>
      <c r="I68" s="49" t="n"/>
      <c r="J68" s="49" t="n"/>
    </row>
    <row r="69">
      <c r="A69" s="30" t="n">
        <v>65</v>
      </c>
      <c r="B69" s="51" t="n"/>
      <c r="C69" s="49" t="n"/>
      <c r="D69" s="49" t="n"/>
      <c r="E69" s="49" t="n"/>
      <c r="F69" s="313" t="n"/>
      <c r="G69" s="37" t="n"/>
      <c r="H69" s="49" t="n"/>
      <c r="I69" s="49" t="n"/>
      <c r="J69" s="49" t="n"/>
    </row>
    <row r="70">
      <c r="A70" s="30" t="n">
        <v>66</v>
      </c>
      <c r="B70" s="51" t="n"/>
      <c r="C70" s="49" t="n"/>
      <c r="D70" s="49" t="n"/>
      <c r="E70" s="49" t="n"/>
      <c r="F70" s="313" t="n"/>
      <c r="G70" s="37" t="n"/>
      <c r="H70" s="49" t="n"/>
      <c r="I70" s="49" t="n"/>
      <c r="J70" s="49" t="n"/>
    </row>
    <row r="71">
      <c r="A71" s="30" t="n">
        <v>67</v>
      </c>
      <c r="B71" s="51" t="n"/>
      <c r="C71" s="49" t="n"/>
      <c r="D71" s="49" t="n"/>
      <c r="E71" s="49" t="n"/>
      <c r="F71" s="313" t="n"/>
      <c r="G71" s="37" t="n"/>
      <c r="H71" s="49" t="n"/>
      <c r="I71" s="49" t="n"/>
      <c r="J71" s="49" t="n"/>
    </row>
    <row r="72">
      <c r="A72" s="30" t="n">
        <v>68</v>
      </c>
      <c r="B72" s="51" t="n"/>
      <c r="C72" s="49" t="n"/>
      <c r="D72" s="49" t="n"/>
      <c r="E72" s="49" t="n"/>
      <c r="F72" s="313" t="n"/>
      <c r="G72" s="37" t="n"/>
      <c r="H72" s="49" t="n"/>
      <c r="I72" s="49" t="n"/>
      <c r="J72" s="49" t="n"/>
    </row>
    <row r="73">
      <c r="A73" s="30" t="n">
        <v>69</v>
      </c>
      <c r="B73" s="51" t="n"/>
      <c r="C73" s="49" t="n"/>
      <c r="D73" s="49" t="n"/>
      <c r="E73" s="49" t="n"/>
      <c r="F73" s="313" t="n"/>
      <c r="G73" s="37" t="n"/>
      <c r="H73" s="49" t="n"/>
      <c r="I73" s="49" t="n"/>
      <c r="J73" s="49" t="n"/>
    </row>
    <row r="74">
      <c r="A74" s="30" t="n">
        <v>70</v>
      </c>
      <c r="B74" s="51" t="n"/>
      <c r="C74" s="49" t="n"/>
      <c r="D74" s="49" t="n"/>
      <c r="E74" s="49" t="n"/>
      <c r="F74" s="313" t="n"/>
      <c r="G74" s="37" t="n"/>
      <c r="H74" s="49" t="n"/>
      <c r="I74" s="49" t="n"/>
      <c r="J74" s="49" t="n"/>
    </row>
    <row r="75">
      <c r="A75" s="30" t="n">
        <v>71</v>
      </c>
      <c r="B75" s="51" t="n"/>
      <c r="C75" s="49" t="n"/>
      <c r="D75" s="49" t="n"/>
      <c r="E75" s="49" t="n"/>
      <c r="F75" s="313" t="n"/>
      <c r="G75" s="37" t="n"/>
      <c r="H75" s="49" t="n"/>
      <c r="I75" s="49" t="n"/>
      <c r="J75" s="49" t="n"/>
    </row>
    <row r="76">
      <c r="A76" s="30" t="n">
        <v>72</v>
      </c>
      <c r="B76" s="51" t="n"/>
      <c r="C76" s="49" t="n"/>
      <c r="D76" s="49" t="n"/>
      <c r="E76" s="49" t="n"/>
      <c r="F76" s="313" t="n"/>
      <c r="G76" s="37" t="n"/>
      <c r="H76" s="49" t="n"/>
      <c r="I76" s="49" t="n"/>
      <c r="J76" s="49" t="n"/>
    </row>
    <row r="77">
      <c r="A77" s="30" t="n">
        <v>73</v>
      </c>
      <c r="B77" s="51" t="n"/>
      <c r="C77" s="49" t="n"/>
      <c r="D77" s="49" t="n"/>
      <c r="E77" s="49" t="n"/>
      <c r="F77" s="313" t="n"/>
      <c r="G77" s="37" t="n"/>
      <c r="H77" s="49" t="n"/>
      <c r="I77" s="49" t="n"/>
      <c r="J77" s="49" t="n"/>
    </row>
    <row r="78">
      <c r="A78" s="30" t="n">
        <v>74</v>
      </c>
      <c r="B78" s="51" t="n"/>
      <c r="C78" s="49" t="n"/>
      <c r="D78" s="49" t="n"/>
      <c r="E78" s="49" t="n"/>
      <c r="F78" s="313" t="n"/>
      <c r="G78" s="37" t="n"/>
      <c r="H78" s="49" t="n"/>
      <c r="I78" s="49" t="n"/>
      <c r="J78" s="49" t="n"/>
    </row>
    <row r="79">
      <c r="A79" s="30" t="n">
        <v>75</v>
      </c>
      <c r="B79" s="51" t="n"/>
      <c r="C79" s="49" t="n"/>
      <c r="D79" s="49" t="n"/>
      <c r="E79" s="49" t="n"/>
      <c r="F79" s="313" t="n"/>
      <c r="G79" s="37" t="n"/>
      <c r="H79" s="49" t="n"/>
      <c r="I79" s="49" t="n"/>
      <c r="J79" s="49" t="n"/>
    </row>
    <row r="80">
      <c r="A80" s="30" t="n">
        <v>76</v>
      </c>
      <c r="B80" s="51" t="n"/>
      <c r="C80" s="49" t="n"/>
      <c r="D80" s="49" t="n"/>
      <c r="E80" s="49" t="n"/>
      <c r="F80" s="313" t="n"/>
      <c r="G80" s="37" t="n"/>
      <c r="H80" s="49" t="n"/>
      <c r="I80" s="49" t="n"/>
      <c r="J80" s="49" t="n"/>
    </row>
    <row r="81">
      <c r="A81" s="30" t="n">
        <v>77</v>
      </c>
      <c r="B81" s="51" t="n"/>
      <c r="C81" s="49" t="n"/>
      <c r="D81" s="49" t="n"/>
      <c r="E81" s="49" t="n"/>
      <c r="F81" s="313" t="n"/>
      <c r="G81" s="37" t="n"/>
      <c r="H81" s="49" t="n"/>
      <c r="I81" s="49" t="n"/>
      <c r="J81" s="49" t="n"/>
    </row>
    <row r="82">
      <c r="A82" s="30" t="n">
        <v>78</v>
      </c>
      <c r="B82" s="51" t="n"/>
      <c r="C82" s="49" t="n"/>
      <c r="D82" s="49" t="n"/>
      <c r="E82" s="49" t="n"/>
      <c r="F82" s="313" t="n"/>
      <c r="G82" s="37" t="n"/>
      <c r="H82" s="49" t="n"/>
      <c r="I82" s="49" t="n"/>
      <c r="J82" s="49" t="n"/>
    </row>
    <row r="83">
      <c r="A83" s="30" t="n">
        <v>79</v>
      </c>
      <c r="B83" s="51" t="n"/>
      <c r="C83" s="49" t="n"/>
      <c r="D83" s="49" t="n"/>
      <c r="E83" s="49" t="n"/>
      <c r="F83" s="313" t="n"/>
      <c r="G83" s="37" t="n"/>
      <c r="H83" s="49" t="n"/>
      <c r="I83" s="49" t="n"/>
      <c r="J83" s="49" t="n"/>
    </row>
    <row r="84">
      <c r="A84" s="30" t="n">
        <v>80</v>
      </c>
      <c r="B84" s="51" t="n"/>
      <c r="C84" s="49" t="n"/>
      <c r="D84" s="49" t="n"/>
      <c r="E84" s="49" t="n"/>
      <c r="F84" s="313" t="n"/>
      <c r="G84" s="37" t="n"/>
      <c r="H84" s="49" t="n"/>
      <c r="I84" s="49" t="n"/>
      <c r="J84" s="49" t="n"/>
    </row>
    <row r="85">
      <c r="A85" s="30" t="n">
        <v>81</v>
      </c>
      <c r="B85" s="51" t="n"/>
      <c r="C85" s="49" t="n"/>
      <c r="D85" s="49" t="n"/>
      <c r="E85" s="49" t="n"/>
      <c r="F85" s="313" t="n"/>
      <c r="G85" s="37" t="n"/>
      <c r="H85" s="49" t="n"/>
      <c r="I85" s="49" t="n"/>
      <c r="J85" s="49" t="n"/>
    </row>
    <row r="86">
      <c r="A86" s="30" t="n">
        <v>82</v>
      </c>
      <c r="B86" s="51" t="n"/>
      <c r="C86" s="49" t="n"/>
      <c r="D86" s="49" t="n"/>
      <c r="E86" s="49" t="n"/>
      <c r="F86" s="313" t="n"/>
      <c r="G86" s="37" t="n"/>
      <c r="H86" s="49" t="n"/>
      <c r="I86" s="49" t="n"/>
      <c r="J86" s="49" t="n"/>
    </row>
    <row r="87">
      <c r="A87" s="30" t="n">
        <v>83</v>
      </c>
      <c r="B87" s="51" t="n"/>
      <c r="C87" s="49" t="n"/>
      <c r="D87" s="49" t="n"/>
      <c r="E87" s="49" t="n"/>
      <c r="F87" s="313" t="n"/>
      <c r="G87" s="37" t="n"/>
      <c r="H87" s="49" t="n"/>
      <c r="I87" s="49" t="n"/>
      <c r="J87" s="49" t="n"/>
    </row>
    <row r="88">
      <c r="A88" s="30" t="n">
        <v>84</v>
      </c>
      <c r="B88" s="51" t="n"/>
      <c r="C88" s="49" t="n"/>
      <c r="D88" s="49" t="n"/>
      <c r="E88" s="49" t="n"/>
      <c r="F88" s="313" t="n"/>
      <c r="G88" s="37" t="n"/>
      <c r="H88" s="49" t="n"/>
      <c r="I88" s="49" t="n"/>
      <c r="J88" s="49" t="n"/>
    </row>
    <row r="89">
      <c r="A89" s="30" t="n">
        <v>85</v>
      </c>
      <c r="B89" s="51" t="n"/>
      <c r="C89" s="49" t="n"/>
      <c r="D89" s="49" t="n"/>
      <c r="E89" s="49" t="n"/>
      <c r="F89" s="313" t="n"/>
      <c r="G89" s="37" t="n"/>
      <c r="H89" s="49" t="n"/>
      <c r="I89" s="49" t="n"/>
      <c r="J89" s="49" t="n"/>
    </row>
    <row r="90">
      <c r="A90" s="30" t="n">
        <v>86</v>
      </c>
      <c r="B90" s="51" t="n"/>
      <c r="C90" s="49" t="n"/>
      <c r="D90" s="49" t="n"/>
      <c r="E90" s="49" t="n"/>
      <c r="F90" s="313" t="n"/>
      <c r="G90" s="37" t="n"/>
      <c r="H90" s="49" t="n"/>
      <c r="I90" s="49" t="n"/>
      <c r="J90" s="49" t="n"/>
    </row>
    <row r="91">
      <c r="A91" s="30" t="n">
        <v>87</v>
      </c>
      <c r="B91" s="51" t="n"/>
      <c r="C91" s="49" t="n"/>
      <c r="D91" s="49" t="n"/>
      <c r="E91" s="49" t="n"/>
      <c r="F91" s="313" t="n"/>
      <c r="G91" s="37" t="n"/>
      <c r="H91" s="49" t="n"/>
      <c r="I91" s="49" t="n"/>
      <c r="J91" s="49" t="n"/>
    </row>
    <row r="92">
      <c r="A92" s="30" t="n">
        <v>88</v>
      </c>
      <c r="B92" s="51" t="n"/>
      <c r="C92" s="49" t="n"/>
      <c r="D92" s="49" t="n"/>
      <c r="E92" s="49" t="n"/>
      <c r="F92" s="313" t="n"/>
      <c r="G92" s="37" t="n"/>
      <c r="H92" s="49" t="n"/>
      <c r="I92" s="49" t="n"/>
      <c r="J92" s="49" t="n"/>
    </row>
    <row r="93">
      <c r="A93" s="30" t="n">
        <v>89</v>
      </c>
      <c r="B93" s="51" t="n"/>
      <c r="C93" s="49" t="n"/>
      <c r="D93" s="49" t="n"/>
      <c r="E93" s="49" t="n"/>
      <c r="F93" s="313" t="n"/>
      <c r="G93" s="37" t="n"/>
      <c r="H93" s="49" t="n"/>
      <c r="I93" s="49" t="n"/>
      <c r="J93" s="49" t="n"/>
    </row>
    <row r="94">
      <c r="A94" s="30" t="n">
        <v>90</v>
      </c>
      <c r="B94" s="51" t="n"/>
      <c r="C94" s="49" t="n"/>
      <c r="D94" s="49" t="n"/>
      <c r="E94" s="49" t="n"/>
      <c r="F94" s="313" t="n"/>
      <c r="G94" s="37" t="n"/>
      <c r="H94" s="49" t="n"/>
      <c r="I94" s="49" t="n"/>
      <c r="J94" s="49" t="n"/>
    </row>
    <row r="95">
      <c r="A95" s="30" t="n">
        <v>91</v>
      </c>
      <c r="B95" s="51" t="n"/>
      <c r="C95" s="49" t="n"/>
      <c r="D95" s="49" t="n"/>
      <c r="E95" s="49" t="n"/>
      <c r="F95" s="313" t="n"/>
      <c r="G95" s="37" t="n"/>
      <c r="H95" s="49" t="n"/>
      <c r="I95" s="49" t="n"/>
      <c r="J95" s="49" t="n"/>
    </row>
    <row r="96">
      <c r="A96" s="30" t="n">
        <v>92</v>
      </c>
      <c r="B96" s="51" t="n"/>
      <c r="C96" s="49" t="n"/>
      <c r="D96" s="49" t="n"/>
      <c r="E96" s="49" t="n"/>
      <c r="F96" s="313" t="n"/>
      <c r="G96" s="37" t="n"/>
      <c r="H96" s="49" t="n"/>
      <c r="I96" s="49" t="n"/>
      <c r="J96" s="49" t="n"/>
    </row>
    <row r="97">
      <c r="A97" s="30" t="n">
        <v>93</v>
      </c>
      <c r="B97" s="51" t="n"/>
      <c r="C97" s="49" t="n"/>
      <c r="D97" s="49" t="n"/>
      <c r="E97" s="49" t="n"/>
      <c r="F97" s="313" t="n"/>
      <c r="G97" s="37" t="n"/>
      <c r="H97" s="49" t="n"/>
      <c r="I97" s="49" t="n"/>
      <c r="J97" s="49" t="n"/>
    </row>
    <row r="98">
      <c r="A98" s="30" t="n">
        <v>94</v>
      </c>
      <c r="B98" s="51" t="n"/>
      <c r="C98" s="49" t="n"/>
      <c r="D98" s="49" t="n"/>
      <c r="E98" s="49" t="n"/>
      <c r="F98" s="313" t="n"/>
      <c r="G98" s="37" t="n"/>
      <c r="H98" s="49" t="n"/>
      <c r="I98" s="49" t="n"/>
      <c r="J98" s="49" t="n"/>
    </row>
    <row r="99">
      <c r="A99" s="30" t="n">
        <v>95</v>
      </c>
      <c r="B99" s="51" t="n"/>
      <c r="C99" s="49" t="n"/>
      <c r="D99" s="49" t="n"/>
      <c r="E99" s="49" t="n"/>
      <c r="F99" s="313" t="n"/>
      <c r="G99" s="37" t="n"/>
      <c r="H99" s="49" t="n"/>
      <c r="I99" s="49" t="n"/>
      <c r="J99" s="49" t="n"/>
    </row>
    <row r="100">
      <c r="A100" s="30" t="n">
        <v>96</v>
      </c>
      <c r="B100" s="51" t="n"/>
      <c r="C100" s="49" t="n"/>
      <c r="D100" s="49" t="n"/>
      <c r="E100" s="49" t="n"/>
      <c r="F100" s="313" t="n"/>
      <c r="G100" s="37" t="n"/>
      <c r="H100" s="49" t="n"/>
      <c r="I100" s="49" t="n"/>
      <c r="J100" s="49" t="n"/>
    </row>
    <row r="101">
      <c r="A101" s="30" t="n">
        <v>97</v>
      </c>
      <c r="B101" s="51" t="n"/>
      <c r="C101" s="49" t="n"/>
      <c r="D101" s="49" t="n"/>
      <c r="E101" s="49" t="n"/>
      <c r="F101" s="313" t="n"/>
      <c r="G101" s="37" t="n"/>
      <c r="H101" s="49" t="n"/>
      <c r="I101" s="49" t="n"/>
      <c r="J101" s="49" t="n"/>
    </row>
    <row r="102">
      <c r="A102" s="30" t="n">
        <v>98</v>
      </c>
      <c r="B102" s="51" t="n"/>
      <c r="C102" s="49" t="n"/>
      <c r="D102" s="49" t="n"/>
      <c r="E102" s="49" t="n"/>
      <c r="F102" s="313" t="n"/>
      <c r="G102" s="37" t="n"/>
      <c r="H102" s="49" t="n"/>
      <c r="I102" s="49" t="n"/>
      <c r="J102" s="49" t="n"/>
    </row>
    <row r="103">
      <c r="A103" s="30" t="n">
        <v>99</v>
      </c>
      <c r="B103" s="51" t="n"/>
      <c r="C103" s="49" t="n"/>
      <c r="D103" s="49" t="n"/>
      <c r="E103" s="49" t="n"/>
      <c r="F103" s="313" t="n"/>
      <c r="G103" s="37" t="n"/>
      <c r="H103" s="49" t="n"/>
      <c r="I103" s="49" t="n"/>
      <c r="J103" s="49" t="n"/>
    </row>
    <row r="104">
      <c r="A104" s="30" t="n">
        <v>100</v>
      </c>
      <c r="B104" s="51" t="n"/>
      <c r="C104" s="49" t="n"/>
      <c r="D104" s="49" t="n"/>
      <c r="E104" s="49" t="n"/>
      <c r="F104" s="313" t="n"/>
      <c r="G104" s="37" t="n"/>
      <c r="H104" s="49" t="n"/>
      <c r="I104" s="49" t="n"/>
      <c r="J104" s="49" t="n"/>
    </row>
    <row r="105">
      <c r="A105" s="30" t="n">
        <v>101</v>
      </c>
      <c r="B105" s="51" t="n"/>
      <c r="C105" s="49" t="n"/>
      <c r="D105" s="49" t="n"/>
      <c r="E105" s="49" t="n"/>
      <c r="F105" s="313" t="n"/>
      <c r="G105" s="37" t="n"/>
      <c r="H105" s="49" t="n"/>
      <c r="I105" s="49" t="n"/>
      <c r="J105" s="49" t="n"/>
    </row>
    <row r="106">
      <c r="A106" s="30" t="n">
        <v>102</v>
      </c>
      <c r="B106" s="51" t="n"/>
      <c r="C106" s="49" t="n"/>
      <c r="D106" s="49" t="n"/>
      <c r="E106" s="49" t="n"/>
      <c r="F106" s="313" t="n"/>
      <c r="G106" s="37" t="n"/>
      <c r="H106" s="49" t="n"/>
      <c r="I106" s="49" t="n"/>
      <c r="J106" s="49" t="n"/>
    </row>
    <row r="107">
      <c r="A107" s="30" t="n">
        <v>103</v>
      </c>
      <c r="B107" s="51" t="n"/>
      <c r="C107" s="49" t="n"/>
      <c r="D107" s="49" t="n"/>
      <c r="E107" s="49" t="n"/>
      <c r="F107" s="313" t="n"/>
      <c r="G107" s="37" t="n"/>
      <c r="H107" s="49" t="n"/>
      <c r="I107" s="49" t="n"/>
      <c r="J107" s="49" t="n"/>
    </row>
    <row r="108">
      <c r="A108" s="30" t="n">
        <v>104</v>
      </c>
      <c r="B108" s="51" t="n"/>
      <c r="C108" s="49" t="n"/>
      <c r="D108" s="49" t="n"/>
      <c r="E108" s="49" t="n"/>
      <c r="F108" s="313" t="n"/>
      <c r="G108" s="37" t="n"/>
      <c r="H108" s="49" t="n"/>
      <c r="I108" s="49" t="n"/>
      <c r="J108" s="49" t="n"/>
    </row>
    <row r="109">
      <c r="A109" s="30" t="n">
        <v>105</v>
      </c>
      <c r="B109" s="51" t="n"/>
      <c r="C109" s="49" t="n"/>
      <c r="D109" s="49" t="n"/>
      <c r="E109" s="49" t="n"/>
      <c r="F109" s="313" t="n"/>
      <c r="G109" s="37" t="n"/>
      <c r="H109" s="49" t="n"/>
      <c r="I109" s="49" t="n"/>
      <c r="J109" s="49" t="n"/>
    </row>
    <row r="110">
      <c r="A110" s="30" t="n">
        <v>106</v>
      </c>
      <c r="B110" s="51" t="n"/>
      <c r="C110" s="49" t="n"/>
      <c r="D110" s="49" t="n"/>
      <c r="E110" s="49" t="n"/>
      <c r="F110" s="313" t="n"/>
      <c r="G110" s="37" t="n"/>
      <c r="H110" s="49" t="n"/>
      <c r="I110" s="49" t="n"/>
      <c r="J110" s="49" t="n"/>
    </row>
    <row r="111">
      <c r="A111" s="30" t="n">
        <v>107</v>
      </c>
      <c r="B111" s="51" t="n"/>
      <c r="C111" s="49" t="n"/>
      <c r="D111" s="49" t="n"/>
      <c r="E111" s="49" t="n"/>
      <c r="F111" s="313" t="n"/>
      <c r="G111" s="37" t="n"/>
      <c r="H111" s="49" t="n"/>
      <c r="I111" s="49" t="n"/>
      <c r="J111" s="49" t="n"/>
    </row>
    <row r="112">
      <c r="A112" s="30" t="n">
        <v>108</v>
      </c>
      <c r="B112" s="51" t="n"/>
      <c r="C112" s="49" t="n"/>
      <c r="D112" s="49" t="n"/>
      <c r="E112" s="49" t="n"/>
      <c r="F112" s="313" t="n"/>
      <c r="G112" s="37" t="n"/>
      <c r="H112" s="49" t="n"/>
      <c r="I112" s="49" t="n"/>
      <c r="J112" s="49" t="n"/>
    </row>
    <row r="113">
      <c r="A113" s="30" t="n">
        <v>109</v>
      </c>
      <c r="B113" s="51" t="n"/>
      <c r="C113" s="49" t="n"/>
      <c r="D113" s="49" t="n"/>
      <c r="E113" s="49" t="n"/>
      <c r="F113" s="313" t="n"/>
      <c r="G113" s="37" t="n"/>
      <c r="H113" s="49" t="n"/>
      <c r="I113" s="49" t="n"/>
      <c r="J113" s="49" t="n"/>
    </row>
    <row r="114">
      <c r="A114" s="30" t="n">
        <v>110</v>
      </c>
      <c r="B114" s="51" t="n"/>
      <c r="C114" s="49" t="n"/>
      <c r="D114" s="49" t="n"/>
      <c r="E114" s="49" t="n"/>
      <c r="F114" s="313" t="n"/>
      <c r="G114" s="37" t="n"/>
      <c r="H114" s="49" t="n"/>
      <c r="I114" s="49" t="n"/>
      <c r="J114" s="49" t="n"/>
    </row>
    <row r="115">
      <c r="A115" s="30" t="n">
        <v>111</v>
      </c>
      <c r="B115" s="51" t="n"/>
      <c r="C115" s="49" t="n"/>
      <c r="D115" s="49" t="n"/>
      <c r="E115" s="49" t="n"/>
      <c r="F115" s="313" t="n"/>
      <c r="G115" s="37" t="n"/>
      <c r="H115" s="49" t="n"/>
      <c r="I115" s="49" t="n"/>
      <c r="J115" s="49" t="n"/>
    </row>
    <row r="116">
      <c r="A116" s="30" t="n">
        <v>112</v>
      </c>
      <c r="B116" s="51" t="n"/>
      <c r="C116" s="49" t="n"/>
      <c r="D116" s="49" t="n"/>
      <c r="E116" s="49" t="n"/>
      <c r="F116" s="313" t="n"/>
      <c r="G116" s="37" t="n"/>
      <c r="H116" s="49" t="n"/>
      <c r="I116" s="49" t="n"/>
      <c r="J116" s="49" t="n"/>
    </row>
    <row r="117">
      <c r="A117" s="30" t="n">
        <v>113</v>
      </c>
      <c r="B117" s="51" t="n"/>
      <c r="C117" s="49" t="n"/>
      <c r="D117" s="49" t="n"/>
      <c r="E117" s="49" t="n"/>
      <c r="F117" s="313" t="n"/>
      <c r="G117" s="37" t="n"/>
      <c r="H117" s="49" t="n"/>
      <c r="I117" s="49" t="n"/>
      <c r="J117" s="49" t="n"/>
    </row>
    <row r="118">
      <c r="A118" s="30" t="n">
        <v>114</v>
      </c>
      <c r="B118" s="51" t="n"/>
      <c r="C118" s="49" t="n"/>
      <c r="D118" s="49" t="n"/>
      <c r="E118" s="49" t="n"/>
      <c r="F118" s="313" t="n"/>
      <c r="G118" s="37" t="n"/>
      <c r="H118" s="49" t="n"/>
      <c r="I118" s="49" t="n"/>
      <c r="J118" s="49" t="n"/>
    </row>
    <row r="119">
      <c r="A119" s="30" t="n">
        <v>115</v>
      </c>
      <c r="B119" s="51" t="n"/>
      <c r="C119" s="49" t="n"/>
      <c r="D119" s="49" t="n"/>
      <c r="E119" s="49" t="n"/>
      <c r="F119" s="313" t="n"/>
      <c r="G119" s="37" t="n"/>
      <c r="H119" s="49" t="n"/>
      <c r="I119" s="49" t="n"/>
      <c r="J119" s="49" t="n"/>
    </row>
    <row r="120">
      <c r="A120" s="30" t="n">
        <v>116</v>
      </c>
      <c r="B120" s="51" t="n"/>
      <c r="C120" s="49" t="n"/>
      <c r="D120" s="49" t="n"/>
      <c r="E120" s="49" t="n"/>
      <c r="F120" s="313" t="n"/>
      <c r="G120" s="37" t="n"/>
      <c r="H120" s="49" t="n"/>
      <c r="I120" s="49" t="n"/>
      <c r="J120" s="49" t="n"/>
    </row>
    <row r="121">
      <c r="A121" s="30" t="n">
        <v>117</v>
      </c>
      <c r="B121" s="51" t="n"/>
      <c r="C121" s="49" t="n"/>
      <c r="D121" s="49" t="n"/>
      <c r="E121" s="49" t="n"/>
      <c r="F121" s="313" t="n"/>
      <c r="G121" s="37" t="n"/>
      <c r="H121" s="49" t="n"/>
      <c r="I121" s="49" t="n"/>
      <c r="J121" s="49" t="n"/>
    </row>
    <row r="122">
      <c r="A122" s="30" t="n">
        <v>118</v>
      </c>
      <c r="B122" s="51" t="n"/>
      <c r="C122" s="49" t="n"/>
      <c r="D122" s="49" t="n"/>
      <c r="E122" s="49" t="n"/>
      <c r="F122" s="313" t="n"/>
      <c r="G122" s="37" t="n"/>
      <c r="H122" s="49" t="n"/>
      <c r="I122" s="49" t="n"/>
      <c r="J122" s="49" t="n"/>
    </row>
    <row r="123">
      <c r="A123" s="30" t="n">
        <v>119</v>
      </c>
      <c r="B123" s="51" t="n"/>
      <c r="C123" s="49" t="n"/>
      <c r="D123" s="49" t="n"/>
      <c r="E123" s="49" t="n"/>
      <c r="F123" s="313" t="n"/>
      <c r="G123" s="37" t="n"/>
      <c r="H123" s="49" t="n"/>
      <c r="I123" s="49" t="n"/>
      <c r="J123" s="49" t="n"/>
    </row>
    <row r="124">
      <c r="A124" s="30" t="n">
        <v>120</v>
      </c>
      <c r="B124" s="51" t="n"/>
      <c r="C124" s="49" t="n"/>
      <c r="D124" s="49" t="n"/>
      <c r="E124" s="49" t="n"/>
      <c r="F124" s="313" t="n"/>
      <c r="G124" s="37" t="n"/>
      <c r="H124" s="49" t="n"/>
      <c r="I124" s="49" t="n"/>
      <c r="J124" s="49" t="n"/>
    </row>
    <row r="125">
      <c r="A125" s="30" t="n">
        <v>121</v>
      </c>
      <c r="B125" s="51" t="n"/>
      <c r="C125" s="49" t="n"/>
      <c r="D125" s="49" t="n"/>
      <c r="E125" s="49" t="n"/>
      <c r="F125" s="313" t="n"/>
      <c r="G125" s="37" t="n"/>
      <c r="H125" s="49" t="n"/>
      <c r="I125" s="49" t="n"/>
      <c r="J125" s="49" t="n"/>
    </row>
    <row r="126">
      <c r="A126" s="30" t="n">
        <v>122</v>
      </c>
      <c r="B126" s="51" t="n"/>
      <c r="C126" s="49" t="n"/>
      <c r="D126" s="49" t="n"/>
      <c r="E126" s="49" t="n"/>
      <c r="F126" s="313" t="n"/>
      <c r="G126" s="37" t="n"/>
      <c r="H126" s="49" t="n"/>
      <c r="I126" s="49" t="n"/>
      <c r="J126" s="49" t="n"/>
    </row>
    <row r="127">
      <c r="A127" s="30" t="n">
        <v>123</v>
      </c>
      <c r="B127" s="51" t="n"/>
      <c r="C127" s="49" t="n"/>
      <c r="D127" s="49" t="n"/>
      <c r="E127" s="49" t="n"/>
      <c r="F127" s="313" t="n"/>
      <c r="G127" s="37" t="n"/>
      <c r="H127" s="49" t="n"/>
      <c r="I127" s="49" t="n"/>
      <c r="J127" s="49" t="n"/>
    </row>
    <row r="128">
      <c r="A128" s="30" t="n">
        <v>124</v>
      </c>
      <c r="B128" s="51" t="n"/>
      <c r="C128" s="49" t="n"/>
      <c r="D128" s="49" t="n"/>
      <c r="E128" s="49" t="n"/>
      <c r="F128" s="313" t="n"/>
      <c r="G128" s="37" t="n"/>
      <c r="H128" s="49" t="n"/>
      <c r="I128" s="49" t="n"/>
      <c r="J128" s="49" t="n"/>
    </row>
    <row r="129">
      <c r="A129" s="30" t="n">
        <v>125</v>
      </c>
      <c r="B129" s="51" t="n"/>
      <c r="C129" s="49" t="n"/>
      <c r="D129" s="49" t="n"/>
      <c r="E129" s="49" t="n"/>
      <c r="F129" s="313" t="n"/>
      <c r="G129" s="37" t="n"/>
      <c r="H129" s="49" t="n"/>
      <c r="I129" s="49" t="n"/>
      <c r="J129" s="49" t="n"/>
    </row>
    <row r="130">
      <c r="A130" s="30" t="n">
        <v>126</v>
      </c>
      <c r="B130" s="51" t="n"/>
      <c r="C130" s="49" t="n"/>
      <c r="D130" s="49" t="n"/>
      <c r="E130" s="49" t="n"/>
      <c r="F130" s="313" t="n"/>
      <c r="G130" s="37" t="n"/>
      <c r="H130" s="49" t="n"/>
      <c r="I130" s="49" t="n"/>
      <c r="J130" s="49" t="n"/>
    </row>
    <row r="131">
      <c r="A131" s="30" t="n">
        <v>127</v>
      </c>
      <c r="B131" s="51" t="n"/>
      <c r="C131" s="49" t="n"/>
      <c r="D131" s="49" t="n"/>
      <c r="E131" s="49" t="n"/>
      <c r="F131" s="313" t="n"/>
      <c r="G131" s="37" t="n"/>
      <c r="H131" s="49" t="n"/>
      <c r="I131" s="49" t="n"/>
      <c r="J131" s="49" t="n"/>
    </row>
    <row r="132">
      <c r="A132" s="30" t="n">
        <v>128</v>
      </c>
      <c r="B132" s="51" t="n"/>
      <c r="C132" s="49" t="n"/>
      <c r="D132" s="49" t="n"/>
      <c r="E132" s="49" t="n"/>
      <c r="F132" s="313" t="n"/>
      <c r="G132" s="37" t="n"/>
      <c r="H132" s="49" t="n"/>
      <c r="I132" s="49" t="n"/>
      <c r="J132" s="49" t="n"/>
    </row>
    <row r="133">
      <c r="A133" s="30" t="n">
        <v>129</v>
      </c>
      <c r="B133" s="51" t="n"/>
      <c r="C133" s="49" t="n"/>
      <c r="D133" s="49" t="n"/>
      <c r="E133" s="49" t="n"/>
      <c r="F133" s="313" t="n"/>
      <c r="G133" s="37" t="n"/>
      <c r="H133" s="49" t="n"/>
      <c r="I133" s="49" t="n"/>
      <c r="J133" s="49" t="n"/>
    </row>
    <row r="134">
      <c r="A134" s="30" t="n">
        <v>130</v>
      </c>
      <c r="B134" s="51" t="n"/>
      <c r="C134" s="49" t="n"/>
      <c r="D134" s="49" t="n"/>
      <c r="E134" s="49" t="n"/>
      <c r="F134" s="313" t="n"/>
      <c r="G134" s="37" t="n"/>
      <c r="H134" s="49" t="n"/>
      <c r="I134" s="49" t="n"/>
      <c r="J134" s="49" t="n"/>
    </row>
    <row r="135">
      <c r="A135" s="30" t="n">
        <v>131</v>
      </c>
      <c r="B135" s="51" t="n"/>
      <c r="C135" s="49" t="n"/>
      <c r="D135" s="49" t="n"/>
      <c r="E135" s="49" t="n"/>
      <c r="F135" s="313" t="n"/>
      <c r="G135" s="37" t="n"/>
      <c r="H135" s="49" t="n"/>
      <c r="I135" s="49" t="n"/>
      <c r="J135" s="49" t="n"/>
    </row>
    <row r="136">
      <c r="A136" s="30" t="n">
        <v>132</v>
      </c>
      <c r="B136" s="51" t="n"/>
      <c r="C136" s="49" t="n"/>
      <c r="D136" s="49" t="n"/>
      <c r="E136" s="49" t="n"/>
      <c r="F136" s="313" t="n"/>
      <c r="G136" s="37" t="n"/>
      <c r="H136" s="49" t="n"/>
      <c r="I136" s="49" t="n"/>
      <c r="J136" s="49" t="n"/>
    </row>
    <row r="137">
      <c r="A137" s="30" t="n">
        <v>133</v>
      </c>
      <c r="B137" s="51" t="n"/>
      <c r="C137" s="49" t="n"/>
      <c r="D137" s="49" t="n"/>
      <c r="E137" s="49" t="n"/>
      <c r="F137" s="313" t="n"/>
      <c r="G137" s="37" t="n"/>
      <c r="H137" s="49" t="n"/>
      <c r="I137" s="49" t="n"/>
      <c r="J137" s="49" t="n"/>
    </row>
    <row r="138">
      <c r="A138" s="30" t="n">
        <v>134</v>
      </c>
      <c r="B138" s="51" t="n"/>
      <c r="C138" s="49" t="n"/>
      <c r="D138" s="49" t="n"/>
      <c r="E138" s="49" t="n"/>
      <c r="F138" s="313" t="n"/>
      <c r="G138" s="37" t="n"/>
      <c r="H138" s="49" t="n"/>
      <c r="I138" s="49" t="n"/>
      <c r="J138" s="49" t="n"/>
    </row>
    <row r="139">
      <c r="A139" s="30" t="n">
        <v>135</v>
      </c>
      <c r="B139" s="51" t="n"/>
      <c r="C139" s="49" t="n"/>
      <c r="D139" s="49" t="n"/>
      <c r="E139" s="49" t="n"/>
      <c r="F139" s="313" t="n"/>
      <c r="G139" s="37" t="n"/>
      <c r="H139" s="49" t="n"/>
      <c r="I139" s="49" t="n"/>
      <c r="J139" s="49" t="n"/>
    </row>
    <row r="140">
      <c r="A140" s="30" t="n">
        <v>136</v>
      </c>
      <c r="B140" s="51" t="n"/>
      <c r="C140" s="49" t="n"/>
      <c r="D140" s="49" t="n"/>
      <c r="E140" s="49" t="n"/>
      <c r="F140" s="313" t="n"/>
      <c r="G140" s="37" t="n"/>
      <c r="H140" s="49" t="n"/>
      <c r="I140" s="49" t="n"/>
      <c r="J140" s="49" t="n"/>
    </row>
    <row r="141">
      <c r="A141" s="30" t="n">
        <v>137</v>
      </c>
      <c r="B141" s="51" t="n"/>
      <c r="C141" s="49" t="n"/>
      <c r="D141" s="49" t="n"/>
      <c r="E141" s="49" t="n"/>
      <c r="F141" s="313" t="n"/>
      <c r="G141" s="37" t="n"/>
      <c r="H141" s="49" t="n"/>
      <c r="I141" s="49" t="n"/>
      <c r="J141" s="49" t="n"/>
    </row>
    <row r="142">
      <c r="A142" s="30" t="n">
        <v>138</v>
      </c>
      <c r="B142" s="51" t="n"/>
      <c r="C142" s="49" t="n"/>
      <c r="D142" s="49" t="n"/>
      <c r="E142" s="49" t="n"/>
      <c r="F142" s="313" t="n"/>
      <c r="G142" s="37" t="n"/>
      <c r="H142" s="49" t="n"/>
      <c r="I142" s="49" t="n"/>
      <c r="J142" s="49" t="n"/>
    </row>
    <row r="143">
      <c r="A143" s="30" t="n">
        <v>139</v>
      </c>
      <c r="B143" s="51" t="n"/>
      <c r="C143" s="49" t="n"/>
      <c r="D143" s="49" t="n"/>
      <c r="E143" s="49" t="n"/>
      <c r="F143" s="313" t="n"/>
      <c r="G143" s="37" t="n"/>
      <c r="H143" s="49" t="n"/>
      <c r="I143" s="49" t="n"/>
      <c r="J143" s="49" t="n"/>
    </row>
    <row r="144">
      <c r="A144" s="30" t="n">
        <v>140</v>
      </c>
      <c r="B144" s="51" t="n"/>
      <c r="C144" s="49" t="n"/>
      <c r="D144" s="49" t="n"/>
      <c r="E144" s="49" t="n"/>
      <c r="F144" s="313" t="n"/>
      <c r="G144" s="37" t="n"/>
      <c r="H144" s="49" t="n"/>
      <c r="I144" s="49" t="n"/>
      <c r="J144" s="49" t="n"/>
    </row>
    <row r="145">
      <c r="A145" s="30" t="n">
        <v>141</v>
      </c>
      <c r="B145" s="51" t="n"/>
      <c r="C145" s="49" t="n"/>
      <c r="D145" s="49" t="n"/>
      <c r="E145" s="49" t="n"/>
      <c r="F145" s="313" t="n"/>
      <c r="G145" s="37" t="n"/>
      <c r="H145" s="49" t="n"/>
      <c r="I145" s="49" t="n"/>
      <c r="J145" s="49" t="n"/>
    </row>
    <row r="146">
      <c r="A146" s="30" t="n">
        <v>142</v>
      </c>
      <c r="B146" s="51" t="n"/>
      <c r="C146" s="49" t="n"/>
      <c r="D146" s="49" t="n"/>
      <c r="E146" s="49" t="n"/>
      <c r="F146" s="313" t="n"/>
      <c r="G146" s="37" t="n"/>
      <c r="H146" s="49" t="n"/>
      <c r="I146" s="49" t="n"/>
      <c r="J146" s="49" t="n"/>
    </row>
    <row r="147">
      <c r="A147" s="30" t="n">
        <v>143</v>
      </c>
      <c r="B147" s="51" t="n"/>
      <c r="C147" s="49" t="n"/>
      <c r="D147" s="49" t="n"/>
      <c r="E147" s="49" t="n"/>
      <c r="F147" s="313" t="n"/>
      <c r="G147" s="37" t="n"/>
      <c r="H147" s="49" t="n"/>
      <c r="I147" s="49" t="n"/>
      <c r="J147" s="49" t="n"/>
    </row>
    <row r="148">
      <c r="A148" s="30" t="n">
        <v>144</v>
      </c>
      <c r="B148" s="51" t="n"/>
      <c r="C148" s="49" t="n"/>
      <c r="D148" s="49" t="n"/>
      <c r="E148" s="49" t="n"/>
      <c r="F148" s="313" t="n"/>
      <c r="G148" s="37" t="n"/>
      <c r="H148" s="49" t="n"/>
      <c r="I148" s="49" t="n"/>
      <c r="J148" s="49" t="n"/>
    </row>
    <row r="149">
      <c r="A149" s="30" t="n">
        <v>145</v>
      </c>
      <c r="B149" s="51" t="n"/>
      <c r="C149" s="49" t="n"/>
      <c r="D149" s="49" t="n"/>
      <c r="E149" s="49" t="n"/>
      <c r="F149" s="313" t="n"/>
      <c r="G149" s="37" t="n"/>
      <c r="H149" s="49" t="n"/>
      <c r="I149" s="49" t="n"/>
      <c r="J149" s="49" t="n"/>
    </row>
    <row r="150">
      <c r="A150" s="30" t="n">
        <v>146</v>
      </c>
      <c r="B150" s="51" t="n"/>
      <c r="C150" s="49" t="n"/>
      <c r="D150" s="49" t="n"/>
      <c r="E150" s="49" t="n"/>
      <c r="F150" s="313" t="n"/>
      <c r="G150" s="37" t="n"/>
      <c r="H150" s="49" t="n"/>
      <c r="I150" s="49" t="n"/>
      <c r="J150" s="49" t="n"/>
    </row>
    <row r="151">
      <c r="A151" s="30" t="n">
        <v>147</v>
      </c>
      <c r="B151" s="51" t="n"/>
      <c r="C151" s="49" t="n"/>
      <c r="D151" s="49" t="n"/>
      <c r="E151" s="49" t="n"/>
      <c r="F151" s="313" t="n"/>
      <c r="G151" s="37" t="n"/>
      <c r="H151" s="49" t="n"/>
      <c r="I151" s="49" t="n"/>
      <c r="J151" s="49" t="n"/>
    </row>
    <row r="152">
      <c r="A152" s="30" t="n">
        <v>148</v>
      </c>
      <c r="B152" s="51" t="n"/>
      <c r="C152" s="49" t="n"/>
      <c r="D152" s="49" t="n"/>
      <c r="E152" s="49" t="n"/>
      <c r="F152" s="313" t="n"/>
      <c r="G152" s="37" t="n"/>
      <c r="H152" s="49" t="n"/>
      <c r="I152" s="49" t="n"/>
      <c r="J152" s="49" t="n"/>
    </row>
    <row r="153">
      <c r="A153" s="30" t="n">
        <v>149</v>
      </c>
      <c r="B153" s="51" t="n"/>
      <c r="C153" s="49" t="n"/>
      <c r="D153" s="49" t="n"/>
      <c r="E153" s="49" t="n"/>
      <c r="F153" s="313" t="n"/>
      <c r="G153" s="37" t="n"/>
      <c r="H153" s="49" t="n"/>
      <c r="I153" s="49" t="n"/>
      <c r="J153" s="49" t="n"/>
    </row>
    <row r="154">
      <c r="A154" s="30" t="n">
        <v>150</v>
      </c>
      <c r="B154" s="51" t="n"/>
      <c r="C154" s="49" t="n"/>
      <c r="D154" s="49" t="n"/>
      <c r="E154" s="49" t="n"/>
      <c r="F154" s="313" t="n"/>
      <c r="G154" s="37" t="n"/>
      <c r="H154" s="49" t="n"/>
      <c r="I154" s="49" t="n"/>
      <c r="J154" s="49" t="n"/>
    </row>
    <row r="155">
      <c r="A155" s="30" t="n">
        <v>151</v>
      </c>
      <c r="B155" s="51" t="n"/>
      <c r="C155" s="49" t="n"/>
      <c r="D155" s="49" t="n"/>
      <c r="E155" s="49" t="n"/>
      <c r="F155" s="313" t="n"/>
      <c r="G155" s="37" t="n"/>
      <c r="H155" s="49" t="n"/>
      <c r="I155" s="49" t="n"/>
      <c r="J155" s="49" t="n"/>
    </row>
    <row r="156">
      <c r="A156" s="30" t="n">
        <v>152</v>
      </c>
      <c r="B156" s="51" t="n"/>
      <c r="C156" s="49" t="n"/>
      <c r="D156" s="49" t="n"/>
      <c r="E156" s="49" t="n"/>
      <c r="F156" s="313" t="n"/>
      <c r="G156" s="37" t="n"/>
      <c r="H156" s="49" t="n"/>
      <c r="I156" s="49" t="n"/>
      <c r="J156" s="49" t="n"/>
    </row>
    <row r="157">
      <c r="A157" s="30" t="n">
        <v>153</v>
      </c>
      <c r="B157" s="51" t="n"/>
      <c r="C157" s="49" t="n"/>
      <c r="D157" s="49" t="n"/>
      <c r="E157" s="49" t="n"/>
      <c r="F157" s="313" t="n"/>
      <c r="G157" s="37" t="n"/>
      <c r="H157" s="49" t="n"/>
      <c r="I157" s="49" t="n"/>
      <c r="J157" s="49" t="n"/>
    </row>
    <row r="158">
      <c r="A158" s="30" t="n">
        <v>154</v>
      </c>
      <c r="B158" s="51" t="n"/>
      <c r="C158" s="49" t="n"/>
      <c r="D158" s="49" t="n"/>
      <c r="E158" s="49" t="n"/>
      <c r="F158" s="313" t="n"/>
      <c r="G158" s="37" t="n"/>
      <c r="H158" s="49" t="n"/>
      <c r="I158" s="49" t="n"/>
      <c r="J158" s="49" t="n"/>
    </row>
    <row r="159">
      <c r="A159" s="30" t="n">
        <v>155</v>
      </c>
      <c r="B159" s="51" t="n"/>
      <c r="C159" s="49" t="n"/>
      <c r="D159" s="49" t="n"/>
      <c r="E159" s="49" t="n"/>
      <c r="F159" s="313" t="n"/>
      <c r="G159" s="37" t="n"/>
      <c r="H159" s="49" t="n"/>
      <c r="I159" s="49" t="n"/>
      <c r="J159" s="49" t="n"/>
    </row>
    <row r="160">
      <c r="A160" s="30" t="n">
        <v>156</v>
      </c>
      <c r="B160" s="51" t="n"/>
      <c r="C160" s="49" t="n"/>
      <c r="D160" s="49" t="n"/>
      <c r="E160" s="49" t="n"/>
      <c r="F160" s="313" t="n"/>
      <c r="G160" s="37" t="n"/>
      <c r="H160" s="49" t="n"/>
      <c r="I160" s="49" t="n"/>
      <c r="J160" s="49" t="n"/>
    </row>
    <row r="161">
      <c r="A161" s="30" t="n">
        <v>157</v>
      </c>
      <c r="B161" s="51" t="n"/>
      <c r="C161" s="49" t="n"/>
      <c r="D161" s="49" t="n"/>
      <c r="E161" s="49" t="n"/>
      <c r="F161" s="313" t="n"/>
      <c r="G161" s="37" t="n"/>
      <c r="H161" s="49" t="n"/>
      <c r="I161" s="49" t="n"/>
      <c r="J161" s="49" t="n"/>
    </row>
    <row r="162">
      <c r="A162" s="30" t="n">
        <v>158</v>
      </c>
      <c r="B162" s="51" t="n"/>
      <c r="C162" s="49" t="n"/>
      <c r="D162" s="49" t="n"/>
      <c r="E162" s="49" t="n"/>
      <c r="F162" s="313" t="n"/>
      <c r="G162" s="37" t="n"/>
      <c r="H162" s="49" t="n"/>
      <c r="I162" s="49" t="n"/>
      <c r="J162" s="49" t="n"/>
    </row>
    <row r="163">
      <c r="A163" s="30" t="n">
        <v>159</v>
      </c>
      <c r="B163" s="51" t="n"/>
      <c r="C163" s="49" t="n"/>
      <c r="D163" s="49" t="n"/>
      <c r="E163" s="49" t="n"/>
      <c r="F163" s="313" t="n"/>
      <c r="G163" s="37" t="n"/>
      <c r="H163" s="49" t="n"/>
      <c r="I163" s="49" t="n"/>
      <c r="J163" s="49" t="n"/>
    </row>
    <row r="164">
      <c r="A164" s="30" t="n">
        <v>160</v>
      </c>
      <c r="B164" s="51" t="n"/>
      <c r="C164" s="49" t="n"/>
      <c r="D164" s="49" t="n"/>
      <c r="E164" s="49" t="n"/>
      <c r="F164" s="313" t="n"/>
      <c r="G164" s="37" t="n"/>
      <c r="H164" s="49" t="n"/>
      <c r="I164" s="49" t="n"/>
      <c r="J164" s="49" t="n"/>
    </row>
    <row r="165">
      <c r="A165" s="30" t="n">
        <v>161</v>
      </c>
      <c r="B165" s="51" t="n"/>
      <c r="C165" s="49" t="n"/>
      <c r="D165" s="49" t="n"/>
      <c r="E165" s="49" t="n"/>
      <c r="F165" s="313" t="n"/>
      <c r="G165" s="37" t="n"/>
      <c r="H165" s="49" t="n"/>
      <c r="I165" s="49" t="n"/>
      <c r="J165" s="49" t="n"/>
    </row>
    <row r="166">
      <c r="A166" s="30" t="n">
        <v>162</v>
      </c>
      <c r="B166" s="51" t="n"/>
      <c r="C166" s="49" t="n"/>
      <c r="D166" s="49" t="n"/>
      <c r="E166" s="49" t="n"/>
      <c r="F166" s="313" t="n"/>
      <c r="G166" s="37" t="n"/>
      <c r="H166" s="49" t="n"/>
      <c r="I166" s="49" t="n"/>
      <c r="J166" s="49" t="n"/>
    </row>
    <row r="167">
      <c r="A167" s="30" t="n">
        <v>163</v>
      </c>
      <c r="B167" s="51" t="n"/>
      <c r="C167" s="49" t="n"/>
      <c r="D167" s="49" t="n"/>
      <c r="E167" s="49" t="n"/>
      <c r="F167" s="313" t="n"/>
      <c r="G167" s="37" t="n"/>
      <c r="H167" s="49" t="n"/>
      <c r="I167" s="49" t="n"/>
      <c r="J167" s="49" t="n"/>
    </row>
    <row r="168">
      <c r="A168" s="30" t="n">
        <v>164</v>
      </c>
      <c r="B168" s="51" t="n"/>
      <c r="C168" s="49" t="n"/>
      <c r="D168" s="49" t="n"/>
      <c r="E168" s="49" t="n"/>
      <c r="F168" s="313" t="n"/>
      <c r="G168" s="37" t="n"/>
      <c r="H168" s="49" t="n"/>
      <c r="I168" s="49" t="n"/>
      <c r="J168" s="49" t="n"/>
    </row>
    <row r="169">
      <c r="A169" s="30" t="n">
        <v>165</v>
      </c>
      <c r="B169" s="51" t="n"/>
      <c r="C169" s="49" t="n"/>
      <c r="D169" s="49" t="n"/>
      <c r="E169" s="49" t="n"/>
      <c r="F169" s="313" t="n"/>
      <c r="G169" s="37" t="n"/>
      <c r="H169" s="49" t="n"/>
      <c r="I169" s="49" t="n"/>
      <c r="J169" s="49" t="n"/>
    </row>
    <row r="170">
      <c r="A170" s="30" t="n">
        <v>166</v>
      </c>
      <c r="B170" s="51" t="n"/>
      <c r="C170" s="49" t="n"/>
      <c r="D170" s="49" t="n"/>
      <c r="E170" s="49" t="n"/>
      <c r="F170" s="313" t="n"/>
      <c r="G170" s="37" t="n"/>
      <c r="H170" s="49" t="n"/>
      <c r="I170" s="49" t="n"/>
      <c r="J170" s="49" t="n"/>
    </row>
    <row r="171">
      <c r="A171" s="30" t="n">
        <v>167</v>
      </c>
      <c r="B171" s="51" t="n"/>
      <c r="C171" s="49" t="n"/>
      <c r="D171" s="49" t="n"/>
      <c r="E171" s="49" t="n"/>
      <c r="F171" s="313" t="n"/>
      <c r="G171" s="37" t="n"/>
      <c r="H171" s="49" t="n"/>
      <c r="I171" s="49" t="n"/>
      <c r="J171" s="49" t="n"/>
    </row>
    <row r="172">
      <c r="A172" s="30" t="n">
        <v>168</v>
      </c>
      <c r="B172" s="51" t="n"/>
      <c r="C172" s="49" t="n"/>
      <c r="D172" s="49" t="n"/>
      <c r="E172" s="49" t="n"/>
      <c r="F172" s="313" t="n"/>
      <c r="G172" s="37" t="n"/>
      <c r="H172" s="49" t="n"/>
      <c r="I172" s="49" t="n"/>
      <c r="J172" s="49" t="n"/>
    </row>
    <row r="173">
      <c r="A173" s="30" t="n">
        <v>169</v>
      </c>
      <c r="B173" s="51" t="n"/>
      <c r="C173" s="49" t="n"/>
      <c r="D173" s="49" t="n"/>
      <c r="E173" s="49" t="n"/>
      <c r="F173" s="313" t="n"/>
      <c r="G173" s="37" t="n"/>
      <c r="H173" s="49" t="n"/>
      <c r="I173" s="49" t="n"/>
      <c r="J173" s="49" t="n"/>
    </row>
    <row r="174">
      <c r="A174" s="30" t="n">
        <v>170</v>
      </c>
      <c r="B174" s="51" t="n"/>
      <c r="C174" s="49" t="n"/>
      <c r="D174" s="49" t="n"/>
      <c r="E174" s="49" t="n"/>
      <c r="F174" s="313" t="n"/>
      <c r="G174" s="37" t="n"/>
      <c r="H174" s="49" t="n"/>
      <c r="I174" s="49" t="n"/>
      <c r="J174" s="49" t="n"/>
    </row>
    <row r="175">
      <c r="A175" s="30" t="n">
        <v>171</v>
      </c>
      <c r="B175" s="51" t="n"/>
      <c r="C175" s="49" t="n"/>
      <c r="D175" s="49" t="n"/>
      <c r="E175" s="49" t="n"/>
      <c r="F175" s="313" t="n"/>
      <c r="G175" s="37" t="n"/>
      <c r="H175" s="49" t="n"/>
      <c r="I175" s="49" t="n"/>
      <c r="J175" s="49" t="n"/>
    </row>
    <row r="176">
      <c r="A176" s="30" t="n">
        <v>172</v>
      </c>
      <c r="B176" s="51" t="n"/>
      <c r="C176" s="49" t="n"/>
      <c r="D176" s="49" t="n"/>
      <c r="E176" s="49" t="n"/>
      <c r="F176" s="313" t="n"/>
      <c r="G176" s="37" t="n"/>
      <c r="H176" s="49" t="n"/>
      <c r="I176" s="49" t="n"/>
      <c r="J176" s="49" t="n"/>
    </row>
    <row r="177">
      <c r="A177" s="30" t="n">
        <v>173</v>
      </c>
      <c r="B177" s="51" t="n"/>
      <c r="C177" s="49" t="n"/>
      <c r="D177" s="49" t="n"/>
      <c r="E177" s="49" t="n"/>
      <c r="F177" s="313" t="n"/>
      <c r="G177" s="37" t="n"/>
      <c r="H177" s="49" t="n"/>
      <c r="I177" s="49" t="n"/>
      <c r="J177" s="49" t="n"/>
    </row>
    <row r="178">
      <c r="A178" s="30" t="n">
        <v>174</v>
      </c>
      <c r="B178" s="51" t="n"/>
      <c r="C178" s="49" t="n"/>
      <c r="D178" s="49" t="n"/>
      <c r="E178" s="49" t="n"/>
      <c r="F178" s="313" t="n"/>
      <c r="G178" s="37" t="n"/>
      <c r="H178" s="49" t="n"/>
      <c r="I178" s="49" t="n"/>
      <c r="J178" s="49" t="n"/>
    </row>
    <row r="179">
      <c r="A179" s="30" t="n">
        <v>175</v>
      </c>
      <c r="B179" s="51" t="n"/>
      <c r="C179" s="49" t="n"/>
      <c r="D179" s="49" t="n"/>
      <c r="E179" s="49" t="n"/>
      <c r="F179" s="313" t="n"/>
      <c r="G179" s="37" t="n"/>
      <c r="H179" s="49" t="n"/>
      <c r="I179" s="49" t="n"/>
      <c r="J179" s="49" t="n"/>
    </row>
    <row r="180">
      <c r="A180" s="30" t="n">
        <v>176</v>
      </c>
      <c r="B180" s="51" t="n"/>
      <c r="C180" s="49" t="n"/>
      <c r="D180" s="49" t="n"/>
      <c r="E180" s="49" t="n"/>
      <c r="F180" s="313" t="n"/>
      <c r="G180" s="37" t="n"/>
      <c r="H180" s="49" t="n"/>
      <c r="I180" s="49" t="n"/>
      <c r="J180" s="49" t="n"/>
    </row>
    <row r="181">
      <c r="A181" s="30" t="n">
        <v>177</v>
      </c>
      <c r="B181" s="51" t="n"/>
      <c r="C181" s="49" t="n"/>
      <c r="D181" s="49" t="n"/>
      <c r="E181" s="49" t="n"/>
      <c r="F181" s="313" t="n"/>
      <c r="G181" s="37" t="n"/>
      <c r="H181" s="49" t="n"/>
      <c r="I181" s="49" t="n"/>
      <c r="J181" s="49" t="n"/>
    </row>
    <row r="182">
      <c r="A182" s="30" t="n">
        <v>178</v>
      </c>
      <c r="B182" s="51" t="n"/>
      <c r="C182" s="49" t="n"/>
      <c r="D182" s="49" t="n"/>
      <c r="E182" s="49" t="n"/>
      <c r="F182" s="313" t="n"/>
      <c r="G182" s="37" t="n"/>
      <c r="H182" s="49" t="n"/>
      <c r="I182" s="49" t="n"/>
      <c r="J182" s="49" t="n"/>
    </row>
    <row r="183">
      <c r="A183" s="30" t="n">
        <v>179</v>
      </c>
      <c r="B183" s="51" t="n"/>
      <c r="C183" s="49" t="n"/>
      <c r="D183" s="49" t="n"/>
      <c r="E183" s="49" t="n"/>
      <c r="F183" s="313" t="n"/>
      <c r="G183" s="37" t="n"/>
      <c r="H183" s="49" t="n"/>
      <c r="I183" s="49" t="n"/>
      <c r="J183" s="49" t="n"/>
    </row>
    <row r="184">
      <c r="A184" s="30" t="n">
        <v>180</v>
      </c>
      <c r="B184" s="51" t="n"/>
      <c r="C184" s="49" t="n"/>
      <c r="D184" s="49" t="n"/>
      <c r="E184" s="49" t="n"/>
      <c r="F184" s="313" t="n"/>
      <c r="G184" s="37" t="n"/>
      <c r="H184" s="49" t="n"/>
      <c r="I184" s="49" t="n"/>
      <c r="J184" s="49" t="n"/>
    </row>
    <row r="185">
      <c r="A185" s="30" t="n">
        <v>181</v>
      </c>
      <c r="B185" s="51" t="n"/>
      <c r="C185" s="49" t="n"/>
      <c r="D185" s="49" t="n"/>
      <c r="E185" s="49" t="n"/>
      <c r="F185" s="313" t="n"/>
      <c r="G185" s="37" t="n"/>
      <c r="H185" s="49" t="n"/>
      <c r="I185" s="49" t="n"/>
      <c r="J185" s="49" t="n"/>
    </row>
    <row r="186">
      <c r="A186" s="30" t="n">
        <v>182</v>
      </c>
      <c r="B186" s="51" t="n"/>
      <c r="C186" s="49" t="n"/>
      <c r="D186" s="49" t="n"/>
      <c r="E186" s="49" t="n"/>
      <c r="F186" s="313" t="n"/>
      <c r="G186" s="37" t="n"/>
      <c r="H186" s="49" t="n"/>
      <c r="I186" s="49" t="n"/>
      <c r="J186" s="49" t="n"/>
    </row>
    <row r="187">
      <c r="A187" s="30" t="n">
        <v>183</v>
      </c>
      <c r="B187" s="51" t="n"/>
      <c r="C187" s="49" t="n"/>
      <c r="D187" s="49" t="n"/>
      <c r="E187" s="49" t="n"/>
      <c r="F187" s="313" t="n"/>
      <c r="G187" s="37" t="n"/>
      <c r="H187" s="49" t="n"/>
      <c r="I187" s="49" t="n"/>
      <c r="J187" s="49" t="n"/>
    </row>
    <row r="188">
      <c r="A188" s="30" t="n">
        <v>184</v>
      </c>
      <c r="B188" s="51" t="n"/>
      <c r="C188" s="49" t="n"/>
      <c r="D188" s="49" t="n"/>
      <c r="E188" s="49" t="n"/>
      <c r="F188" s="313" t="n"/>
      <c r="G188" s="37" t="n"/>
      <c r="H188" s="49" t="n"/>
      <c r="I188" s="49" t="n"/>
      <c r="J188" s="49" t="n"/>
    </row>
    <row r="189">
      <c r="A189" s="30" t="n">
        <v>185</v>
      </c>
      <c r="B189" s="51" t="n"/>
      <c r="C189" s="49" t="n"/>
      <c r="D189" s="49" t="n"/>
      <c r="E189" s="49" t="n"/>
      <c r="F189" s="313" t="n"/>
      <c r="G189" s="37" t="n"/>
      <c r="H189" s="49" t="n"/>
      <c r="I189" s="49" t="n"/>
      <c r="J189" s="49" t="n"/>
    </row>
    <row r="190">
      <c r="A190" s="30" t="n">
        <v>186</v>
      </c>
      <c r="B190" s="51" t="n"/>
      <c r="C190" s="49" t="n"/>
      <c r="D190" s="49" t="n"/>
      <c r="E190" s="49" t="n"/>
      <c r="F190" s="313" t="n"/>
      <c r="G190" s="37" t="n"/>
      <c r="H190" s="49" t="n"/>
      <c r="I190" s="49" t="n"/>
      <c r="J190" s="49" t="n"/>
    </row>
    <row r="191">
      <c r="A191" s="30" t="n">
        <v>187</v>
      </c>
      <c r="B191" s="51" t="n"/>
      <c r="C191" s="49" t="n"/>
      <c r="D191" s="49" t="n"/>
      <c r="E191" s="49" t="n"/>
      <c r="F191" s="313" t="n"/>
      <c r="G191" s="37" t="n"/>
      <c r="H191" s="49" t="n"/>
      <c r="I191" s="49" t="n"/>
      <c r="J191" s="49" t="n"/>
    </row>
    <row r="192">
      <c r="A192" s="30" t="n">
        <v>188</v>
      </c>
      <c r="B192" s="51" t="n"/>
      <c r="C192" s="49" t="n"/>
      <c r="D192" s="49" t="n"/>
      <c r="E192" s="49" t="n"/>
      <c r="F192" s="313" t="n"/>
      <c r="G192" s="37" t="n"/>
      <c r="H192" s="49" t="n"/>
      <c r="I192" s="49" t="n"/>
      <c r="J192" s="49" t="n"/>
    </row>
    <row r="193">
      <c r="A193" s="30" t="n">
        <v>189</v>
      </c>
      <c r="B193" s="51" t="n"/>
      <c r="C193" s="49" t="n"/>
      <c r="D193" s="49" t="n"/>
      <c r="E193" s="49" t="n"/>
      <c r="F193" s="313" t="n"/>
      <c r="G193" s="37" t="n"/>
      <c r="H193" s="49" t="n"/>
      <c r="I193" s="49" t="n"/>
      <c r="J193" s="49" t="n"/>
    </row>
    <row r="194">
      <c r="A194" s="30" t="n">
        <v>190</v>
      </c>
      <c r="B194" s="51" t="n"/>
      <c r="C194" s="49" t="n"/>
      <c r="D194" s="49" t="n"/>
      <c r="E194" s="49" t="n"/>
      <c r="F194" s="313" t="n"/>
      <c r="G194" s="37" t="n"/>
      <c r="H194" s="49" t="n"/>
      <c r="I194" s="49" t="n"/>
      <c r="J194" s="49" t="n"/>
    </row>
    <row r="195">
      <c r="A195" s="30" t="n">
        <v>191</v>
      </c>
      <c r="B195" s="51" t="n"/>
      <c r="C195" s="49" t="n"/>
      <c r="D195" s="49" t="n"/>
      <c r="E195" s="49" t="n"/>
      <c r="F195" s="313" t="n"/>
      <c r="G195" s="37" t="n"/>
      <c r="H195" s="49" t="n"/>
      <c r="I195" s="49" t="n"/>
      <c r="J195" s="49" t="n"/>
    </row>
    <row r="196">
      <c r="A196" s="30" t="n">
        <v>192</v>
      </c>
      <c r="B196" s="51" t="n"/>
      <c r="C196" s="49" t="n"/>
      <c r="D196" s="49" t="n"/>
      <c r="E196" s="49" t="n"/>
      <c r="F196" s="313" t="n"/>
      <c r="G196" s="37" t="n"/>
      <c r="H196" s="49" t="n"/>
      <c r="I196" s="49" t="n"/>
      <c r="J196" s="49" t="n"/>
    </row>
    <row r="197">
      <c r="A197" s="30" t="n">
        <v>193</v>
      </c>
      <c r="B197" s="51" t="n"/>
      <c r="C197" s="49" t="n"/>
      <c r="D197" s="49" t="n"/>
      <c r="E197" s="49" t="n"/>
      <c r="F197" s="313" t="n"/>
      <c r="G197" s="37" t="n"/>
      <c r="H197" s="49" t="n"/>
      <c r="I197" s="49" t="n"/>
      <c r="J197" s="49" t="n"/>
    </row>
    <row r="198">
      <c r="A198" s="30" t="n">
        <v>194</v>
      </c>
      <c r="B198" s="51" t="n"/>
      <c r="C198" s="49" t="n"/>
      <c r="D198" s="49" t="n"/>
      <c r="E198" s="49" t="n"/>
      <c r="F198" s="313" t="n"/>
      <c r="G198" s="37" t="n"/>
      <c r="H198" s="49" t="n"/>
      <c r="I198" s="49" t="n"/>
      <c r="J198" s="49" t="n"/>
    </row>
    <row r="199">
      <c r="A199" s="30" t="n">
        <v>195</v>
      </c>
      <c r="B199" s="51" t="n"/>
      <c r="C199" s="49" t="n"/>
      <c r="D199" s="49" t="n"/>
      <c r="E199" s="49" t="n"/>
      <c r="F199" s="313" t="n"/>
      <c r="G199" s="37" t="n"/>
      <c r="H199" s="49" t="n"/>
      <c r="I199" s="49" t="n"/>
      <c r="J199" s="49" t="n"/>
    </row>
    <row r="200">
      <c r="A200" s="30" t="n">
        <v>196</v>
      </c>
      <c r="B200" s="51" t="n"/>
      <c r="C200" s="49" t="n"/>
      <c r="D200" s="49" t="n"/>
      <c r="E200" s="49" t="n"/>
      <c r="F200" s="313" t="n"/>
      <c r="G200" s="37" t="n"/>
      <c r="H200" s="49" t="n"/>
      <c r="I200" s="49" t="n"/>
      <c r="J200" s="49" t="n"/>
    </row>
    <row r="201">
      <c r="A201" s="30" t="n">
        <v>197</v>
      </c>
      <c r="B201" s="51" t="n"/>
      <c r="C201" s="49" t="n"/>
      <c r="D201" s="49" t="n"/>
      <c r="E201" s="49" t="n"/>
      <c r="F201" s="313" t="n"/>
      <c r="G201" s="37" t="n"/>
      <c r="H201" s="49" t="n"/>
      <c r="I201" s="49" t="n"/>
      <c r="J201" s="49" t="n"/>
    </row>
    <row r="202">
      <c r="A202" s="30" t="n">
        <v>198</v>
      </c>
      <c r="B202" s="51" t="n"/>
      <c r="C202" s="49" t="n"/>
      <c r="D202" s="49" t="n"/>
      <c r="E202" s="49" t="n"/>
      <c r="F202" s="313" t="n"/>
      <c r="G202" s="37" t="n"/>
      <c r="H202" s="49" t="n"/>
      <c r="I202" s="49" t="n"/>
      <c r="J202" s="49" t="n"/>
    </row>
    <row r="203">
      <c r="A203" s="30" t="n">
        <v>199</v>
      </c>
      <c r="B203" s="51" t="n"/>
      <c r="C203" s="49" t="n"/>
      <c r="D203" s="49" t="n"/>
      <c r="E203" s="49" t="n"/>
      <c r="F203" s="313" t="n"/>
      <c r="G203" s="37" t="n"/>
      <c r="H203" s="49" t="n"/>
      <c r="I203" s="49" t="n"/>
      <c r="J203" s="49" t="n"/>
    </row>
    <row r="204">
      <c r="A204" s="30" t="n">
        <v>200</v>
      </c>
      <c r="B204" s="51" t="n"/>
      <c r="C204" s="49" t="n"/>
      <c r="D204" s="49" t="n"/>
      <c r="E204" s="49" t="n"/>
      <c r="F204" s="313" t="n"/>
      <c r="G204" s="37" t="n"/>
      <c r="H204" s="49" t="n"/>
      <c r="I204" s="49" t="n"/>
      <c r="J204" s="49" t="n"/>
    </row>
    <row r="205">
      <c r="A205" s="30" t="n">
        <v>201</v>
      </c>
      <c r="B205" s="51" t="n"/>
      <c r="C205" s="49" t="n"/>
      <c r="D205" s="49" t="n"/>
      <c r="E205" s="49" t="n"/>
      <c r="F205" s="313" t="n"/>
      <c r="G205" s="37" t="n"/>
      <c r="H205" s="49" t="n"/>
      <c r="I205" s="49" t="n"/>
      <c r="J205" s="49" t="n"/>
    </row>
    <row r="206">
      <c r="A206" s="30" t="n">
        <v>202</v>
      </c>
      <c r="B206" s="51" t="n"/>
      <c r="C206" s="49" t="n"/>
      <c r="D206" s="49" t="n"/>
      <c r="E206" s="49" t="n"/>
      <c r="F206" s="313" t="n"/>
      <c r="G206" s="37" t="n"/>
      <c r="H206" s="49" t="n"/>
      <c r="I206" s="49" t="n"/>
      <c r="J206" s="49" t="n"/>
    </row>
    <row r="207">
      <c r="A207" s="30" t="n">
        <v>203</v>
      </c>
      <c r="B207" s="51" t="n"/>
      <c r="C207" s="49" t="n"/>
      <c r="D207" s="49" t="n"/>
      <c r="E207" s="49" t="n"/>
      <c r="F207" s="313" t="n"/>
      <c r="G207" s="37" t="n"/>
      <c r="H207" s="49" t="n"/>
      <c r="I207" s="49" t="n"/>
      <c r="J207" s="49" t="n"/>
    </row>
    <row r="208">
      <c r="A208" s="30" t="n">
        <v>204</v>
      </c>
      <c r="B208" s="51" t="n"/>
      <c r="C208" s="49" t="n"/>
      <c r="D208" s="49" t="n"/>
      <c r="E208" s="49" t="n"/>
      <c r="F208" s="313" t="n"/>
      <c r="G208" s="37" t="n"/>
      <c r="H208" s="49" t="n"/>
      <c r="I208" s="49" t="n"/>
      <c r="J208" s="49" t="n"/>
    </row>
    <row r="209">
      <c r="A209" s="30" t="n">
        <v>205</v>
      </c>
      <c r="B209" s="51" t="n"/>
      <c r="C209" s="49" t="n"/>
      <c r="D209" s="49" t="n"/>
      <c r="E209" s="49" t="n"/>
      <c r="F209" s="313" t="n"/>
      <c r="G209" s="37" t="n"/>
      <c r="H209" s="49" t="n"/>
      <c r="I209" s="49" t="n"/>
      <c r="J209" s="49" t="n"/>
    </row>
    <row r="210">
      <c r="A210" s="30" t="n">
        <v>206</v>
      </c>
      <c r="B210" s="51" t="n"/>
      <c r="C210" s="49" t="n"/>
      <c r="D210" s="49" t="n"/>
      <c r="E210" s="49" t="n"/>
      <c r="F210" s="313" t="n"/>
      <c r="G210" s="37" t="n"/>
      <c r="H210" s="49" t="n"/>
      <c r="I210" s="49" t="n"/>
      <c r="J210" s="49" t="n"/>
    </row>
    <row r="211">
      <c r="A211" s="30" t="n">
        <v>207</v>
      </c>
      <c r="B211" s="51" t="n"/>
      <c r="C211" s="49" t="n"/>
      <c r="D211" s="49" t="n"/>
      <c r="E211" s="49" t="n"/>
      <c r="F211" s="313" t="n"/>
      <c r="G211" s="37" t="n"/>
      <c r="H211" s="49" t="n"/>
      <c r="I211" s="49" t="n"/>
      <c r="J211" s="49" t="n"/>
    </row>
    <row r="212">
      <c r="A212" s="30" t="n">
        <v>208</v>
      </c>
      <c r="B212" s="51" t="n"/>
      <c r="C212" s="49" t="n"/>
      <c r="D212" s="49" t="n"/>
      <c r="E212" s="49" t="n"/>
      <c r="F212" s="313" t="n"/>
      <c r="G212" s="37" t="n"/>
      <c r="H212" s="49" t="n"/>
      <c r="I212" s="49" t="n"/>
      <c r="J212" s="49" t="n"/>
    </row>
    <row r="213">
      <c r="A213" s="30" t="n">
        <v>209</v>
      </c>
      <c r="B213" s="51" t="n"/>
      <c r="C213" s="49" t="n"/>
      <c r="D213" s="49" t="n"/>
      <c r="E213" s="49" t="n"/>
      <c r="F213" s="313" t="n"/>
      <c r="G213" s="37" t="n"/>
      <c r="H213" s="49" t="n"/>
      <c r="I213" s="49" t="n"/>
      <c r="J213" s="49" t="n"/>
    </row>
    <row r="214">
      <c r="A214" s="30" t="n">
        <v>210</v>
      </c>
      <c r="B214" s="51" t="n"/>
      <c r="C214" s="49" t="n"/>
      <c r="D214" s="49" t="n"/>
      <c r="E214" s="49" t="n"/>
      <c r="F214" s="313" t="n"/>
      <c r="G214" s="37" t="n"/>
      <c r="H214" s="49" t="n"/>
      <c r="I214" s="49" t="n"/>
      <c r="J214" s="49" t="n"/>
    </row>
    <row r="215">
      <c r="A215" s="30" t="n">
        <v>211</v>
      </c>
      <c r="B215" s="51" t="n"/>
      <c r="C215" s="49" t="n"/>
      <c r="D215" s="49" t="n"/>
      <c r="E215" s="49" t="n"/>
      <c r="F215" s="313" t="n"/>
      <c r="G215" s="37" t="n"/>
      <c r="H215" s="49" t="n"/>
      <c r="I215" s="49" t="n"/>
      <c r="J215" s="49" t="n"/>
    </row>
    <row r="216">
      <c r="A216" s="30" t="n">
        <v>212</v>
      </c>
      <c r="B216" s="51" t="n"/>
      <c r="C216" s="49" t="n"/>
      <c r="D216" s="49" t="n"/>
      <c r="E216" s="49" t="n"/>
      <c r="F216" s="313" t="n"/>
      <c r="G216" s="37" t="n"/>
      <c r="H216" s="49" t="n"/>
      <c r="I216" s="49" t="n"/>
      <c r="J216" s="49" t="n"/>
    </row>
    <row r="217">
      <c r="A217" s="30" t="n">
        <v>213</v>
      </c>
      <c r="B217" s="51" t="n"/>
      <c r="C217" s="49" t="n"/>
      <c r="D217" s="49" t="n"/>
      <c r="E217" s="49" t="n"/>
      <c r="F217" s="313" t="n"/>
      <c r="G217" s="37" t="n"/>
      <c r="H217" s="49" t="n"/>
      <c r="I217" s="49" t="n"/>
      <c r="J217" s="49" t="n"/>
    </row>
    <row r="218">
      <c r="A218" s="30" t="n">
        <v>214</v>
      </c>
      <c r="B218" s="51" t="n"/>
      <c r="C218" s="49" t="n"/>
      <c r="D218" s="49" t="n"/>
      <c r="E218" s="49" t="n"/>
      <c r="F218" s="313" t="n"/>
      <c r="G218" s="37" t="n"/>
      <c r="H218" s="49" t="n"/>
      <c r="I218" s="49" t="n"/>
      <c r="J218" s="49" t="n"/>
    </row>
    <row r="219">
      <c r="A219" s="30" t="n">
        <v>215</v>
      </c>
      <c r="B219" s="51" t="n"/>
      <c r="C219" s="49" t="n"/>
      <c r="D219" s="49" t="n"/>
      <c r="E219" s="49" t="n"/>
      <c r="F219" s="313" t="n"/>
      <c r="G219" s="37" t="n"/>
      <c r="H219" s="49" t="n"/>
      <c r="I219" s="49" t="n"/>
      <c r="J219" s="49" t="n"/>
    </row>
    <row r="220">
      <c r="A220" s="30" t="n">
        <v>216</v>
      </c>
      <c r="B220" s="51" t="n"/>
      <c r="C220" s="49" t="n"/>
      <c r="D220" s="49" t="n"/>
      <c r="E220" s="49" t="n"/>
      <c r="F220" s="313" t="n"/>
      <c r="G220" s="37" t="n"/>
      <c r="H220" s="49" t="n"/>
      <c r="I220" s="49" t="n"/>
      <c r="J220" s="49" t="n"/>
    </row>
    <row r="221">
      <c r="A221" s="30" t="n">
        <v>217</v>
      </c>
      <c r="B221" s="51" t="n"/>
      <c r="C221" s="49" t="n"/>
      <c r="D221" s="49" t="n"/>
      <c r="E221" s="49" t="n"/>
      <c r="F221" s="313" t="n"/>
      <c r="G221" s="37" t="n"/>
      <c r="H221" s="49" t="n"/>
      <c r="I221" s="49" t="n"/>
      <c r="J221" s="49" t="n"/>
    </row>
    <row r="222">
      <c r="A222" s="30" t="n">
        <v>218</v>
      </c>
      <c r="B222" s="51" t="n"/>
      <c r="C222" s="49" t="n"/>
      <c r="D222" s="49" t="n"/>
      <c r="E222" s="49" t="n"/>
      <c r="F222" s="313" t="n"/>
      <c r="G222" s="37" t="n"/>
      <c r="H222" s="49" t="n"/>
      <c r="I222" s="49" t="n"/>
      <c r="J222" s="49" t="n"/>
    </row>
    <row r="223">
      <c r="A223" s="30" t="n">
        <v>219</v>
      </c>
      <c r="B223" s="51" t="n"/>
      <c r="C223" s="49" t="n"/>
      <c r="D223" s="49" t="n"/>
      <c r="E223" s="49" t="n"/>
      <c r="F223" s="313" t="n"/>
      <c r="G223" s="37" t="n"/>
      <c r="H223" s="49" t="n"/>
      <c r="I223" s="49" t="n"/>
      <c r="J223" s="49" t="n"/>
    </row>
    <row r="224">
      <c r="A224" s="30" t="n">
        <v>220</v>
      </c>
      <c r="B224" s="51" t="n"/>
      <c r="C224" s="49" t="n"/>
      <c r="D224" s="49" t="n"/>
      <c r="E224" s="49" t="n"/>
      <c r="F224" s="313" t="n"/>
      <c r="G224" s="37" t="n"/>
      <c r="H224" s="49" t="n"/>
      <c r="I224" s="49" t="n"/>
      <c r="J224" s="49" t="n"/>
    </row>
    <row r="225">
      <c r="A225" s="30" t="n">
        <v>221</v>
      </c>
      <c r="B225" s="51" t="n"/>
      <c r="C225" s="49" t="n"/>
      <c r="D225" s="49" t="n"/>
      <c r="E225" s="49" t="n"/>
      <c r="F225" s="313" t="n"/>
      <c r="G225" s="37" t="n"/>
      <c r="H225" s="49" t="n"/>
      <c r="I225" s="49" t="n"/>
      <c r="J225" s="49" t="n"/>
    </row>
    <row r="226">
      <c r="A226" s="30" t="n">
        <v>222</v>
      </c>
      <c r="B226" s="51" t="n"/>
      <c r="C226" s="49" t="n"/>
      <c r="D226" s="49" t="n"/>
      <c r="E226" s="49" t="n"/>
      <c r="F226" s="313" t="n"/>
      <c r="G226" s="37" t="n"/>
      <c r="H226" s="49" t="n"/>
      <c r="I226" s="49" t="n"/>
      <c r="J226" s="49" t="n"/>
    </row>
    <row r="227">
      <c r="A227" s="30" t="n">
        <v>223</v>
      </c>
      <c r="B227" s="51" t="n"/>
      <c r="C227" s="49" t="n"/>
      <c r="D227" s="49" t="n"/>
      <c r="E227" s="49" t="n"/>
      <c r="F227" s="313" t="n"/>
      <c r="G227" s="37" t="n"/>
      <c r="H227" s="49" t="n"/>
      <c r="I227" s="49" t="n"/>
      <c r="J227" s="49" t="n"/>
    </row>
    <row r="228">
      <c r="A228" s="30" t="n">
        <v>224</v>
      </c>
      <c r="B228" s="51" t="n"/>
      <c r="C228" s="49" t="n"/>
      <c r="D228" s="49" t="n"/>
      <c r="E228" s="49" t="n"/>
      <c r="F228" s="313" t="n"/>
      <c r="G228" s="37" t="n"/>
      <c r="H228" s="49" t="n"/>
      <c r="I228" s="49" t="n"/>
      <c r="J228" s="49" t="n"/>
    </row>
    <row r="229">
      <c r="A229" s="30" t="n">
        <v>225</v>
      </c>
      <c r="B229" s="51" t="n"/>
      <c r="C229" s="49" t="n"/>
      <c r="D229" s="49" t="n"/>
      <c r="E229" s="49" t="n"/>
      <c r="F229" s="313" t="n"/>
      <c r="G229" s="37" t="n"/>
      <c r="H229" s="49" t="n"/>
      <c r="I229" s="49" t="n"/>
      <c r="J229" s="49" t="n"/>
    </row>
    <row r="230">
      <c r="A230" s="30" t="n">
        <v>226</v>
      </c>
      <c r="B230" s="51" t="n"/>
      <c r="C230" s="49" t="n"/>
      <c r="D230" s="49" t="n"/>
      <c r="E230" s="49" t="n"/>
      <c r="F230" s="313" t="n"/>
      <c r="G230" s="37" t="n"/>
      <c r="H230" s="49" t="n"/>
      <c r="I230" s="49" t="n"/>
      <c r="J230" s="49" t="n"/>
    </row>
    <row r="231">
      <c r="A231" s="30" t="n">
        <v>227</v>
      </c>
      <c r="B231" s="51" t="n"/>
      <c r="C231" s="49" t="n"/>
      <c r="D231" s="49" t="n"/>
      <c r="E231" s="49" t="n"/>
      <c r="F231" s="313" t="n"/>
      <c r="G231" s="37" t="n"/>
      <c r="H231" s="49" t="n"/>
      <c r="I231" s="49" t="n"/>
      <c r="J231" s="49" t="n"/>
    </row>
    <row r="232">
      <c r="A232" s="30" t="n">
        <v>228</v>
      </c>
      <c r="B232" s="51" t="n"/>
      <c r="C232" s="49" t="n"/>
      <c r="D232" s="49" t="n"/>
      <c r="E232" s="49" t="n"/>
      <c r="F232" s="313" t="n"/>
      <c r="G232" s="37" t="n"/>
      <c r="H232" s="49" t="n"/>
      <c r="I232" s="49" t="n"/>
      <c r="J232" s="49" t="n"/>
    </row>
    <row r="233">
      <c r="A233" s="30" t="n">
        <v>229</v>
      </c>
      <c r="B233" s="51" t="n"/>
      <c r="C233" s="49" t="n"/>
      <c r="D233" s="49" t="n"/>
      <c r="E233" s="49" t="n"/>
      <c r="F233" s="313" t="n"/>
      <c r="G233" s="37" t="n"/>
      <c r="H233" s="49" t="n"/>
      <c r="I233" s="49" t="n"/>
      <c r="J233" s="49" t="n"/>
    </row>
    <row r="234">
      <c r="A234" s="30" t="n">
        <v>230</v>
      </c>
      <c r="B234" s="51" t="n"/>
      <c r="C234" s="49" t="n"/>
      <c r="D234" s="49" t="n"/>
      <c r="E234" s="49" t="n"/>
      <c r="F234" s="313" t="n"/>
      <c r="G234" s="37" t="n"/>
      <c r="H234" s="49" t="n"/>
      <c r="I234" s="49" t="n"/>
      <c r="J234" s="49" t="n"/>
    </row>
    <row r="235">
      <c r="A235" s="30" t="n">
        <v>231</v>
      </c>
      <c r="B235" s="51" t="n"/>
      <c r="C235" s="49" t="n"/>
      <c r="D235" s="49" t="n"/>
      <c r="E235" s="49" t="n"/>
      <c r="F235" s="313" t="n"/>
      <c r="G235" s="37" t="n"/>
      <c r="H235" s="49" t="n"/>
      <c r="I235" s="49" t="n"/>
      <c r="J235" s="49" t="n"/>
    </row>
    <row r="236">
      <c r="A236" s="30" t="n">
        <v>232</v>
      </c>
      <c r="B236" s="51" t="n"/>
      <c r="C236" s="49" t="n"/>
      <c r="D236" s="49" t="n"/>
      <c r="E236" s="49" t="n"/>
      <c r="F236" s="313" t="n"/>
      <c r="G236" s="37" t="n"/>
      <c r="H236" s="49" t="n"/>
      <c r="I236" s="49" t="n"/>
      <c r="J236" s="49" t="n"/>
    </row>
    <row r="237">
      <c r="A237" s="30" t="n">
        <v>233</v>
      </c>
      <c r="B237" s="51" t="n"/>
      <c r="C237" s="49" t="n"/>
      <c r="D237" s="49" t="n"/>
      <c r="E237" s="49" t="n"/>
      <c r="F237" s="313" t="n"/>
      <c r="G237" s="37" t="n"/>
      <c r="H237" s="49" t="n"/>
      <c r="I237" s="49" t="n"/>
      <c r="J237" s="49" t="n"/>
    </row>
    <row r="238">
      <c r="A238" s="30" t="n">
        <v>234</v>
      </c>
      <c r="B238" s="51" t="n"/>
      <c r="C238" s="49" t="n"/>
      <c r="D238" s="49" t="n"/>
      <c r="E238" s="49" t="n"/>
      <c r="F238" s="313" t="n"/>
      <c r="G238" s="37" t="n"/>
      <c r="H238" s="49" t="n"/>
      <c r="I238" s="49" t="n"/>
      <c r="J238" s="49" t="n"/>
    </row>
    <row r="239">
      <c r="A239" s="30" t="n">
        <v>235</v>
      </c>
      <c r="B239" s="51" t="n"/>
      <c r="C239" s="49" t="n"/>
      <c r="D239" s="49" t="n"/>
      <c r="E239" s="49" t="n"/>
      <c r="F239" s="313" t="n"/>
      <c r="G239" s="37" t="n"/>
      <c r="H239" s="49" t="n"/>
      <c r="I239" s="49" t="n"/>
      <c r="J239" s="49" t="n"/>
    </row>
    <row r="240">
      <c r="A240" s="30" t="n">
        <v>236</v>
      </c>
      <c r="B240" s="51" t="n"/>
      <c r="C240" s="49" t="n"/>
      <c r="D240" s="49" t="n"/>
      <c r="E240" s="49" t="n"/>
      <c r="F240" s="313" t="n"/>
      <c r="G240" s="37" t="n"/>
      <c r="H240" s="49" t="n"/>
      <c r="I240" s="49" t="n"/>
      <c r="J240" s="49" t="n"/>
    </row>
    <row r="241">
      <c r="A241" s="30" t="n">
        <v>237</v>
      </c>
      <c r="B241" s="51" t="n"/>
      <c r="C241" s="49" t="n"/>
      <c r="D241" s="49" t="n"/>
      <c r="E241" s="49" t="n"/>
      <c r="F241" s="313" t="n"/>
      <c r="G241" s="37" t="n"/>
      <c r="H241" s="49" t="n"/>
      <c r="I241" s="49" t="n"/>
      <c r="J241" s="49" t="n"/>
    </row>
    <row r="242">
      <c r="A242" s="30" t="n">
        <v>238</v>
      </c>
      <c r="B242" s="51" t="n"/>
      <c r="C242" s="49" t="n"/>
      <c r="D242" s="49" t="n"/>
      <c r="E242" s="49" t="n"/>
      <c r="F242" s="313" t="n"/>
      <c r="G242" s="37" t="n"/>
      <c r="H242" s="49" t="n"/>
      <c r="I242" s="49" t="n"/>
      <c r="J242" s="49" t="n"/>
    </row>
    <row r="243">
      <c r="A243" s="30" t="n">
        <v>239</v>
      </c>
      <c r="B243" s="51" t="n"/>
      <c r="C243" s="49" t="n"/>
      <c r="D243" s="49" t="n"/>
      <c r="E243" s="49" t="n"/>
      <c r="F243" s="313" t="n"/>
      <c r="G243" s="37" t="n"/>
      <c r="H243" s="49" t="n"/>
      <c r="I243" s="49" t="n"/>
      <c r="J243" s="49" t="n"/>
    </row>
    <row r="244">
      <c r="A244" s="30" t="n">
        <v>240</v>
      </c>
      <c r="B244" s="51" t="n"/>
      <c r="C244" s="49" t="n"/>
      <c r="D244" s="49" t="n"/>
      <c r="E244" s="49" t="n"/>
      <c r="F244" s="313" t="n"/>
      <c r="G244" s="37" t="n"/>
      <c r="H244" s="49" t="n"/>
      <c r="I244" s="49" t="n"/>
      <c r="J244" s="49" t="n"/>
    </row>
    <row r="245">
      <c r="A245" s="30" t="n">
        <v>241</v>
      </c>
      <c r="B245" s="51" t="n"/>
      <c r="C245" s="49" t="n"/>
      <c r="D245" s="49" t="n"/>
      <c r="E245" s="49" t="n"/>
      <c r="F245" s="313" t="n"/>
      <c r="G245" s="37" t="n"/>
      <c r="H245" s="49" t="n"/>
      <c r="I245" s="49" t="n"/>
      <c r="J245" s="49" t="n"/>
    </row>
    <row r="246">
      <c r="A246" s="30" t="n">
        <v>242</v>
      </c>
      <c r="B246" s="51" t="n"/>
      <c r="C246" s="49" t="n"/>
      <c r="D246" s="49" t="n"/>
      <c r="E246" s="49" t="n"/>
      <c r="F246" s="313" t="n"/>
      <c r="G246" s="37" t="n"/>
      <c r="H246" s="49" t="n"/>
      <c r="I246" s="49" t="n"/>
      <c r="J246" s="49" t="n"/>
    </row>
    <row r="247">
      <c r="A247" s="30" t="n">
        <v>243</v>
      </c>
      <c r="B247" s="51" t="n"/>
      <c r="C247" s="49" t="n"/>
      <c r="D247" s="49" t="n"/>
      <c r="E247" s="49" t="n"/>
      <c r="F247" s="313" t="n"/>
      <c r="G247" s="37" t="n"/>
      <c r="H247" s="49" t="n"/>
      <c r="I247" s="49" t="n"/>
      <c r="J247" s="49" t="n"/>
    </row>
    <row r="248">
      <c r="A248" s="30" t="n">
        <v>244</v>
      </c>
      <c r="B248" s="51" t="n"/>
      <c r="C248" s="49" t="n"/>
      <c r="D248" s="49" t="n"/>
      <c r="E248" s="49" t="n"/>
      <c r="F248" s="313" t="n"/>
      <c r="G248" s="37" t="n"/>
      <c r="H248" s="49" t="n"/>
      <c r="I248" s="49" t="n"/>
      <c r="J248" s="49" t="n"/>
    </row>
    <row r="249">
      <c r="A249" s="30" t="n">
        <v>245</v>
      </c>
      <c r="B249" s="51" t="n"/>
      <c r="C249" s="49" t="n"/>
      <c r="D249" s="49" t="n"/>
      <c r="E249" s="49" t="n"/>
      <c r="F249" s="313" t="n"/>
      <c r="G249" s="37" t="n"/>
      <c r="H249" s="49" t="n"/>
      <c r="I249" s="49" t="n"/>
      <c r="J249" s="49" t="n"/>
    </row>
    <row r="250">
      <c r="A250" s="30" t="n">
        <v>246</v>
      </c>
      <c r="B250" s="51" t="n"/>
      <c r="C250" s="49" t="n"/>
      <c r="D250" s="49" t="n"/>
      <c r="E250" s="49" t="n"/>
      <c r="F250" s="313" t="n"/>
      <c r="G250" s="37" t="n"/>
      <c r="H250" s="49" t="n"/>
      <c r="I250" s="49" t="n"/>
      <c r="J250" s="49" t="n"/>
    </row>
    <row r="251">
      <c r="A251" s="30" t="n">
        <v>247</v>
      </c>
      <c r="B251" s="51" t="n"/>
      <c r="C251" s="49" t="n"/>
      <c r="D251" s="49" t="n"/>
      <c r="E251" s="49" t="n"/>
      <c r="F251" s="313" t="n"/>
      <c r="G251" s="37" t="n"/>
      <c r="H251" s="49" t="n"/>
      <c r="I251" s="49" t="n"/>
      <c r="J251" s="49" t="n"/>
    </row>
    <row r="252">
      <c r="A252" s="30" t="n">
        <v>248</v>
      </c>
      <c r="B252" s="51" t="n"/>
      <c r="C252" s="49" t="n"/>
      <c r="D252" s="49" t="n"/>
      <c r="E252" s="49" t="n"/>
      <c r="F252" s="313" t="n"/>
      <c r="G252" s="37" t="n"/>
      <c r="H252" s="49" t="n"/>
      <c r="I252" s="49" t="n"/>
      <c r="J252" s="49" t="n"/>
    </row>
    <row r="253">
      <c r="A253" s="30" t="n">
        <v>249</v>
      </c>
      <c r="B253" s="51" t="n"/>
      <c r="C253" s="49" t="n"/>
      <c r="D253" s="49" t="n"/>
      <c r="E253" s="49" t="n"/>
      <c r="F253" s="313" t="n"/>
      <c r="G253" s="37" t="n"/>
      <c r="H253" s="49" t="n"/>
      <c r="I253" s="49" t="n"/>
      <c r="J253" s="49" t="n"/>
    </row>
    <row r="254">
      <c r="A254" s="30" t="n">
        <v>250</v>
      </c>
      <c r="B254" s="51" t="n"/>
      <c r="C254" s="49" t="n"/>
      <c r="D254" s="49" t="n"/>
      <c r="E254" s="49" t="n"/>
      <c r="F254" s="313" t="n"/>
      <c r="G254" s="37" t="n"/>
      <c r="H254" s="49" t="n"/>
      <c r="I254" s="49" t="n"/>
      <c r="J254" s="49" t="n"/>
    </row>
    <row r="255">
      <c r="A255" s="30" t="n">
        <v>251</v>
      </c>
      <c r="B255" s="51" t="n"/>
      <c r="C255" s="49" t="n"/>
      <c r="D255" s="49" t="n"/>
      <c r="E255" s="49" t="n"/>
      <c r="F255" s="313" t="n"/>
      <c r="G255" s="37" t="n"/>
      <c r="H255" s="49" t="n"/>
      <c r="I255" s="49" t="n"/>
      <c r="J255" s="49" t="n"/>
    </row>
    <row r="256">
      <c r="A256" s="30" t="n">
        <v>252</v>
      </c>
      <c r="B256" s="51" t="n"/>
      <c r="C256" s="49" t="n"/>
      <c r="D256" s="49" t="n"/>
      <c r="E256" s="49" t="n"/>
      <c r="F256" s="313" t="n"/>
      <c r="G256" s="37" t="n"/>
      <c r="H256" s="49" t="n"/>
      <c r="I256" s="49" t="n"/>
      <c r="J256" s="49" t="n"/>
    </row>
    <row r="257">
      <c r="A257" s="30" t="n">
        <v>253</v>
      </c>
      <c r="B257" s="51" t="n"/>
      <c r="C257" s="49" t="n"/>
      <c r="D257" s="49" t="n"/>
      <c r="E257" s="49" t="n"/>
      <c r="F257" s="313" t="n"/>
      <c r="G257" s="37" t="n"/>
      <c r="H257" s="49" t="n"/>
      <c r="I257" s="49" t="n"/>
      <c r="J257" s="49" t="n"/>
    </row>
    <row r="258">
      <c r="A258" s="30" t="n">
        <v>254</v>
      </c>
      <c r="B258" s="51" t="n"/>
      <c r="C258" s="49" t="n"/>
      <c r="D258" s="49" t="n"/>
      <c r="E258" s="49" t="n"/>
      <c r="F258" s="313" t="n"/>
      <c r="G258" s="37" t="n"/>
      <c r="H258" s="49" t="n"/>
      <c r="I258" s="49" t="n"/>
      <c r="J258" s="49" t="n"/>
    </row>
    <row r="259">
      <c r="A259" s="30" t="n">
        <v>255</v>
      </c>
      <c r="B259" s="51" t="n"/>
      <c r="C259" s="49" t="n"/>
      <c r="D259" s="49" t="n"/>
      <c r="E259" s="49" t="n"/>
      <c r="F259" s="313" t="n"/>
      <c r="G259" s="37" t="n"/>
      <c r="H259" s="49" t="n"/>
      <c r="I259" s="49" t="n"/>
      <c r="J259" s="49" t="n"/>
    </row>
    <row r="260">
      <c r="A260" s="30" t="n">
        <v>256</v>
      </c>
      <c r="B260" s="51" t="n"/>
      <c r="C260" s="49" t="n"/>
      <c r="D260" s="49" t="n"/>
      <c r="E260" s="49" t="n"/>
      <c r="F260" s="313" t="n"/>
      <c r="G260" s="37" t="n"/>
      <c r="H260" s="49" t="n"/>
      <c r="I260" s="49" t="n"/>
      <c r="J260" s="49" t="n"/>
    </row>
    <row r="261">
      <c r="A261" s="30" t="n">
        <v>257</v>
      </c>
      <c r="B261" s="51" t="n"/>
      <c r="C261" s="49" t="n"/>
      <c r="D261" s="49" t="n"/>
      <c r="E261" s="49" t="n"/>
      <c r="F261" s="313" t="n"/>
      <c r="G261" s="37" t="n"/>
      <c r="H261" s="49" t="n"/>
      <c r="I261" s="49" t="n"/>
      <c r="J261" s="49" t="n"/>
    </row>
    <row r="262">
      <c r="A262" s="30" t="n">
        <v>258</v>
      </c>
      <c r="B262" s="51" t="n"/>
      <c r="C262" s="49" t="n"/>
      <c r="D262" s="49" t="n"/>
      <c r="E262" s="49" t="n"/>
      <c r="F262" s="313" t="n"/>
      <c r="G262" s="37" t="n"/>
      <c r="H262" s="49" t="n"/>
      <c r="I262" s="49" t="n"/>
      <c r="J262" s="49" t="n"/>
    </row>
    <row r="263">
      <c r="A263" s="30" t="n">
        <v>259</v>
      </c>
      <c r="B263" s="51" t="n"/>
      <c r="C263" s="49" t="n"/>
      <c r="D263" s="49" t="n"/>
      <c r="E263" s="49" t="n"/>
      <c r="F263" s="313" t="n"/>
      <c r="G263" s="37" t="n"/>
      <c r="H263" s="49" t="n"/>
      <c r="I263" s="49" t="n"/>
      <c r="J263" s="49" t="n"/>
    </row>
    <row r="264">
      <c r="A264" s="30" t="n">
        <v>260</v>
      </c>
      <c r="B264" s="51" t="n"/>
      <c r="C264" s="49" t="n"/>
      <c r="D264" s="49" t="n"/>
      <c r="E264" s="49" t="n"/>
      <c r="F264" s="313" t="n"/>
      <c r="G264" s="37" t="n"/>
      <c r="H264" s="49" t="n"/>
      <c r="I264" s="49" t="n"/>
      <c r="J264" s="49" t="n"/>
    </row>
    <row r="265">
      <c r="A265" s="30" t="n">
        <v>261</v>
      </c>
      <c r="B265" s="51" t="n"/>
      <c r="C265" s="49" t="n"/>
      <c r="D265" s="49" t="n"/>
      <c r="E265" s="49" t="n"/>
      <c r="F265" s="313" t="n"/>
      <c r="G265" s="37" t="n"/>
      <c r="H265" s="49" t="n"/>
      <c r="I265" s="49" t="n"/>
      <c r="J265" s="49" t="n"/>
    </row>
    <row r="266">
      <c r="A266" s="30" t="n">
        <v>262</v>
      </c>
      <c r="B266" s="51" t="n"/>
      <c r="C266" s="49" t="n"/>
      <c r="D266" s="49" t="n"/>
      <c r="E266" s="49" t="n"/>
      <c r="F266" s="313" t="n"/>
      <c r="G266" s="37" t="n"/>
      <c r="H266" s="49" t="n"/>
      <c r="I266" s="49" t="n"/>
      <c r="J266" s="49" t="n"/>
    </row>
    <row r="267">
      <c r="A267" s="30" t="n">
        <v>263</v>
      </c>
      <c r="B267" s="51" t="n"/>
      <c r="C267" s="49" t="n"/>
      <c r="D267" s="49" t="n"/>
      <c r="E267" s="49" t="n"/>
      <c r="F267" s="313" t="n"/>
      <c r="G267" s="37" t="n"/>
      <c r="H267" s="49" t="n"/>
      <c r="I267" s="49" t="n"/>
      <c r="J267" s="49" t="n"/>
    </row>
    <row r="268">
      <c r="A268" s="30" t="n">
        <v>264</v>
      </c>
      <c r="B268" s="51" t="n"/>
      <c r="C268" s="49" t="n"/>
      <c r="D268" s="49" t="n"/>
      <c r="E268" s="49" t="n"/>
      <c r="F268" s="313" t="n"/>
      <c r="G268" s="37" t="n"/>
      <c r="H268" s="49" t="n"/>
      <c r="I268" s="49" t="n"/>
      <c r="J268" s="49" t="n"/>
    </row>
    <row r="269">
      <c r="A269" s="30" t="n">
        <v>265</v>
      </c>
      <c r="B269" s="51" t="n"/>
      <c r="C269" s="49" t="n"/>
      <c r="D269" s="49" t="n"/>
      <c r="E269" s="49" t="n"/>
      <c r="F269" s="313" t="n"/>
      <c r="G269" s="37" t="n"/>
      <c r="H269" s="49" t="n"/>
      <c r="I269" s="49" t="n"/>
      <c r="J269" s="49" t="n"/>
    </row>
    <row r="270">
      <c r="A270" s="30" t="n">
        <v>266</v>
      </c>
      <c r="B270" s="51" t="n"/>
      <c r="C270" s="49" t="n"/>
      <c r="D270" s="49" t="n"/>
      <c r="E270" s="49" t="n"/>
      <c r="F270" s="313" t="n"/>
      <c r="G270" s="37" t="n"/>
      <c r="H270" s="49" t="n"/>
      <c r="I270" s="49" t="n"/>
      <c r="J270" s="49" t="n"/>
    </row>
    <row r="271">
      <c r="A271" s="30" t="n">
        <v>267</v>
      </c>
      <c r="B271" s="51" t="n"/>
      <c r="C271" s="49" t="n"/>
      <c r="D271" s="49" t="n"/>
      <c r="E271" s="49" t="n"/>
      <c r="F271" s="313" t="n"/>
      <c r="G271" s="37" t="n"/>
      <c r="H271" s="49" t="n"/>
      <c r="I271" s="49" t="n"/>
      <c r="J271" s="49" t="n"/>
    </row>
    <row r="272">
      <c r="A272" s="30" t="n">
        <v>268</v>
      </c>
      <c r="B272" s="51" t="n"/>
      <c r="C272" s="49" t="n"/>
      <c r="D272" s="49" t="n"/>
      <c r="E272" s="49" t="n"/>
      <c r="F272" s="313" t="n"/>
      <c r="G272" s="37" t="n"/>
      <c r="H272" s="49" t="n"/>
      <c r="I272" s="49" t="n"/>
      <c r="J272" s="49" t="n"/>
    </row>
    <row r="273">
      <c r="A273" s="30" t="n">
        <v>269</v>
      </c>
      <c r="B273" s="51" t="n"/>
      <c r="C273" s="49" t="n"/>
      <c r="D273" s="49" t="n"/>
      <c r="E273" s="49" t="n"/>
      <c r="F273" s="313" t="n"/>
      <c r="G273" s="37" t="n"/>
      <c r="H273" s="49" t="n"/>
      <c r="I273" s="49" t="n"/>
      <c r="J273" s="49" t="n"/>
    </row>
    <row r="274">
      <c r="A274" s="30" t="n">
        <v>270</v>
      </c>
      <c r="B274" s="51" t="n"/>
      <c r="C274" s="49" t="n"/>
      <c r="D274" s="49" t="n"/>
      <c r="E274" s="49" t="n"/>
      <c r="F274" s="313" t="n"/>
      <c r="G274" s="37" t="n"/>
      <c r="H274" s="49" t="n"/>
      <c r="I274" s="49" t="n"/>
      <c r="J274" s="49" t="n"/>
    </row>
    <row r="275">
      <c r="A275" s="30" t="n">
        <v>271</v>
      </c>
      <c r="B275" s="51" t="n"/>
      <c r="C275" s="49" t="n"/>
      <c r="D275" s="49" t="n"/>
      <c r="E275" s="49" t="n"/>
      <c r="F275" s="313" t="n"/>
      <c r="G275" s="37" t="n"/>
      <c r="H275" s="49" t="n"/>
      <c r="I275" s="49" t="n"/>
      <c r="J275" s="49" t="n"/>
    </row>
    <row r="276">
      <c r="A276" s="30" t="n">
        <v>272</v>
      </c>
      <c r="B276" s="51" t="n"/>
      <c r="C276" s="49" t="n"/>
      <c r="D276" s="49" t="n"/>
      <c r="E276" s="49" t="n"/>
      <c r="F276" s="313" t="n"/>
      <c r="G276" s="37" t="n"/>
      <c r="H276" s="49" t="n"/>
      <c r="I276" s="49" t="n"/>
      <c r="J276" s="49" t="n"/>
    </row>
    <row r="277">
      <c r="A277" s="30" t="n">
        <v>273</v>
      </c>
      <c r="B277" s="51" t="n"/>
      <c r="C277" s="49" t="n"/>
      <c r="D277" s="49" t="n"/>
      <c r="E277" s="49" t="n"/>
      <c r="F277" s="313" t="n"/>
      <c r="G277" s="37" t="n"/>
      <c r="H277" s="49" t="n"/>
      <c r="I277" s="49" t="n"/>
      <c r="J277" s="49" t="n"/>
    </row>
    <row r="278">
      <c r="A278" s="30" t="n">
        <v>274</v>
      </c>
      <c r="B278" s="51" t="n"/>
      <c r="C278" s="49" t="n"/>
      <c r="D278" s="49" t="n"/>
      <c r="E278" s="49" t="n"/>
      <c r="F278" s="313" t="n"/>
      <c r="G278" s="37" t="n"/>
      <c r="H278" s="49" t="n"/>
      <c r="I278" s="49" t="n"/>
      <c r="J278" s="49" t="n"/>
    </row>
    <row r="279">
      <c r="A279" s="30" t="n">
        <v>275</v>
      </c>
      <c r="B279" s="51" t="n"/>
      <c r="C279" s="49" t="n"/>
      <c r="D279" s="49" t="n"/>
      <c r="E279" s="49" t="n"/>
      <c r="F279" s="313" t="n"/>
      <c r="G279" s="37" t="n"/>
      <c r="H279" s="49" t="n"/>
      <c r="I279" s="49" t="n"/>
      <c r="J279" s="49" t="n"/>
    </row>
    <row r="280">
      <c r="A280" s="30" t="n">
        <v>276</v>
      </c>
      <c r="B280" s="51" t="n"/>
      <c r="C280" s="49" t="n"/>
      <c r="D280" s="49" t="n"/>
      <c r="E280" s="49" t="n"/>
      <c r="F280" s="313" t="n"/>
      <c r="G280" s="37" t="n"/>
      <c r="H280" s="49" t="n"/>
      <c r="I280" s="49" t="n"/>
      <c r="J280" s="49" t="n"/>
    </row>
    <row r="281">
      <c r="A281" s="30" t="n">
        <v>277</v>
      </c>
      <c r="B281" s="51" t="n"/>
      <c r="C281" s="49" t="n"/>
      <c r="D281" s="49" t="n"/>
      <c r="E281" s="49" t="n"/>
      <c r="F281" s="313" t="n"/>
      <c r="G281" s="37" t="n"/>
      <c r="H281" s="49" t="n"/>
      <c r="I281" s="49" t="n"/>
      <c r="J281" s="49" t="n"/>
    </row>
    <row r="282">
      <c r="A282" s="30" t="n">
        <v>278</v>
      </c>
      <c r="B282" s="51" t="n"/>
      <c r="C282" s="49" t="n"/>
      <c r="D282" s="49" t="n"/>
      <c r="E282" s="49" t="n"/>
      <c r="F282" s="313" t="n"/>
      <c r="G282" s="37" t="n"/>
      <c r="H282" s="49" t="n"/>
      <c r="I282" s="49" t="n"/>
      <c r="J282" s="49" t="n"/>
    </row>
    <row r="283">
      <c r="A283" s="30" t="n">
        <v>279</v>
      </c>
      <c r="B283" s="51" t="n"/>
      <c r="C283" s="49" t="n"/>
      <c r="D283" s="49" t="n"/>
      <c r="E283" s="49" t="n"/>
      <c r="F283" s="313" t="n"/>
      <c r="G283" s="37" t="n"/>
      <c r="H283" s="49" t="n"/>
      <c r="I283" s="49" t="n"/>
      <c r="J283" s="49" t="n"/>
    </row>
    <row r="284">
      <c r="A284" s="30" t="n">
        <v>280</v>
      </c>
      <c r="B284" s="51" t="n"/>
      <c r="C284" s="49" t="n"/>
      <c r="D284" s="49" t="n"/>
      <c r="E284" s="49" t="n"/>
      <c r="F284" s="313" t="n"/>
      <c r="G284" s="37" t="n"/>
      <c r="H284" s="49" t="n"/>
      <c r="I284" s="49" t="n"/>
      <c r="J284" s="49" t="n"/>
    </row>
    <row r="285">
      <c r="A285" s="30" t="n">
        <v>281</v>
      </c>
      <c r="B285" s="51" t="n"/>
      <c r="C285" s="49" t="n"/>
      <c r="D285" s="49" t="n"/>
      <c r="E285" s="49" t="n"/>
      <c r="F285" s="313" t="n"/>
      <c r="G285" s="37" t="n"/>
      <c r="H285" s="49" t="n"/>
      <c r="I285" s="49" t="n"/>
      <c r="J285" s="49" t="n"/>
    </row>
    <row r="286">
      <c r="A286" s="30" t="n">
        <v>282</v>
      </c>
      <c r="B286" s="51" t="n"/>
      <c r="C286" s="49" t="n"/>
      <c r="D286" s="49" t="n"/>
      <c r="E286" s="49" t="n"/>
      <c r="F286" s="313" t="n"/>
      <c r="G286" s="37" t="n"/>
      <c r="H286" s="49" t="n"/>
      <c r="I286" s="49" t="n"/>
      <c r="J286" s="49" t="n"/>
    </row>
    <row r="287">
      <c r="A287" s="30" t="n">
        <v>283</v>
      </c>
      <c r="B287" s="51" t="n"/>
      <c r="C287" s="49" t="n"/>
      <c r="D287" s="49" t="n"/>
      <c r="E287" s="49" t="n"/>
      <c r="F287" s="313" t="n"/>
      <c r="G287" s="37" t="n"/>
      <c r="H287" s="49" t="n"/>
      <c r="I287" s="49" t="n"/>
      <c r="J287" s="49" t="n"/>
    </row>
    <row r="288">
      <c r="A288" s="30" t="n">
        <v>284</v>
      </c>
      <c r="B288" s="51" t="n"/>
      <c r="C288" s="49" t="n"/>
      <c r="D288" s="49" t="n"/>
      <c r="E288" s="49" t="n"/>
      <c r="F288" s="313" t="n"/>
      <c r="G288" s="37" t="n"/>
      <c r="H288" s="49" t="n"/>
      <c r="I288" s="49" t="n"/>
      <c r="J288" s="49" t="n"/>
    </row>
    <row r="289">
      <c r="A289" s="30" t="n">
        <v>285</v>
      </c>
      <c r="B289" s="51" t="n"/>
      <c r="C289" s="49" t="n"/>
      <c r="D289" s="49" t="n"/>
      <c r="E289" s="49" t="n"/>
      <c r="F289" s="313" t="n"/>
      <c r="G289" s="37" t="n"/>
      <c r="H289" s="49" t="n"/>
      <c r="I289" s="49" t="n"/>
      <c r="J289" s="49" t="n"/>
    </row>
    <row r="290">
      <c r="A290" s="30" t="n">
        <v>286</v>
      </c>
      <c r="B290" s="51" t="n"/>
      <c r="C290" s="49" t="n"/>
      <c r="D290" s="49" t="n"/>
      <c r="E290" s="49" t="n"/>
      <c r="F290" s="313" t="n"/>
      <c r="G290" s="37" t="n"/>
      <c r="H290" s="49" t="n"/>
      <c r="I290" s="49" t="n"/>
      <c r="J290" s="49" t="n"/>
    </row>
    <row r="291">
      <c r="A291" s="30" t="n">
        <v>287</v>
      </c>
      <c r="B291" s="51" t="n"/>
      <c r="C291" s="49" t="n"/>
      <c r="D291" s="49" t="n"/>
      <c r="E291" s="49" t="n"/>
      <c r="F291" s="313" t="n"/>
      <c r="G291" s="37" t="n"/>
      <c r="H291" s="49" t="n"/>
      <c r="I291" s="49" t="n"/>
      <c r="J291" s="49" t="n"/>
    </row>
    <row r="292">
      <c r="A292" s="30" t="n">
        <v>288</v>
      </c>
      <c r="B292" s="51" t="n"/>
      <c r="C292" s="49" t="n"/>
      <c r="D292" s="49" t="n"/>
      <c r="E292" s="49" t="n"/>
      <c r="F292" s="313" t="n"/>
      <c r="G292" s="37" t="n"/>
      <c r="H292" s="49" t="n"/>
      <c r="I292" s="49" t="n"/>
      <c r="J292" s="49" t="n"/>
    </row>
    <row r="293">
      <c r="A293" s="30" t="n">
        <v>289</v>
      </c>
      <c r="B293" s="51" t="n"/>
      <c r="C293" s="49" t="n"/>
      <c r="D293" s="49" t="n"/>
      <c r="E293" s="49" t="n"/>
      <c r="F293" s="313" t="n"/>
      <c r="G293" s="37" t="n"/>
      <c r="H293" s="49" t="n"/>
      <c r="I293" s="49" t="n"/>
      <c r="J293" s="49" t="n"/>
    </row>
    <row r="294">
      <c r="A294" s="30" t="n">
        <v>290</v>
      </c>
      <c r="B294" s="51" t="n"/>
      <c r="C294" s="49" t="n"/>
      <c r="D294" s="49" t="n"/>
      <c r="E294" s="49" t="n"/>
      <c r="F294" s="313" t="n"/>
      <c r="G294" s="37" t="n"/>
      <c r="H294" s="49" t="n"/>
      <c r="I294" s="49" t="n"/>
      <c r="J294" s="49" t="n"/>
    </row>
    <row r="295">
      <c r="A295" s="30" t="n">
        <v>291</v>
      </c>
      <c r="B295" s="51" t="n"/>
      <c r="C295" s="49" t="n"/>
      <c r="D295" s="49" t="n"/>
      <c r="E295" s="49" t="n"/>
      <c r="F295" s="313" t="n"/>
      <c r="G295" s="37" t="n"/>
      <c r="H295" s="49" t="n"/>
      <c r="I295" s="49" t="n"/>
      <c r="J295" s="49" t="n"/>
    </row>
    <row r="296">
      <c r="A296" s="30" t="n">
        <v>292</v>
      </c>
      <c r="B296" s="51" t="n"/>
      <c r="C296" s="49" t="n"/>
      <c r="D296" s="49" t="n"/>
      <c r="E296" s="49" t="n"/>
      <c r="F296" s="313" t="n"/>
      <c r="G296" s="37" t="n"/>
      <c r="H296" s="49" t="n"/>
      <c r="I296" s="49" t="n"/>
      <c r="J296" s="49" t="n"/>
    </row>
    <row r="297">
      <c r="A297" s="30" t="n">
        <v>293</v>
      </c>
      <c r="B297" s="51" t="n"/>
      <c r="C297" s="49" t="n"/>
      <c r="D297" s="49" t="n"/>
      <c r="E297" s="49" t="n"/>
      <c r="F297" s="313" t="n"/>
      <c r="G297" s="37" t="n"/>
      <c r="H297" s="49" t="n"/>
      <c r="I297" s="49" t="n"/>
      <c r="J297" s="49" t="n"/>
    </row>
    <row r="298">
      <c r="A298" s="30" t="n">
        <v>294</v>
      </c>
      <c r="B298" s="51" t="n"/>
      <c r="C298" s="49" t="n"/>
      <c r="D298" s="49" t="n"/>
      <c r="E298" s="49" t="n"/>
      <c r="F298" s="313" t="n"/>
      <c r="G298" s="37" t="n"/>
      <c r="H298" s="49" t="n"/>
      <c r="I298" s="49" t="n"/>
      <c r="J298" s="49" t="n"/>
    </row>
    <row r="299">
      <c r="A299" s="30" t="n">
        <v>295</v>
      </c>
      <c r="B299" s="51" t="n"/>
      <c r="C299" s="49" t="n"/>
      <c r="D299" s="49" t="n"/>
      <c r="E299" s="49" t="n"/>
      <c r="F299" s="313" t="n"/>
      <c r="G299" s="37" t="n"/>
      <c r="H299" s="49" t="n"/>
      <c r="I299" s="49" t="n"/>
      <c r="J299" s="49" t="n"/>
    </row>
    <row r="300">
      <c r="A300" s="30" t="n">
        <v>296</v>
      </c>
      <c r="B300" s="51" t="n"/>
      <c r="C300" s="49" t="n"/>
      <c r="D300" s="49" t="n"/>
      <c r="E300" s="49" t="n"/>
      <c r="F300" s="313" t="n"/>
      <c r="G300" s="37" t="n"/>
      <c r="H300" s="49" t="n"/>
      <c r="I300" s="49" t="n"/>
      <c r="J300" s="49" t="n"/>
    </row>
    <row r="301">
      <c r="A301" s="30" t="n">
        <v>297</v>
      </c>
      <c r="B301" s="51" t="n"/>
      <c r="C301" s="49" t="n"/>
      <c r="D301" s="49" t="n"/>
      <c r="E301" s="49" t="n"/>
      <c r="F301" s="313" t="n"/>
      <c r="G301" s="37" t="n"/>
      <c r="H301" s="49" t="n"/>
      <c r="I301" s="49" t="n"/>
      <c r="J301" s="49" t="n"/>
    </row>
    <row r="302">
      <c r="A302" s="30" t="n">
        <v>298</v>
      </c>
      <c r="B302" s="51" t="n"/>
      <c r="C302" s="49" t="n"/>
      <c r="D302" s="49" t="n"/>
      <c r="E302" s="49" t="n"/>
      <c r="F302" s="313" t="n"/>
      <c r="G302" s="37" t="n"/>
      <c r="H302" s="49" t="n"/>
      <c r="I302" s="49" t="n"/>
      <c r="J302" s="49" t="n"/>
    </row>
    <row r="303">
      <c r="A303" s="30" t="n">
        <v>299</v>
      </c>
      <c r="B303" s="51" t="n"/>
      <c r="C303" s="49" t="n"/>
      <c r="D303" s="49" t="n"/>
      <c r="E303" s="49" t="n"/>
      <c r="F303" s="313" t="n"/>
      <c r="G303" s="37" t="n"/>
      <c r="H303" s="49" t="n"/>
      <c r="I303" s="49" t="n"/>
      <c r="J303" s="49" t="n"/>
    </row>
    <row r="304">
      <c r="A304" s="30" t="n">
        <v>300</v>
      </c>
      <c r="B304" s="51" t="n"/>
      <c r="C304" s="49" t="n"/>
      <c r="D304" s="49" t="n"/>
      <c r="E304" s="49" t="n"/>
      <c r="F304" s="313" t="n"/>
      <c r="G304" s="37" t="n"/>
      <c r="H304" s="49" t="n"/>
      <c r="I304" s="49" t="n"/>
      <c r="J304" s="49" t="n"/>
    </row>
    <row r="305">
      <c r="A305" s="30" t="n">
        <v>301</v>
      </c>
      <c r="B305" s="51" t="n"/>
      <c r="C305" s="49" t="n"/>
      <c r="D305" s="49" t="n"/>
      <c r="E305" s="49" t="n"/>
      <c r="F305" s="313" t="n"/>
      <c r="G305" s="37" t="n"/>
      <c r="H305" s="49" t="n"/>
      <c r="I305" s="49" t="n"/>
      <c r="J305" s="49" t="n"/>
    </row>
    <row r="306">
      <c r="A306" s="30" t="n">
        <v>302</v>
      </c>
      <c r="B306" s="51" t="n"/>
      <c r="C306" s="49" t="n"/>
      <c r="D306" s="49" t="n"/>
      <c r="E306" s="49" t="n"/>
      <c r="F306" s="313" t="n"/>
      <c r="G306" s="37" t="n"/>
      <c r="H306" s="49" t="n"/>
      <c r="I306" s="49" t="n"/>
      <c r="J306" s="49" t="n"/>
    </row>
    <row r="307">
      <c r="A307" s="30" t="n">
        <v>303</v>
      </c>
      <c r="B307" s="51" t="n"/>
      <c r="C307" s="49" t="n"/>
      <c r="D307" s="49" t="n"/>
      <c r="E307" s="49" t="n"/>
      <c r="F307" s="313" t="n"/>
      <c r="G307" s="37" t="n"/>
      <c r="H307" s="49" t="n"/>
      <c r="I307" s="49" t="n"/>
      <c r="J307" s="49" t="n"/>
    </row>
    <row r="308">
      <c r="A308" s="30" t="n">
        <v>304</v>
      </c>
      <c r="B308" s="51" t="n"/>
      <c r="C308" s="49" t="n"/>
      <c r="D308" s="49" t="n"/>
      <c r="E308" s="49" t="n"/>
      <c r="F308" s="313" t="n"/>
      <c r="G308" s="37" t="n"/>
      <c r="H308" s="49" t="n"/>
      <c r="I308" s="49" t="n"/>
      <c r="J308" s="49" t="n"/>
    </row>
    <row r="309">
      <c r="A309" s="30" t="n">
        <v>305</v>
      </c>
      <c r="B309" s="51" t="n"/>
      <c r="C309" s="49" t="n"/>
      <c r="D309" s="49" t="n"/>
      <c r="E309" s="49" t="n"/>
      <c r="F309" s="313" t="n"/>
      <c r="G309" s="37" t="n"/>
      <c r="H309" s="49" t="n"/>
      <c r="I309" s="49" t="n"/>
      <c r="J309" s="49" t="n"/>
    </row>
    <row r="310">
      <c r="A310" s="30" t="n">
        <v>306</v>
      </c>
      <c r="B310" s="51" t="n"/>
      <c r="C310" s="49" t="n"/>
      <c r="D310" s="49" t="n"/>
      <c r="E310" s="49" t="n"/>
      <c r="F310" s="313" t="n"/>
      <c r="G310" s="37" t="n"/>
      <c r="H310" s="49" t="n"/>
      <c r="I310" s="49" t="n"/>
      <c r="J310" s="49" t="n"/>
    </row>
    <row r="311">
      <c r="A311" s="30" t="n">
        <v>307</v>
      </c>
      <c r="B311" s="51" t="n"/>
      <c r="C311" s="49" t="n"/>
      <c r="D311" s="49" t="n"/>
      <c r="E311" s="49" t="n"/>
      <c r="F311" s="313" t="n"/>
      <c r="G311" s="37" t="n"/>
      <c r="H311" s="49" t="n"/>
      <c r="I311" s="49" t="n"/>
      <c r="J311" s="49" t="n"/>
    </row>
    <row r="312">
      <c r="A312" s="30" t="n">
        <v>308</v>
      </c>
      <c r="B312" s="51" t="n"/>
      <c r="C312" s="49" t="n"/>
      <c r="D312" s="49" t="n"/>
      <c r="E312" s="49" t="n"/>
      <c r="F312" s="313" t="n"/>
      <c r="G312" s="37" t="n"/>
      <c r="H312" s="49" t="n"/>
      <c r="I312" s="49" t="n"/>
      <c r="J312" s="49" t="n"/>
    </row>
    <row r="313">
      <c r="A313" s="30" t="n">
        <v>309</v>
      </c>
      <c r="B313" s="51" t="n"/>
      <c r="C313" s="49" t="n"/>
      <c r="D313" s="49" t="n"/>
      <c r="E313" s="49" t="n"/>
      <c r="F313" s="313" t="n"/>
      <c r="G313" s="37" t="n"/>
      <c r="H313" s="49" t="n"/>
      <c r="I313" s="49" t="n"/>
      <c r="J313" s="49" t="n"/>
    </row>
    <row r="314">
      <c r="A314" s="30" t="n">
        <v>310</v>
      </c>
      <c r="B314" s="51" t="n"/>
      <c r="C314" s="49" t="n"/>
      <c r="D314" s="49" t="n"/>
      <c r="E314" s="49" t="n"/>
      <c r="F314" s="313" t="n"/>
      <c r="G314" s="37" t="n"/>
      <c r="H314" s="49" t="n"/>
      <c r="I314" s="49" t="n"/>
      <c r="J314" s="49" t="n"/>
    </row>
    <row r="315">
      <c r="A315" s="30" t="n">
        <v>311</v>
      </c>
      <c r="B315" s="51" t="n"/>
      <c r="C315" s="49" t="n"/>
      <c r="D315" s="49" t="n"/>
      <c r="E315" s="49" t="n"/>
      <c r="F315" s="313" t="n"/>
      <c r="G315" s="37" t="n"/>
      <c r="H315" s="49" t="n"/>
      <c r="I315" s="49" t="n"/>
      <c r="J315" s="49" t="n"/>
    </row>
    <row r="316">
      <c r="A316" s="30" t="n">
        <v>312</v>
      </c>
      <c r="B316" s="51" t="n"/>
      <c r="C316" s="49" t="n"/>
      <c r="D316" s="49" t="n"/>
      <c r="E316" s="49" t="n"/>
      <c r="F316" s="313" t="n"/>
      <c r="G316" s="37" t="n"/>
      <c r="H316" s="49" t="n"/>
      <c r="I316" s="49" t="n"/>
      <c r="J316" s="49" t="n"/>
    </row>
    <row r="317">
      <c r="A317" s="30" t="n">
        <v>313</v>
      </c>
      <c r="B317" s="51" t="n"/>
      <c r="C317" s="49" t="n"/>
      <c r="D317" s="49" t="n"/>
      <c r="E317" s="49" t="n"/>
      <c r="F317" s="313" t="n"/>
      <c r="G317" s="37" t="n"/>
      <c r="H317" s="49" t="n"/>
      <c r="I317" s="49" t="n"/>
      <c r="J317" s="49" t="n"/>
    </row>
    <row r="318">
      <c r="A318" s="30" t="n">
        <v>314</v>
      </c>
      <c r="B318" s="51" t="n"/>
      <c r="C318" s="49" t="n"/>
      <c r="D318" s="49" t="n"/>
      <c r="E318" s="49" t="n"/>
      <c r="F318" s="313" t="n"/>
      <c r="G318" s="37" t="n"/>
      <c r="H318" s="49" t="n"/>
      <c r="I318" s="49" t="n"/>
      <c r="J318" s="49" t="n"/>
    </row>
    <row r="319">
      <c r="A319" s="30" t="n">
        <v>315</v>
      </c>
      <c r="B319" s="51" t="n"/>
      <c r="C319" s="49" t="n"/>
      <c r="D319" s="49" t="n"/>
      <c r="E319" s="49" t="n"/>
      <c r="F319" s="313" t="n"/>
      <c r="G319" s="37" t="n"/>
      <c r="H319" s="49" t="n"/>
      <c r="I319" s="49" t="n"/>
      <c r="J319" s="49" t="n"/>
    </row>
    <row r="320">
      <c r="A320" s="30" t="n">
        <v>316</v>
      </c>
      <c r="B320" s="51" t="n"/>
      <c r="C320" s="49" t="n"/>
      <c r="D320" s="49" t="n"/>
      <c r="E320" s="49" t="n"/>
      <c r="F320" s="313" t="n"/>
      <c r="G320" s="37" t="n"/>
      <c r="H320" s="49" t="n"/>
      <c r="I320" s="49" t="n"/>
      <c r="J320" s="49" t="n"/>
    </row>
    <row r="321">
      <c r="A321" s="30" t="n">
        <v>317</v>
      </c>
      <c r="B321" s="51" t="n"/>
      <c r="C321" s="49" t="n"/>
      <c r="D321" s="49" t="n"/>
      <c r="E321" s="49" t="n"/>
      <c r="F321" s="313" t="n"/>
      <c r="G321" s="37" t="n"/>
      <c r="H321" s="49" t="n"/>
      <c r="I321" s="49" t="n"/>
      <c r="J321" s="49" t="n"/>
    </row>
    <row r="322">
      <c r="A322" s="30" t="n">
        <v>318</v>
      </c>
      <c r="B322" s="51" t="n"/>
      <c r="C322" s="49" t="n"/>
      <c r="D322" s="49" t="n"/>
      <c r="E322" s="49" t="n"/>
      <c r="F322" s="313" t="n"/>
      <c r="G322" s="37" t="n"/>
      <c r="H322" s="49" t="n"/>
      <c r="I322" s="49" t="n"/>
      <c r="J322" s="49" t="n"/>
    </row>
    <row r="323">
      <c r="A323" s="30" t="n">
        <v>319</v>
      </c>
      <c r="B323" s="51" t="n"/>
      <c r="C323" s="49" t="n"/>
      <c r="D323" s="49" t="n"/>
      <c r="E323" s="49" t="n"/>
      <c r="F323" s="313" t="n"/>
      <c r="G323" s="37" t="n"/>
      <c r="H323" s="49" t="n"/>
      <c r="I323" s="49" t="n"/>
      <c r="J323" s="49" t="n"/>
    </row>
    <row r="324">
      <c r="A324" s="30" t="n">
        <v>320</v>
      </c>
      <c r="B324" s="51" t="n"/>
      <c r="C324" s="49" t="n"/>
      <c r="D324" s="49" t="n"/>
      <c r="E324" s="49" t="n"/>
      <c r="F324" s="313" t="n"/>
      <c r="G324" s="37" t="n"/>
      <c r="H324" s="49" t="n"/>
      <c r="I324" s="49" t="n"/>
      <c r="J324" s="49" t="n"/>
    </row>
    <row r="325">
      <c r="A325" s="30" t="n">
        <v>321</v>
      </c>
      <c r="B325" s="51" t="n"/>
      <c r="C325" s="49" t="n"/>
      <c r="D325" s="49" t="n"/>
      <c r="E325" s="49" t="n"/>
      <c r="F325" s="313" t="n"/>
      <c r="G325" s="37" t="n"/>
      <c r="H325" s="49" t="n"/>
      <c r="I325" s="49" t="n"/>
      <c r="J325" s="49" t="n"/>
    </row>
    <row r="326">
      <c r="A326" s="30" t="n">
        <v>322</v>
      </c>
      <c r="B326" s="51" t="n"/>
      <c r="C326" s="49" t="n"/>
      <c r="D326" s="49" t="n"/>
      <c r="E326" s="49" t="n"/>
      <c r="F326" s="313" t="n"/>
      <c r="G326" s="37" t="n"/>
      <c r="H326" s="49" t="n"/>
      <c r="I326" s="49" t="n"/>
      <c r="J326" s="49" t="n"/>
    </row>
    <row r="327">
      <c r="A327" s="30" t="n">
        <v>323</v>
      </c>
      <c r="B327" s="51" t="n"/>
      <c r="C327" s="49" t="n"/>
      <c r="D327" s="49" t="n"/>
      <c r="E327" s="49" t="n"/>
      <c r="F327" s="313" t="n"/>
      <c r="G327" s="37" t="n"/>
      <c r="H327" s="49" t="n"/>
      <c r="I327" s="49" t="n"/>
      <c r="J327" s="49" t="n"/>
    </row>
    <row r="328">
      <c r="A328" s="30" t="n">
        <v>324</v>
      </c>
      <c r="B328" s="51" t="n"/>
      <c r="C328" s="49" t="n"/>
      <c r="D328" s="49" t="n"/>
      <c r="E328" s="49" t="n"/>
      <c r="F328" s="313" t="n"/>
      <c r="G328" s="37" t="n"/>
      <c r="H328" s="49" t="n"/>
      <c r="I328" s="49" t="n"/>
      <c r="J328" s="49" t="n"/>
    </row>
    <row r="329">
      <c r="A329" s="30" t="n">
        <v>325</v>
      </c>
      <c r="B329" s="51" t="n"/>
      <c r="C329" s="49" t="n"/>
      <c r="D329" s="49" t="n"/>
      <c r="E329" s="49" t="n"/>
      <c r="F329" s="313" t="n"/>
      <c r="G329" s="37" t="n"/>
      <c r="H329" s="49" t="n"/>
      <c r="I329" s="49" t="n"/>
      <c r="J329" s="49" t="n"/>
    </row>
    <row r="330">
      <c r="A330" s="30" t="n">
        <v>326</v>
      </c>
      <c r="B330" s="51" t="n"/>
      <c r="C330" s="49" t="n"/>
      <c r="D330" s="49" t="n"/>
      <c r="E330" s="49" t="n"/>
      <c r="F330" s="313" t="n"/>
      <c r="G330" s="37" t="n"/>
      <c r="H330" s="49" t="n"/>
      <c r="I330" s="49" t="n"/>
      <c r="J330" s="49" t="n"/>
    </row>
    <row r="331">
      <c r="A331" s="30" t="n">
        <v>327</v>
      </c>
      <c r="B331" s="51" t="n"/>
      <c r="C331" s="49" t="n"/>
      <c r="D331" s="49" t="n"/>
      <c r="E331" s="49" t="n"/>
      <c r="F331" s="313" t="n"/>
      <c r="G331" s="37" t="n"/>
      <c r="H331" s="49" t="n"/>
      <c r="I331" s="49" t="n"/>
      <c r="J331" s="49" t="n"/>
    </row>
    <row r="332">
      <c r="A332" s="30" t="n">
        <v>328</v>
      </c>
      <c r="B332" s="51" t="n"/>
      <c r="C332" s="49" t="n"/>
      <c r="D332" s="49" t="n"/>
      <c r="E332" s="49" t="n"/>
      <c r="F332" s="313" t="n"/>
      <c r="G332" s="37" t="n"/>
      <c r="H332" s="49" t="n"/>
      <c r="I332" s="49" t="n"/>
      <c r="J332" s="49" t="n"/>
    </row>
    <row r="333">
      <c r="A333" s="30" t="n">
        <v>329</v>
      </c>
      <c r="B333" s="51" t="n"/>
      <c r="C333" s="49" t="n"/>
      <c r="D333" s="49" t="n"/>
      <c r="E333" s="49" t="n"/>
      <c r="F333" s="313" t="n"/>
      <c r="G333" s="37" t="n"/>
      <c r="H333" s="49" t="n"/>
      <c r="I333" s="49" t="n"/>
      <c r="J333" s="49" t="n"/>
    </row>
    <row r="334">
      <c r="A334" s="30" t="n">
        <v>330</v>
      </c>
      <c r="B334" s="51" t="n"/>
      <c r="C334" s="49" t="n"/>
      <c r="D334" s="49" t="n"/>
      <c r="E334" s="49" t="n"/>
      <c r="F334" s="313" t="n"/>
      <c r="G334" s="37" t="n"/>
      <c r="H334" s="49" t="n"/>
      <c r="I334" s="49" t="n"/>
      <c r="J334" s="49" t="n"/>
    </row>
    <row r="335">
      <c r="A335" s="30" t="n">
        <v>331</v>
      </c>
      <c r="B335" s="51" t="n"/>
      <c r="C335" s="49" t="n"/>
      <c r="D335" s="49" t="n"/>
      <c r="E335" s="49" t="n"/>
      <c r="F335" s="313" t="n"/>
      <c r="G335" s="37" t="n"/>
      <c r="H335" s="49" t="n"/>
      <c r="I335" s="49" t="n"/>
      <c r="J335" s="49" t="n"/>
    </row>
    <row r="336">
      <c r="A336" s="30" t="n">
        <v>332</v>
      </c>
      <c r="B336" s="51" t="n"/>
      <c r="C336" s="49" t="n"/>
      <c r="D336" s="49" t="n"/>
      <c r="E336" s="49" t="n"/>
      <c r="F336" s="313" t="n"/>
      <c r="G336" s="37" t="n"/>
      <c r="H336" s="49" t="n"/>
      <c r="I336" s="49" t="n"/>
      <c r="J336" s="49" t="n"/>
    </row>
    <row r="337">
      <c r="A337" s="30" t="n">
        <v>333</v>
      </c>
      <c r="B337" s="51" t="n"/>
      <c r="C337" s="49" t="n"/>
      <c r="D337" s="49" t="n"/>
      <c r="E337" s="49" t="n"/>
      <c r="F337" s="313" t="n"/>
      <c r="G337" s="37" t="n"/>
      <c r="H337" s="49" t="n"/>
      <c r="I337" s="49" t="n"/>
      <c r="J337" s="49" t="n"/>
    </row>
    <row r="338">
      <c r="A338" s="30" t="n">
        <v>334</v>
      </c>
      <c r="B338" s="51" t="n"/>
      <c r="C338" s="49" t="n"/>
      <c r="D338" s="49" t="n"/>
      <c r="E338" s="49" t="n"/>
      <c r="F338" s="313" t="n"/>
      <c r="G338" s="37" t="n"/>
      <c r="H338" s="49" t="n"/>
      <c r="I338" s="49" t="n"/>
      <c r="J338" s="49" t="n"/>
    </row>
    <row r="339">
      <c r="A339" s="30" t="n">
        <v>335</v>
      </c>
      <c r="B339" s="51" t="n"/>
      <c r="C339" s="49" t="n"/>
      <c r="D339" s="49" t="n"/>
      <c r="E339" s="49" t="n"/>
      <c r="F339" s="313" t="n"/>
      <c r="G339" s="37" t="n"/>
      <c r="H339" s="49" t="n"/>
      <c r="I339" s="49" t="n"/>
      <c r="J339" s="49" t="n"/>
    </row>
    <row r="340">
      <c r="A340" s="30" t="n">
        <v>336</v>
      </c>
      <c r="B340" s="51" t="n"/>
      <c r="C340" s="49" t="n"/>
      <c r="D340" s="49" t="n"/>
      <c r="E340" s="49" t="n"/>
      <c r="F340" s="313" t="n"/>
      <c r="G340" s="37" t="n"/>
      <c r="H340" s="49" t="n"/>
      <c r="I340" s="49" t="n"/>
      <c r="J340" s="49" t="n"/>
    </row>
    <row r="341">
      <c r="A341" s="30" t="n">
        <v>337</v>
      </c>
      <c r="B341" s="51" t="n"/>
      <c r="C341" s="49" t="n"/>
      <c r="D341" s="49" t="n"/>
      <c r="E341" s="49" t="n"/>
      <c r="F341" s="313" t="n"/>
      <c r="G341" s="37" t="n"/>
      <c r="H341" s="49" t="n"/>
      <c r="I341" s="49" t="n"/>
      <c r="J341" s="49" t="n"/>
    </row>
    <row r="342">
      <c r="A342" s="30" t="n">
        <v>338</v>
      </c>
      <c r="B342" s="51" t="n"/>
      <c r="C342" s="49" t="n"/>
      <c r="D342" s="49" t="n"/>
      <c r="E342" s="49" t="n"/>
      <c r="F342" s="313" t="n"/>
      <c r="G342" s="37" t="n"/>
      <c r="H342" s="49" t="n"/>
      <c r="I342" s="49" t="n"/>
      <c r="J342" s="49" t="n"/>
    </row>
    <row r="343">
      <c r="A343" s="30" t="n">
        <v>339</v>
      </c>
      <c r="B343" s="51" t="n"/>
      <c r="C343" s="49" t="n"/>
      <c r="D343" s="49" t="n"/>
      <c r="E343" s="49" t="n"/>
      <c r="F343" s="313" t="n"/>
      <c r="G343" s="37" t="n"/>
      <c r="H343" s="49" t="n"/>
      <c r="I343" s="49" t="n"/>
      <c r="J343" s="49" t="n"/>
    </row>
    <row r="344">
      <c r="A344" s="30" t="n">
        <v>340</v>
      </c>
      <c r="B344" s="51" t="n"/>
      <c r="C344" s="49" t="n"/>
      <c r="D344" s="49" t="n"/>
      <c r="E344" s="49" t="n"/>
      <c r="F344" s="313" t="n"/>
      <c r="G344" s="37" t="n"/>
      <c r="H344" s="49" t="n"/>
      <c r="I344" s="49" t="n"/>
      <c r="J344" s="49" t="n"/>
    </row>
    <row r="345">
      <c r="A345" s="30" t="n">
        <v>341</v>
      </c>
      <c r="B345" s="51" t="n"/>
      <c r="C345" s="49" t="n"/>
      <c r="D345" s="49" t="n"/>
      <c r="E345" s="49" t="n"/>
      <c r="F345" s="313" t="n"/>
      <c r="G345" s="37" t="n"/>
      <c r="H345" s="49" t="n"/>
      <c r="I345" s="49" t="n"/>
      <c r="J345" s="49" t="n"/>
    </row>
    <row r="346">
      <c r="A346" s="30" t="n">
        <v>342</v>
      </c>
      <c r="B346" s="51" t="n"/>
      <c r="C346" s="49" t="n"/>
      <c r="D346" s="49" t="n"/>
      <c r="E346" s="49" t="n"/>
      <c r="F346" s="313" t="n"/>
      <c r="G346" s="37" t="n"/>
      <c r="H346" s="49" t="n"/>
      <c r="I346" s="49" t="n"/>
      <c r="J346" s="49" t="n"/>
    </row>
    <row r="347">
      <c r="A347" s="30" t="n">
        <v>343</v>
      </c>
      <c r="B347" s="51" t="n"/>
      <c r="C347" s="49" t="n"/>
      <c r="D347" s="49" t="n"/>
      <c r="E347" s="49" t="n"/>
      <c r="F347" s="313" t="n"/>
      <c r="G347" s="37" t="n"/>
      <c r="H347" s="49" t="n"/>
      <c r="I347" s="49" t="n"/>
      <c r="J347" s="49" t="n"/>
    </row>
    <row r="348">
      <c r="A348" s="30" t="n">
        <v>344</v>
      </c>
      <c r="B348" s="51" t="n"/>
      <c r="C348" s="49" t="n"/>
      <c r="D348" s="49" t="n"/>
      <c r="E348" s="49" t="n"/>
      <c r="F348" s="313" t="n"/>
      <c r="G348" s="37" t="n"/>
      <c r="H348" s="49" t="n"/>
      <c r="I348" s="49" t="n"/>
      <c r="J348" s="49" t="n"/>
    </row>
    <row r="349">
      <c r="A349" s="30" t="n">
        <v>345</v>
      </c>
      <c r="B349" s="51" t="n"/>
      <c r="C349" s="49" t="n"/>
      <c r="D349" s="49" t="n"/>
      <c r="E349" s="49" t="n"/>
      <c r="F349" s="313" t="n"/>
      <c r="G349" s="37" t="n"/>
      <c r="H349" s="49" t="n"/>
      <c r="I349" s="49" t="n"/>
      <c r="J349" s="49" t="n"/>
    </row>
    <row r="350">
      <c r="A350" s="30" t="n">
        <v>346</v>
      </c>
      <c r="B350" s="51" t="n"/>
      <c r="C350" s="49" t="n"/>
      <c r="D350" s="49" t="n"/>
      <c r="E350" s="49" t="n"/>
      <c r="F350" s="313" t="n"/>
      <c r="G350" s="37" t="n"/>
      <c r="H350" s="49" t="n"/>
      <c r="I350" s="49" t="n"/>
      <c r="J350" s="49" t="n"/>
    </row>
    <row r="351">
      <c r="A351" s="30" t="n">
        <v>347</v>
      </c>
      <c r="B351" s="51" t="n"/>
      <c r="C351" s="49" t="n"/>
      <c r="D351" s="49" t="n"/>
      <c r="E351" s="49" t="n"/>
      <c r="F351" s="313" t="n"/>
      <c r="G351" s="37" t="n"/>
      <c r="H351" s="49" t="n"/>
      <c r="I351" s="49" t="n"/>
      <c r="J351" s="49" t="n"/>
    </row>
    <row r="352">
      <c r="A352" s="30" t="n">
        <v>348</v>
      </c>
      <c r="B352" s="51" t="n"/>
      <c r="C352" s="49" t="n"/>
      <c r="D352" s="49" t="n"/>
      <c r="E352" s="49" t="n"/>
      <c r="F352" s="313" t="n"/>
      <c r="G352" s="37" t="n"/>
      <c r="H352" s="49" t="n"/>
      <c r="I352" s="49" t="n"/>
      <c r="J352" s="49" t="n"/>
    </row>
    <row r="353">
      <c r="A353" s="30" t="n">
        <v>349</v>
      </c>
      <c r="B353" s="51" t="n"/>
      <c r="C353" s="49" t="n"/>
      <c r="D353" s="49" t="n"/>
      <c r="E353" s="49" t="n"/>
      <c r="F353" s="313" t="n"/>
      <c r="G353" s="37" t="n"/>
      <c r="H353" s="49" t="n"/>
      <c r="I353" s="49" t="n"/>
      <c r="J353" s="49" t="n"/>
    </row>
    <row r="354">
      <c r="A354" s="30" t="n">
        <v>350</v>
      </c>
      <c r="B354" s="51" t="n"/>
      <c r="C354" s="49" t="n"/>
      <c r="D354" s="49" t="n"/>
      <c r="E354" s="49" t="n"/>
      <c r="F354" s="313" t="n"/>
      <c r="G354" s="37" t="n"/>
      <c r="H354" s="49" t="n"/>
      <c r="I354" s="49" t="n"/>
      <c r="J354" s="49" t="n"/>
    </row>
    <row r="355">
      <c r="A355" s="30" t="n">
        <v>351</v>
      </c>
      <c r="B355" s="51" t="n"/>
      <c r="C355" s="49" t="n"/>
      <c r="D355" s="49" t="n"/>
      <c r="E355" s="49" t="n"/>
      <c r="F355" s="313" t="n"/>
      <c r="G355" s="37" t="n"/>
      <c r="H355" s="49" t="n"/>
      <c r="I355" s="49" t="n"/>
      <c r="J355" s="49" t="n"/>
    </row>
    <row r="356">
      <c r="A356" s="30" t="n">
        <v>352</v>
      </c>
      <c r="B356" s="51" t="n"/>
      <c r="C356" s="49" t="n"/>
      <c r="D356" s="49" t="n"/>
      <c r="E356" s="49" t="n"/>
      <c r="F356" s="313" t="n"/>
      <c r="G356" s="37" t="n"/>
      <c r="H356" s="49" t="n"/>
      <c r="I356" s="49" t="n"/>
      <c r="J356" s="49" t="n"/>
    </row>
    <row r="357">
      <c r="A357" s="30" t="n">
        <v>353</v>
      </c>
      <c r="B357" s="51" t="n"/>
      <c r="C357" s="49" t="n"/>
      <c r="D357" s="49" t="n"/>
      <c r="E357" s="49" t="n"/>
      <c r="F357" s="313" t="n"/>
      <c r="G357" s="37" t="n"/>
      <c r="H357" s="49" t="n"/>
      <c r="I357" s="49" t="n"/>
      <c r="J357" s="49" t="n"/>
    </row>
    <row r="358">
      <c r="A358" s="30" t="n">
        <v>354</v>
      </c>
      <c r="B358" s="51" t="n"/>
      <c r="C358" s="49" t="n"/>
      <c r="D358" s="49" t="n"/>
      <c r="E358" s="49" t="n"/>
      <c r="F358" s="313" t="n"/>
      <c r="G358" s="37" t="n"/>
      <c r="H358" s="49" t="n"/>
      <c r="I358" s="49" t="n"/>
      <c r="J358" s="49" t="n"/>
    </row>
    <row r="359">
      <c r="A359" s="30" t="n">
        <v>355</v>
      </c>
      <c r="B359" s="51" t="n"/>
      <c r="C359" s="49" t="n"/>
      <c r="D359" s="49" t="n"/>
      <c r="E359" s="49" t="n"/>
      <c r="F359" s="313" t="n"/>
      <c r="G359" s="37" t="n"/>
      <c r="H359" s="49" t="n"/>
      <c r="I359" s="49" t="n"/>
      <c r="J359" s="49" t="n"/>
    </row>
    <row r="360">
      <c r="A360" s="30" t="n">
        <v>356</v>
      </c>
      <c r="B360" s="51" t="n"/>
      <c r="C360" s="49" t="n"/>
      <c r="D360" s="49" t="n"/>
      <c r="E360" s="49" t="n"/>
      <c r="F360" s="313" t="n"/>
      <c r="G360" s="37" t="n"/>
      <c r="H360" s="49" t="n"/>
      <c r="I360" s="49" t="n"/>
      <c r="J360" s="49" t="n"/>
    </row>
    <row r="361">
      <c r="A361" s="30" t="n">
        <v>357</v>
      </c>
      <c r="B361" s="51" t="n"/>
      <c r="C361" s="49" t="n"/>
      <c r="D361" s="49" t="n"/>
      <c r="E361" s="49" t="n"/>
      <c r="F361" s="313" t="n"/>
      <c r="G361" s="37" t="n"/>
      <c r="H361" s="49" t="n"/>
      <c r="I361" s="49" t="n"/>
      <c r="J361" s="49" t="n"/>
    </row>
    <row r="362">
      <c r="A362" s="30" t="n">
        <v>358</v>
      </c>
      <c r="B362" s="51" t="n"/>
      <c r="C362" s="49" t="n"/>
      <c r="D362" s="49" t="n"/>
      <c r="E362" s="49" t="n"/>
      <c r="F362" s="313" t="n"/>
      <c r="G362" s="37" t="n"/>
      <c r="H362" s="49" t="n"/>
      <c r="I362" s="49" t="n"/>
      <c r="J362" s="49" t="n"/>
    </row>
    <row r="363">
      <c r="A363" s="30" t="n">
        <v>359</v>
      </c>
      <c r="B363" s="51" t="n"/>
      <c r="C363" s="49" t="n"/>
      <c r="D363" s="49" t="n"/>
      <c r="E363" s="49" t="n"/>
      <c r="F363" s="313" t="n"/>
      <c r="G363" s="37" t="n"/>
      <c r="H363" s="49" t="n"/>
      <c r="I363" s="49" t="n"/>
      <c r="J363" s="49" t="n"/>
    </row>
    <row r="364">
      <c r="A364" s="30" t="n">
        <v>360</v>
      </c>
      <c r="B364" s="51" t="n"/>
      <c r="C364" s="49" t="n"/>
      <c r="D364" s="49" t="n"/>
      <c r="E364" s="49" t="n"/>
      <c r="F364" s="313" t="n"/>
      <c r="G364" s="37" t="n"/>
      <c r="H364" s="49" t="n"/>
      <c r="I364" s="49" t="n"/>
      <c r="J364" s="49" t="n"/>
    </row>
    <row r="365">
      <c r="A365" s="30" t="n">
        <v>361</v>
      </c>
      <c r="B365" s="51" t="n"/>
      <c r="C365" s="49" t="n"/>
      <c r="D365" s="49" t="n"/>
      <c r="E365" s="49" t="n"/>
      <c r="F365" s="313" t="n"/>
      <c r="G365" s="37" t="n"/>
      <c r="H365" s="49" t="n"/>
      <c r="I365" s="49" t="n"/>
      <c r="J365" s="49" t="n"/>
    </row>
    <row r="366">
      <c r="A366" s="30" t="n">
        <v>362</v>
      </c>
      <c r="B366" s="51" t="n"/>
      <c r="C366" s="49" t="n"/>
      <c r="D366" s="49" t="n"/>
      <c r="E366" s="49" t="n"/>
      <c r="F366" s="313" t="n"/>
      <c r="G366" s="37" t="n"/>
      <c r="H366" s="49" t="n"/>
      <c r="I366" s="49" t="n"/>
      <c r="J366" s="49" t="n"/>
    </row>
    <row r="367">
      <c r="A367" s="30" t="n">
        <v>363</v>
      </c>
      <c r="B367" s="51" t="n"/>
      <c r="C367" s="49" t="n"/>
      <c r="D367" s="49" t="n"/>
      <c r="E367" s="49" t="n"/>
      <c r="F367" s="313" t="n"/>
      <c r="G367" s="37" t="n"/>
      <c r="H367" s="49" t="n"/>
      <c r="I367" s="49" t="n"/>
      <c r="J367" s="49" t="n"/>
    </row>
    <row r="368">
      <c r="A368" s="30" t="n">
        <v>364</v>
      </c>
      <c r="B368" s="51" t="n"/>
      <c r="C368" s="49" t="n"/>
      <c r="D368" s="49" t="n"/>
      <c r="E368" s="49" t="n"/>
      <c r="F368" s="313" t="n"/>
      <c r="G368" s="37" t="n"/>
      <c r="H368" s="49" t="n"/>
      <c r="I368" s="49" t="n"/>
      <c r="J368" s="49" t="n"/>
    </row>
    <row r="369">
      <c r="A369" s="30" t="n">
        <v>365</v>
      </c>
      <c r="B369" s="51" t="n"/>
      <c r="C369" s="49" t="n"/>
      <c r="D369" s="49" t="n"/>
      <c r="E369" s="49" t="n"/>
      <c r="F369" s="313" t="n"/>
      <c r="G369" s="37" t="n"/>
      <c r="H369" s="49" t="n"/>
      <c r="I369" s="49" t="n"/>
      <c r="J369" s="49" t="n"/>
    </row>
    <row r="370">
      <c r="A370" s="30" t="n">
        <v>366</v>
      </c>
      <c r="B370" s="51" t="n"/>
      <c r="C370" s="49" t="n"/>
      <c r="D370" s="49" t="n"/>
      <c r="E370" s="49" t="n"/>
      <c r="F370" s="313" t="n"/>
      <c r="G370" s="37" t="n"/>
      <c r="H370" s="49" t="n"/>
      <c r="I370" s="49" t="n"/>
      <c r="J370" s="49" t="n"/>
    </row>
    <row r="371">
      <c r="A371" s="30" t="n">
        <v>367</v>
      </c>
      <c r="B371" s="51" t="n"/>
      <c r="C371" s="49" t="n"/>
      <c r="D371" s="49" t="n"/>
      <c r="E371" s="49" t="n"/>
      <c r="F371" s="313" t="n"/>
      <c r="G371" s="37" t="n"/>
      <c r="H371" s="49" t="n"/>
      <c r="I371" s="49" t="n"/>
      <c r="J371" s="49" t="n"/>
    </row>
    <row r="372">
      <c r="A372" s="30" t="n">
        <v>368</v>
      </c>
      <c r="B372" s="51" t="n"/>
      <c r="C372" s="49" t="n"/>
      <c r="D372" s="49" t="n"/>
      <c r="E372" s="49" t="n"/>
      <c r="F372" s="313" t="n"/>
      <c r="G372" s="37" t="n"/>
      <c r="H372" s="49" t="n"/>
      <c r="I372" s="49" t="n"/>
      <c r="J372" s="49" t="n"/>
    </row>
    <row r="373">
      <c r="A373" s="30" t="n">
        <v>369</v>
      </c>
      <c r="B373" s="51" t="n"/>
      <c r="C373" s="49" t="n"/>
      <c r="D373" s="49" t="n"/>
      <c r="E373" s="49" t="n"/>
      <c r="F373" s="313" t="n"/>
      <c r="G373" s="37" t="n"/>
      <c r="H373" s="49" t="n"/>
      <c r="I373" s="49" t="n"/>
      <c r="J373" s="49" t="n"/>
    </row>
    <row r="374">
      <c r="A374" s="30" t="n">
        <v>370</v>
      </c>
      <c r="B374" s="51" t="n"/>
      <c r="C374" s="49" t="n"/>
      <c r="D374" s="49" t="n"/>
      <c r="E374" s="49" t="n"/>
      <c r="F374" s="313" t="n"/>
      <c r="G374" s="37" t="n"/>
      <c r="H374" s="49" t="n"/>
      <c r="I374" s="49" t="n"/>
      <c r="J374" s="49" t="n"/>
    </row>
    <row r="375">
      <c r="A375" s="30" t="n">
        <v>371</v>
      </c>
      <c r="B375" s="51" t="n"/>
      <c r="C375" s="49" t="n"/>
      <c r="D375" s="49" t="n"/>
      <c r="E375" s="49" t="n"/>
      <c r="F375" s="313" t="n"/>
      <c r="G375" s="37" t="n"/>
      <c r="H375" s="49" t="n"/>
      <c r="I375" s="49" t="n"/>
      <c r="J375" s="49" t="n"/>
    </row>
    <row r="376">
      <c r="A376" s="30" t="n">
        <v>372</v>
      </c>
      <c r="B376" s="51" t="n"/>
      <c r="C376" s="49" t="n"/>
      <c r="D376" s="49" t="n"/>
      <c r="E376" s="49" t="n"/>
      <c r="F376" s="313" t="n"/>
      <c r="G376" s="37" t="n"/>
      <c r="H376" s="49" t="n"/>
      <c r="I376" s="49" t="n"/>
      <c r="J376" s="49" t="n"/>
    </row>
    <row r="377">
      <c r="A377" s="30" t="n">
        <v>373</v>
      </c>
      <c r="B377" s="51" t="n"/>
      <c r="C377" s="49" t="n"/>
      <c r="D377" s="49" t="n"/>
      <c r="E377" s="49" t="n"/>
      <c r="F377" s="313" t="n"/>
      <c r="G377" s="37" t="n"/>
      <c r="H377" s="49" t="n"/>
      <c r="I377" s="49" t="n"/>
      <c r="J377" s="49" t="n"/>
    </row>
    <row r="378">
      <c r="A378" s="30" t="n">
        <v>374</v>
      </c>
      <c r="B378" s="51" t="n"/>
      <c r="C378" s="49" t="n"/>
      <c r="D378" s="49" t="n"/>
      <c r="E378" s="49" t="n"/>
      <c r="F378" s="313" t="n"/>
      <c r="G378" s="37" t="n"/>
      <c r="H378" s="49" t="n"/>
      <c r="I378" s="49" t="n"/>
      <c r="J378" s="49" t="n"/>
    </row>
    <row r="379">
      <c r="A379" s="30" t="n">
        <v>375</v>
      </c>
      <c r="B379" s="51" t="n"/>
      <c r="C379" s="49" t="n"/>
      <c r="D379" s="49" t="n"/>
      <c r="E379" s="49" t="n"/>
      <c r="F379" s="313" t="n"/>
      <c r="G379" s="37" t="n"/>
      <c r="H379" s="49" t="n"/>
      <c r="I379" s="49" t="n"/>
      <c r="J379" s="49" t="n"/>
    </row>
    <row r="380">
      <c r="A380" s="30" t="n">
        <v>376</v>
      </c>
      <c r="B380" s="51" t="n"/>
      <c r="C380" s="49" t="n"/>
      <c r="D380" s="49" t="n"/>
      <c r="E380" s="49" t="n"/>
      <c r="F380" s="313" t="n"/>
      <c r="G380" s="37" t="n"/>
      <c r="H380" s="49" t="n"/>
      <c r="I380" s="49" t="n"/>
      <c r="J380" s="49" t="n"/>
    </row>
    <row r="381">
      <c r="A381" s="30" t="n">
        <v>377</v>
      </c>
      <c r="B381" s="51" t="n"/>
      <c r="C381" s="49" t="n"/>
      <c r="D381" s="49" t="n"/>
      <c r="E381" s="49" t="n"/>
      <c r="F381" s="313" t="n"/>
      <c r="G381" s="37" t="n"/>
      <c r="H381" s="49" t="n"/>
      <c r="I381" s="49" t="n"/>
      <c r="J381" s="49" t="n"/>
    </row>
    <row r="382">
      <c r="A382" s="30" t="n">
        <v>378</v>
      </c>
      <c r="B382" s="51" t="n"/>
      <c r="C382" s="49" t="n"/>
      <c r="D382" s="49" t="n"/>
      <c r="E382" s="49" t="n"/>
      <c r="F382" s="313" t="n"/>
      <c r="G382" s="37" t="n"/>
      <c r="H382" s="49" t="n"/>
      <c r="I382" s="49" t="n"/>
      <c r="J382" s="49" t="n"/>
    </row>
    <row r="383">
      <c r="A383" s="30" t="n">
        <v>379</v>
      </c>
      <c r="B383" s="51" t="n"/>
      <c r="C383" s="49" t="n"/>
      <c r="D383" s="49" t="n"/>
      <c r="E383" s="49" t="n"/>
      <c r="F383" s="313" t="n"/>
      <c r="G383" s="37" t="n"/>
      <c r="H383" s="49" t="n"/>
      <c r="I383" s="49" t="n"/>
      <c r="J383" s="49" t="n"/>
    </row>
    <row r="384">
      <c r="A384" s="30" t="n">
        <v>380</v>
      </c>
      <c r="B384" s="51" t="n"/>
      <c r="C384" s="49" t="n"/>
      <c r="D384" s="49" t="n"/>
      <c r="E384" s="49" t="n"/>
      <c r="F384" s="313" t="n"/>
      <c r="G384" s="37" t="n"/>
      <c r="H384" s="49" t="n"/>
      <c r="I384" s="49" t="n"/>
      <c r="J384" s="49" t="n"/>
    </row>
    <row r="385">
      <c r="A385" s="30" t="n">
        <v>381</v>
      </c>
      <c r="B385" s="51" t="n"/>
      <c r="C385" s="49" t="n"/>
      <c r="D385" s="49" t="n"/>
      <c r="E385" s="49" t="n"/>
      <c r="F385" s="313" t="n"/>
      <c r="G385" s="37" t="n"/>
      <c r="H385" s="49" t="n"/>
      <c r="I385" s="49" t="n"/>
      <c r="J385" s="49" t="n"/>
    </row>
    <row r="386">
      <c r="A386" s="30" t="n">
        <v>382</v>
      </c>
      <c r="B386" s="51" t="n"/>
      <c r="C386" s="49" t="n"/>
      <c r="D386" s="49" t="n"/>
      <c r="E386" s="49" t="n"/>
      <c r="F386" s="313" t="n"/>
      <c r="G386" s="37" t="n"/>
      <c r="H386" s="49" t="n"/>
      <c r="I386" s="49" t="n"/>
      <c r="J386" s="49" t="n"/>
    </row>
    <row r="387">
      <c r="A387" s="30" t="n">
        <v>383</v>
      </c>
      <c r="B387" s="51" t="n"/>
      <c r="C387" s="49" t="n"/>
      <c r="D387" s="49" t="n"/>
      <c r="E387" s="49" t="n"/>
      <c r="F387" s="313" t="n"/>
      <c r="G387" s="37" t="n"/>
      <c r="H387" s="49" t="n"/>
      <c r="I387" s="49" t="n"/>
      <c r="J387" s="49" t="n"/>
    </row>
    <row r="388">
      <c r="A388" s="30" t="n">
        <v>384</v>
      </c>
      <c r="B388" s="51" t="n"/>
      <c r="C388" s="49" t="n"/>
      <c r="D388" s="49" t="n"/>
      <c r="E388" s="49" t="n"/>
      <c r="F388" s="313" t="n"/>
      <c r="G388" s="37" t="n"/>
      <c r="H388" s="49" t="n"/>
      <c r="I388" s="49" t="n"/>
      <c r="J388" s="49" t="n"/>
    </row>
    <row r="389">
      <c r="A389" s="30" t="n">
        <v>385</v>
      </c>
      <c r="B389" s="51" t="n"/>
      <c r="C389" s="49" t="n"/>
      <c r="D389" s="49" t="n"/>
      <c r="E389" s="49" t="n"/>
      <c r="F389" s="313" t="n"/>
      <c r="G389" s="37" t="n"/>
      <c r="H389" s="49" t="n"/>
      <c r="I389" s="49" t="n"/>
      <c r="J389" s="49" t="n"/>
    </row>
    <row r="390">
      <c r="A390" s="30" t="n">
        <v>386</v>
      </c>
      <c r="B390" s="51" t="n"/>
      <c r="C390" s="49" t="n"/>
      <c r="D390" s="49" t="n"/>
      <c r="E390" s="49" t="n"/>
      <c r="F390" s="313" t="n"/>
      <c r="G390" s="37" t="n"/>
      <c r="H390" s="49" t="n"/>
      <c r="I390" s="49" t="n"/>
      <c r="J390" s="49" t="n"/>
    </row>
    <row r="391">
      <c r="A391" s="30" t="n">
        <v>387</v>
      </c>
      <c r="B391" s="51" t="n"/>
      <c r="C391" s="49" t="n"/>
      <c r="D391" s="49" t="n"/>
      <c r="E391" s="49" t="n"/>
      <c r="F391" s="313" t="n"/>
      <c r="G391" s="37" t="n"/>
      <c r="H391" s="49" t="n"/>
      <c r="I391" s="49" t="n"/>
      <c r="J391" s="49" t="n"/>
    </row>
    <row r="392">
      <c r="A392" s="30" t="n">
        <v>388</v>
      </c>
      <c r="B392" s="51" t="n"/>
      <c r="C392" s="49" t="n"/>
      <c r="D392" s="49" t="n"/>
      <c r="E392" s="49" t="n"/>
      <c r="F392" s="313" t="n"/>
      <c r="G392" s="37" t="n"/>
      <c r="H392" s="49" t="n"/>
      <c r="I392" s="49" t="n"/>
      <c r="J392" s="49" t="n"/>
    </row>
    <row r="393">
      <c r="A393" s="30" t="n">
        <v>389</v>
      </c>
      <c r="B393" s="51" t="n"/>
      <c r="C393" s="49" t="n"/>
      <c r="D393" s="49" t="n"/>
      <c r="E393" s="49" t="n"/>
      <c r="F393" s="313" t="n"/>
      <c r="G393" s="37" t="n"/>
      <c r="H393" s="49" t="n"/>
      <c r="I393" s="49" t="n"/>
      <c r="J393" s="49" t="n"/>
    </row>
    <row r="394">
      <c r="A394" s="30" t="n">
        <v>390</v>
      </c>
      <c r="B394" s="51" t="n"/>
      <c r="C394" s="49" t="n"/>
      <c r="D394" s="49" t="n"/>
      <c r="E394" s="49" t="n"/>
      <c r="F394" s="313" t="n"/>
      <c r="G394" s="37" t="n"/>
      <c r="H394" s="49" t="n"/>
      <c r="I394" s="49" t="n"/>
      <c r="J394" s="49" t="n"/>
    </row>
    <row r="395">
      <c r="A395" s="30" t="n">
        <v>391</v>
      </c>
      <c r="B395" s="51" t="n"/>
      <c r="C395" s="49" t="n"/>
      <c r="D395" s="49" t="n"/>
      <c r="E395" s="49" t="n"/>
      <c r="F395" s="313" t="n"/>
      <c r="G395" s="37" t="n"/>
      <c r="H395" s="49" t="n"/>
      <c r="I395" s="49" t="n"/>
      <c r="J395" s="49" t="n"/>
    </row>
    <row r="396">
      <c r="A396" s="30" t="n">
        <v>392</v>
      </c>
      <c r="B396" s="51" t="n"/>
      <c r="C396" s="49" t="n"/>
      <c r="D396" s="49" t="n"/>
      <c r="E396" s="49" t="n"/>
      <c r="F396" s="313" t="n"/>
      <c r="G396" s="37" t="n"/>
      <c r="H396" s="49" t="n"/>
      <c r="I396" s="49" t="n"/>
      <c r="J396" s="49" t="n"/>
    </row>
    <row r="397">
      <c r="A397" s="30" t="n">
        <v>393</v>
      </c>
      <c r="B397" s="51" t="n"/>
      <c r="C397" s="49" t="n"/>
      <c r="D397" s="49" t="n"/>
      <c r="E397" s="49" t="n"/>
      <c r="F397" s="313" t="n"/>
      <c r="G397" s="37" t="n"/>
      <c r="H397" s="49" t="n"/>
      <c r="I397" s="49" t="n"/>
      <c r="J397" s="49" t="n"/>
    </row>
    <row r="398">
      <c r="A398" s="30" t="n">
        <v>394</v>
      </c>
      <c r="B398" s="51" t="n"/>
      <c r="C398" s="49" t="n"/>
      <c r="D398" s="49" t="n"/>
      <c r="E398" s="49" t="n"/>
      <c r="F398" s="313" t="n"/>
      <c r="G398" s="37" t="n"/>
      <c r="H398" s="49" t="n"/>
      <c r="I398" s="49" t="n"/>
      <c r="J398" s="49" t="n"/>
    </row>
    <row r="399">
      <c r="A399" s="30" t="n">
        <v>395</v>
      </c>
      <c r="B399" s="51" t="n"/>
      <c r="C399" s="49" t="n"/>
      <c r="D399" s="49" t="n"/>
      <c r="E399" s="49" t="n"/>
      <c r="F399" s="313" t="n"/>
      <c r="G399" s="37" t="n"/>
      <c r="H399" s="49" t="n"/>
      <c r="I399" s="49" t="n"/>
      <c r="J399" s="49" t="n"/>
    </row>
    <row r="400">
      <c r="A400" s="30" t="n">
        <v>396</v>
      </c>
      <c r="B400" s="51" t="n"/>
      <c r="C400" s="49" t="n"/>
      <c r="D400" s="49" t="n"/>
      <c r="E400" s="49" t="n"/>
      <c r="F400" s="313" t="n"/>
      <c r="G400" s="37" t="n"/>
      <c r="H400" s="49" t="n"/>
      <c r="I400" s="49" t="n"/>
      <c r="J400" s="49" t="n"/>
    </row>
    <row r="401">
      <c r="A401" s="30" t="n">
        <v>397</v>
      </c>
      <c r="B401" s="51" t="n"/>
      <c r="C401" s="49" t="n"/>
      <c r="D401" s="49" t="n"/>
      <c r="E401" s="49" t="n"/>
      <c r="F401" s="313" t="n"/>
      <c r="G401" s="37" t="n"/>
      <c r="H401" s="49" t="n"/>
      <c r="I401" s="49" t="n"/>
      <c r="J401" s="49" t="n"/>
    </row>
    <row r="402">
      <c r="A402" s="30" t="n">
        <v>398</v>
      </c>
      <c r="B402" s="51" t="n"/>
      <c r="C402" s="49" t="n"/>
      <c r="D402" s="49" t="n"/>
      <c r="E402" s="49" t="n"/>
      <c r="F402" s="313" t="n"/>
      <c r="G402" s="37" t="n"/>
      <c r="H402" s="49" t="n"/>
      <c r="I402" s="49" t="n"/>
      <c r="J402" s="49" t="n"/>
    </row>
    <row r="403">
      <c r="A403" s="30" t="n">
        <v>399</v>
      </c>
      <c r="B403" s="51" t="n"/>
      <c r="C403" s="49" t="n"/>
      <c r="D403" s="49" t="n"/>
      <c r="E403" s="49" t="n"/>
      <c r="F403" s="313" t="n"/>
      <c r="G403" s="37" t="n"/>
      <c r="H403" s="49" t="n"/>
      <c r="I403" s="49" t="n"/>
      <c r="J403" s="49" t="n"/>
    </row>
    <row r="404">
      <c r="A404" s="30" t="n">
        <v>400</v>
      </c>
      <c r="B404" s="51" t="n"/>
      <c r="C404" s="49" t="n"/>
      <c r="D404" s="49" t="n"/>
      <c r="E404" s="49" t="n"/>
      <c r="F404" s="313" t="n"/>
      <c r="G404" s="37" t="n"/>
      <c r="H404" s="49" t="n"/>
      <c r="I404" s="49" t="n"/>
      <c r="J404" s="49" t="n"/>
    </row>
  </sheetData>
  <dataValidations count="3">
    <dataValidation sqref="C5:C404" showDropDown="0" showInputMessage="0" showErrorMessage="0" allowBlank="1" type="list">
      <formula1>"342,343,281"</formula1>
    </dataValidation>
    <dataValidation sqref="D5:D404" showDropDown="0" showInputMessage="0" showErrorMessage="0" allowBlank="1" type="list">
      <formula1>"MO,EQP,MAT,TER,ADM,SEG,TRIB,FIN"</formula1>
    </dataValidation>
    <dataValidation sqref="J5:J404" showDropDown="0" showInputMessage="0" showErrorMessage="0" allowBlank="1" type="list">
      <formula1>"PAGO,A PAGAR"</formula1>
    </dataValidation>
  </dataValidations>
  <hyperlinks>
    <hyperlink ref="K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24.xml><?xml version="1.0" encoding="utf-8"?>
<worksheet xmlns="http://schemas.openxmlformats.org/spreadsheetml/2006/main">
  <sheetPr>
    <tabColor rgb="FFA6A6A6"/>
    <outlinePr summaryBelow="1" summaryRight="1"/>
    <pageSetUpPr fitToPage="1"/>
  </sheetPr>
  <dimension ref="A1:J26"/>
  <sheetViews>
    <sheetView showGridLines="0" workbookViewId="0">
      <selection activeCell="A1" sqref="A1"/>
    </sheetView>
  </sheetViews>
  <sheetFormatPr baseColWidth="8" defaultRowHeight="15"/>
  <cols>
    <col width="8" customWidth="1" style="71" min="1" max="1"/>
    <col width="50" customWidth="1" style="71" min="2" max="2"/>
    <col width="16" customWidth="1" style="71" min="3" max="6"/>
    <col width="12" customWidth="1" style="71" min="7" max="7"/>
    <col width="16" customWidth="1" style="71" min="8" max="8"/>
  </cols>
  <sheetData>
    <row r="1" ht="26.1" customHeight="1" s="71">
      <c r="A1" s="1" t="inlineStr">
        <is>
          <t>08A. CUSTO POR OBRA: previsto (04) × realizado (08. CUSTOS), por conta</t>
        </is>
      </c>
      <c r="B1" s="2" t="n"/>
      <c r="C1" s="2" t="n"/>
      <c r="D1" s="2" t="n"/>
      <c r="E1" s="2" t="n"/>
      <c r="F1" s="2" t="n"/>
      <c r="G1" s="2" t="n"/>
      <c r="H1" s="2" t="n"/>
      <c r="I1" s="2" t="n"/>
      <c r="J1" s="3" t="inlineStr">
        <is>
          <t>◀ MENU</t>
        </is>
      </c>
    </row>
    <row r="2">
      <c r="A2" s="4" t="inlineStr">
        <is>
          <t>Previsto até o corte = soma do plano (04) até o mês da data de corte (02). Desvio positivo = gastou mais. Último pagamento lançado há mais de 35 dias (01A L14): desvio e saldo SEM BASE.</t>
        </is>
      </c>
    </row>
    <row r="3"/>
    <row r="4">
      <c r="A4" s="10" t="inlineStr">
        <is>
          <t>OBRA 342 — SANEAGO UTR Santo Antônio do Descoberto</t>
        </is>
      </c>
      <c r="B4" s="11" t="n"/>
      <c r="C4" s="11" t="n"/>
      <c r="D4" s="11" t="n"/>
      <c r="E4" s="11" t="n"/>
      <c r="F4" s="11" t="n"/>
      <c r="G4" s="11" t="n"/>
      <c r="H4" s="11" t="n"/>
      <c r="I4" s="11" t="n"/>
    </row>
    <row r="5" ht="30" customHeight="1" s="71">
      <c r="A5" s="23" t="inlineStr">
        <is>
          <t>CONTA</t>
        </is>
      </c>
      <c r="B5" s="23" t="inlineStr">
        <is>
          <t>DESCRIÇÃO</t>
        </is>
      </c>
      <c r="C5" s="23" t="inlineStr">
        <is>
          <t>PREVISTO TOTAL (estudo REV13, 04)</t>
        </is>
      </c>
      <c r="D5" s="23" t="inlineStr">
        <is>
          <t>PREVISTO ATÉ O CORTE</t>
        </is>
      </c>
      <c r="E5" s="23" t="inlineStr">
        <is>
          <t>REALIZADO ATÉ O CORTE</t>
        </is>
      </c>
      <c r="F5" s="23" t="inlineStr">
        <is>
          <t>DESVIO (R$)</t>
        </is>
      </c>
      <c r="G5" s="23" t="inlineStr">
        <is>
          <t>DESVIO %</t>
        </is>
      </c>
      <c r="H5" s="23" t="inlineStr">
        <is>
          <t>SALDO A GASTAR (previsto − realizado)</t>
        </is>
      </c>
    </row>
    <row r="6">
      <c r="A6" s="5" t="inlineStr">
        <is>
          <t>MO</t>
        </is>
      </c>
      <c r="B6" s="30" t="inlineStr">
        <is>
          <t>Mão de obra de campo (salário, encargos, benefícios)</t>
        </is>
      </c>
      <c r="C6" s="297">
        <f>'04. PLANO DAS OBRAS'!S8</f>
        <v>567086.48</v>
      </c>
      <c r="D6" s="297">
        <f>SUM(OFFSET('04. PLANO DAS OBRAS'!$C$8,0,0,1,MAX(1,MAX(0,MIN(16,(YEAR('02. PARÂMETROS'!$B$5)-2026)*12+MONTH('02. PARÂMETROS'!$B$5)-8)))))*(MAX(0,MIN(16,(YEAR('02. PARÂMETROS'!$B$5)-2026)*12+MONTH('02. PARÂMETROS'!$B$5)-8))&gt;0)</f>
        <v>0</v>
      </c>
      <c r="E6" s="315">
        <f>SUMIFS('08. CUSTOS'!$F$5:$F$404,'08. CUSTOS'!$C$5:$C$404,"342",'08. CUSTOS'!$D$5:$D$404,A6,'08. CUSTOS'!$B$5:$B$404,"&lt;="&amp;'02. PARÂMETROS'!$B$5)</f>
        <v>0</v>
      </c>
      <c r="F6" s="315" t="str">
        <f>IF(DATA_GESTAO-'08B. TODAS AS OBRAS'!$K$5&gt;'01A. GESTÃO DA SEMANA'!$C$54,"SEM BASE",E6-D6)</f>
        <v>SEM BASE</v>
      </c>
      <c r="G6" s="320" t="str">
        <f>IF(DATA_GESTAO-'08B. TODAS AS OBRAS'!$K$5&gt;'01A. GESTÃO DA SEMANA'!$C$54,"SEM BASE",IF(D6=0,IF(E6=0,"","sem previsto"),F6/D6))</f>
        <v>SEM BASE</v>
      </c>
      <c r="H6" s="315" t="str">
        <f>IF(DATA_GESTAO-'08B. TODAS AS OBRAS'!$K$5&gt;'01A. GESTÃO DA SEMANA'!$C$54,"SEM BASE",C6-E6)</f>
        <v>SEM BASE</v>
      </c>
    </row>
    <row r="7">
      <c r="A7" s="5" t="inlineStr">
        <is>
          <t>EQP</t>
        </is>
      </c>
      <c r="B7" s="30" t="inlineStr">
        <is>
          <t>Equipamentos e serviços de campo (locação, combustível, terceiros, material de serviço)</t>
        </is>
      </c>
      <c r="C7" s="315">
        <f>'04. PLANO DAS OBRAS'!S10</f>
        <v>951239.72</v>
      </c>
      <c r="D7" s="315">
        <f>SUM(OFFSET('04. PLANO DAS OBRAS'!$C$10,0,0,1,MAX(1,MAX(0,MIN(16,(YEAR('02. PARÂMETROS'!$B$5)-2026)*12+MONTH('02. PARÂMETROS'!$B$5)-8)))))*(MAX(0,MIN(16,(YEAR('02. PARÂMETROS'!$B$5)-2026)*12+MONTH('02. PARÂMETROS'!$B$5)-8))&gt;0)</f>
        <v>0</v>
      </c>
      <c r="E7" s="315">
        <f>SUMIFS('08. CUSTOS'!$F$5:$F$404,'08. CUSTOS'!$C$5:$C$404,"342",'08. CUSTOS'!$D$5:$D$404,A7,'08. CUSTOS'!$B$5:$B$404,"&lt;="&amp;'02. PARÂMETROS'!$B$5)</f>
        <v>0</v>
      </c>
      <c r="F7" s="315" t="str">
        <f>IF(DATA_GESTAO-'08B. TODAS AS OBRAS'!$K$5&gt;'01A. GESTÃO DA SEMANA'!$C$54,"SEM BASE",E7-D7)</f>
        <v>SEM BASE</v>
      </c>
      <c r="G7" s="320" t="str">
        <f>IF(DATA_GESTAO-'08B. TODAS AS OBRAS'!$K$5&gt;'01A. GESTÃO DA SEMANA'!$C$54,"SEM BASE",IF(D7=0,IF(E7=0,"","sem previsto"),F7/D7))</f>
        <v>SEM BASE</v>
      </c>
      <c r="H7" s="315" t="str">
        <f>IF(DATA_GESTAO-'08B. TODAS AS OBRAS'!$K$5&gt;'01A. GESTÃO DA SEMANA'!$C$54,"SEM BASE",C7-E7)</f>
        <v>SEM BASE</v>
      </c>
    </row>
    <row r="8">
      <c r="A8" s="5" t="inlineStr">
        <is>
          <t>MAT</t>
        </is>
      </c>
      <c r="B8" s="30" t="inlineStr">
        <is>
          <t>Materiais e fornecimentos</t>
        </is>
      </c>
      <c r="C8" s="297">
        <f>'04. PLANO DAS OBRAS'!S9</f>
        <v>893547.91</v>
      </c>
      <c r="D8" s="297">
        <f>SUM(OFFSET('04. PLANO DAS OBRAS'!$C$9,0,0,1,MAX(1,MAX(0,MIN(16,(YEAR('02. PARÂMETROS'!$B$5)-2026)*12+MONTH('02. PARÂMETROS'!$B$5)-8)))))*(MAX(0,MIN(16,(YEAR('02. PARÂMETROS'!$B$5)-2026)*12+MONTH('02. PARÂMETROS'!$B$5)-8))&gt;0)</f>
        <v>0</v>
      </c>
      <c r="E8" s="315">
        <f>SUMIFS('08. CUSTOS'!$F$5:$F$404,'08. CUSTOS'!$C$5:$C$404,"342",'08. CUSTOS'!$D$5:$D$404,A8,'08. CUSTOS'!$B$5:$B$404,"&lt;="&amp;'02. PARÂMETROS'!$B$5)</f>
        <v>0</v>
      </c>
      <c r="F8" s="315" t="str">
        <f>IF(DATA_GESTAO-'08B. TODAS AS OBRAS'!$K$5&gt;'01A. GESTÃO DA SEMANA'!$C$54,"SEM BASE",E8-D8)</f>
        <v>SEM BASE</v>
      </c>
      <c r="G8" s="320" t="str">
        <f>IF(DATA_GESTAO-'08B. TODAS AS OBRAS'!$K$5&gt;'01A. GESTÃO DA SEMANA'!$C$54,"SEM BASE",IF(D8=0,IF(E8=0,"","sem previsto"),F8/D8))</f>
        <v>SEM BASE</v>
      </c>
      <c r="H8" s="315" t="str">
        <f>IF(DATA_GESTAO-'08B. TODAS AS OBRAS'!$K$5&gt;'01A. GESTÃO DA SEMANA'!$C$54,"SEM BASE",C8-E8)</f>
        <v>SEM BASE</v>
      </c>
    </row>
    <row r="9">
      <c r="A9" s="5" t="inlineStr">
        <is>
          <t>TER</t>
        </is>
      </c>
      <c r="B9" s="30" t="inlineStr">
        <is>
          <t>Terceiros e empreiteiros (342: dentro dos serviços de campo)</t>
        </is>
      </c>
      <c r="C9" s="315" t="n">
        <v>0</v>
      </c>
      <c r="D9" s="315" t="n">
        <v>0</v>
      </c>
      <c r="E9" s="315">
        <f>SUMIFS('08. CUSTOS'!$F$5:$F$404,'08. CUSTOS'!$C$5:$C$404,"342",'08. CUSTOS'!$D$5:$D$404,A9,'08. CUSTOS'!$B$5:$B$404,"&lt;="&amp;'02. PARÂMETROS'!$B$5)</f>
        <v>0</v>
      </c>
      <c r="F9" s="315" t="str">
        <f>IF(DATA_GESTAO-'08B. TODAS AS OBRAS'!$K$5&gt;'01A. GESTÃO DA SEMANA'!$C$54,"SEM BASE",E9-D9)</f>
        <v>SEM BASE</v>
      </c>
      <c r="G9" s="320" t="str">
        <f>IF(DATA_GESTAO-'08B. TODAS AS OBRAS'!$K$5&gt;'01A. GESTÃO DA SEMANA'!$C$54,"SEM BASE",IF(D9=0,IF(E9=0,"","sem previsto"),F9/D9))</f>
        <v>SEM BASE</v>
      </c>
      <c r="H9" s="315" t="str">
        <f>IF(DATA_GESTAO-'08B. TODAS AS OBRAS'!$K$5&gt;'01A. GESTÃO DA SEMANA'!$C$54,"SEM BASE",C9-E9)</f>
        <v>SEM BASE</v>
      </c>
    </row>
    <row r="10">
      <c r="A10" s="5" t="inlineStr">
        <is>
          <t>ADM</t>
        </is>
      </c>
      <c r="B10" s="30" t="inlineStr">
        <is>
          <t>Administração da obra, canteiro e projetos</t>
        </is>
      </c>
      <c r="C10" s="315">
        <f>'04. PLANO DAS OBRAS'!S11</f>
        <v>800585.11</v>
      </c>
      <c r="D10" s="315">
        <f>SUM(OFFSET('04. PLANO DAS OBRAS'!$C$11,0,0,1,MAX(1,MAX(0,MIN(16,(YEAR('02. PARÂMETROS'!$B$5)-2026)*12+MONTH('02. PARÂMETROS'!$B$5)-8)))))*(MAX(0,MIN(16,(YEAR('02. PARÂMETROS'!$B$5)-2026)*12+MONTH('02. PARÂMETROS'!$B$5)-8))&gt;0)</f>
        <v>29525.98</v>
      </c>
      <c r="E10" s="315">
        <f>SUMIFS('08. CUSTOS'!$F$5:$F$404,'08. CUSTOS'!$C$5:$C$404,"342",'08. CUSTOS'!$D$5:$D$404,A10,'08. CUSTOS'!$B$5:$B$404,"&lt;="&amp;'02. PARÂMETROS'!$B$5)</f>
        <v>0</v>
      </c>
      <c r="F10" s="315" t="str">
        <f>IF(DATA_GESTAO-'08B. TODAS AS OBRAS'!$K$5&gt;'01A. GESTÃO DA SEMANA'!$C$54,"SEM BASE",E10-D10)</f>
        <v>SEM BASE</v>
      </c>
      <c r="G10" s="320" t="str">
        <f>IF(DATA_GESTAO-'08B. TODAS AS OBRAS'!$K$5&gt;'01A. GESTÃO DA SEMANA'!$C$54,"SEM BASE",IF(D10=0,IF(E10=0,"","sem previsto"),F10/D10))</f>
        <v>SEM BASE</v>
      </c>
      <c r="H10" s="315" t="str">
        <f>IF(DATA_GESTAO-'08B. TODAS AS OBRAS'!$K$5&gt;'01A. GESTÃO DA SEMANA'!$C$54,"SEM BASE",C10-E10)</f>
        <v>SEM BASE</v>
      </c>
    </row>
    <row r="11">
      <c r="A11" s="5" t="inlineStr">
        <is>
          <t>SEG</t>
        </is>
      </c>
      <c r="B11" s="30" t="inlineStr">
        <is>
          <t>Seguros e garantias</t>
        </is>
      </c>
      <c r="C11" s="315" t="n">
        <v>0</v>
      </c>
      <c r="D11" s="315" t="n">
        <v>0</v>
      </c>
      <c r="E11" s="315">
        <f>SUMIFS('08. CUSTOS'!$F$5:$F$404,'08. CUSTOS'!$C$5:$C$404,"342",'08. CUSTOS'!$D$5:$D$404,A11,'08. CUSTOS'!$B$5:$B$404,"&lt;="&amp;'02. PARÂMETROS'!$B$5)</f>
        <v>0</v>
      </c>
      <c r="F11" s="315" t="str">
        <f>IF(DATA_GESTAO-'08B. TODAS AS OBRAS'!$K$5&gt;'01A. GESTÃO DA SEMANA'!$C$54,"SEM BASE",E11-D11)</f>
        <v>SEM BASE</v>
      </c>
      <c r="G11" s="320" t="str">
        <f>IF(DATA_GESTAO-'08B. TODAS AS OBRAS'!$K$5&gt;'01A. GESTÃO DA SEMANA'!$C$54,"SEM BASE",IF(D11=0,IF(E11=0,"","sem previsto"),F11/D11))</f>
        <v>SEM BASE</v>
      </c>
      <c r="H11" s="315" t="str">
        <f>IF(DATA_GESTAO-'08B. TODAS AS OBRAS'!$K$5&gt;'01A. GESTÃO DA SEMANA'!$C$54,"SEM BASE",C11-E11)</f>
        <v>SEM BASE</v>
      </c>
    </row>
    <row r="12">
      <c r="A12" s="5" t="inlineStr">
        <is>
          <t>TRIB</t>
        </is>
      </c>
      <c r="B12" s="30" t="inlineStr">
        <is>
          <t>Tributos sobre a receita</t>
        </is>
      </c>
      <c r="C12" s="315" t="n">
        <v>0</v>
      </c>
      <c r="D12" s="315" t="n">
        <v>0</v>
      </c>
      <c r="E12" s="315">
        <f>SUMIFS('08. CUSTOS'!$F$5:$F$404,'08. CUSTOS'!$C$5:$C$404,"342",'08. CUSTOS'!$D$5:$D$404,A12,'08. CUSTOS'!$B$5:$B$404,"&lt;="&amp;'02. PARÂMETROS'!$B$5)</f>
        <v>0</v>
      </c>
      <c r="F12" s="315" t="str">
        <f>IF(DATA_GESTAO-'08B. TODAS AS OBRAS'!$K$5&gt;'01A. GESTÃO DA SEMANA'!$C$54,"SEM BASE",E12-D12)</f>
        <v>SEM BASE</v>
      </c>
      <c r="G12" s="320" t="str">
        <f>IF(DATA_GESTAO-'08B. TODAS AS OBRAS'!$K$5&gt;'01A. GESTÃO DA SEMANA'!$C$54,"SEM BASE",IF(D12=0,IF(E12=0,"","sem previsto"),F12/D12))</f>
        <v>SEM BASE</v>
      </c>
      <c r="H12" s="315" t="str">
        <f>IF(DATA_GESTAO-'08B. TODAS AS OBRAS'!$K$5&gt;'01A. GESTÃO DA SEMANA'!$C$54,"SEM BASE",C12-E12)</f>
        <v>SEM BASE</v>
      </c>
    </row>
    <row r="13">
      <c r="A13" s="5" t="inlineStr">
        <is>
          <t>FIN</t>
        </is>
      </c>
      <c r="B13" s="30" t="inlineStr">
        <is>
          <t>Financeiro (juros, tarifas)</t>
        </is>
      </c>
      <c r="C13" s="315" t="n">
        <v>0</v>
      </c>
      <c r="D13" s="315" t="n">
        <v>0</v>
      </c>
      <c r="E13" s="315">
        <f>SUMIFS('08. CUSTOS'!$F$5:$F$404,'08. CUSTOS'!$C$5:$C$404,"342",'08. CUSTOS'!$D$5:$D$404,A13,'08. CUSTOS'!$B$5:$B$404,"&lt;="&amp;'02. PARÂMETROS'!$B$5)</f>
        <v>0</v>
      </c>
      <c r="F13" s="315" t="str">
        <f>IF(DATA_GESTAO-'08B. TODAS AS OBRAS'!$K$5&gt;'01A. GESTÃO DA SEMANA'!$C$54,"SEM BASE",E13-D13)</f>
        <v>SEM BASE</v>
      </c>
      <c r="G13" s="320" t="str">
        <f>IF(DATA_GESTAO-'08B. TODAS AS OBRAS'!$K$5&gt;'01A. GESTÃO DA SEMANA'!$C$54,"SEM BASE",IF(D13=0,IF(E13=0,"","sem previsto"),F13/D13))</f>
        <v>SEM BASE</v>
      </c>
      <c r="H13" s="315" t="str">
        <f>IF(DATA_GESTAO-'08B. TODAS AS OBRAS'!$K$5&gt;'01A. GESTÃO DA SEMANA'!$C$54,"SEM BASE",C13-E13)</f>
        <v>SEM BASE</v>
      </c>
    </row>
    <row r="14">
      <c r="A14" s="24" t="n"/>
      <c r="B14" s="56" t="inlineStr">
        <is>
          <t>TOTAL DA OBRA</t>
        </is>
      </c>
      <c r="C14" s="314">
        <f>SUM(C6:C13)</f>
        <v>3212459.22</v>
      </c>
      <c r="D14" s="314">
        <f>SUM(D6:D13)</f>
        <v>29525.98</v>
      </c>
      <c r="E14" s="314">
        <f>SUM(E6:E13)</f>
        <v>0</v>
      </c>
      <c r="F14" s="314" t="str">
        <f>IF(DATA_GESTAO-'08B. TODAS AS OBRAS'!$K$5&gt;'01A. GESTÃO DA SEMANA'!$C$54,"SEM BASE",E14-D14)</f>
        <v>SEM BASE</v>
      </c>
      <c r="G14" s="334" t="str">
        <f>IF(DATA_GESTAO-'08B. TODAS AS OBRAS'!$K$5&gt;'01A. GESTÃO DA SEMANA'!$C$54,"SEM BASE",IF(D14=0,IF(E14=0,"","sem previsto"),F14/D14))</f>
        <v>SEM BASE</v>
      </c>
      <c r="H14" s="314" t="str">
        <f>IF(DATA_GESTAO-'08B. TODAS AS OBRAS'!$K$5&gt;'01A. GESTÃO DA SEMANA'!$C$54,"SEM BASE",C14-E14)</f>
        <v>SEM BASE</v>
      </c>
    </row>
    <row r="15"/>
    <row r="16">
      <c r="A16" s="10" t="inlineStr">
        <is>
          <t>OBRA 343 — CAESB Subadutora Sobradinho</t>
        </is>
      </c>
      <c r="B16" s="11" t="n"/>
      <c r="C16" s="11" t="n"/>
      <c r="D16" s="11" t="n"/>
      <c r="E16" s="11" t="n"/>
      <c r="F16" s="11" t="n"/>
      <c r="G16" s="11" t="n"/>
      <c r="H16" s="11" t="n"/>
      <c r="I16" s="11" t="n"/>
    </row>
    <row r="17" ht="30" customHeight="1" s="71">
      <c r="A17" s="23" t="inlineStr">
        <is>
          <t>CONTA</t>
        </is>
      </c>
      <c r="B17" s="23" t="inlineStr">
        <is>
          <t>DESCRIÇÃO</t>
        </is>
      </c>
      <c r="C17" s="23" t="inlineStr">
        <is>
          <t>PREVISTO TOTAL (motor)</t>
        </is>
      </c>
      <c r="D17" s="23" t="inlineStr">
        <is>
          <t>PREVISTO ATÉ O CORTE</t>
        </is>
      </c>
      <c r="E17" s="23" t="inlineStr">
        <is>
          <t>REALIZADO ATÉ O CORTE</t>
        </is>
      </c>
      <c r="F17" s="23" t="inlineStr">
        <is>
          <t>DESVIO (R$)</t>
        </is>
      </c>
      <c r="G17" s="23" t="inlineStr">
        <is>
          <t>DESVIO %</t>
        </is>
      </c>
      <c r="H17" s="23" t="inlineStr">
        <is>
          <t>SALDO A GASTAR (previsto − realizado)</t>
        </is>
      </c>
    </row>
    <row r="18">
      <c r="A18" s="5" t="inlineStr">
        <is>
          <t>MO</t>
        </is>
      </c>
      <c r="B18" s="30" t="inlineStr">
        <is>
          <t>Mão de obra de campo (salário, encargos, benefícios)</t>
        </is>
      </c>
      <c r="C18" s="297">
        <f>'04. PLANO DAS OBRAS'!S20</f>
        <v>868608.42</v>
      </c>
      <c r="D18" s="297">
        <f>SUM(OFFSET('04. PLANO DAS OBRAS'!$C$20,0,0,1,MAX(1,MAX(0,MIN(16,(YEAR('02. PARÂMETROS'!$B$5)-2026)*12+MONTH('02. PARÂMETROS'!$B$5)-8)))))*(MAX(0,MIN(16,(YEAR('02. PARÂMETROS'!$B$5)-2026)*12+MONTH('02. PARÂMETROS'!$B$5)-8))&gt;0)</f>
        <v>268164.51</v>
      </c>
      <c r="E18" s="315">
        <f>SUMIFS('08. CUSTOS'!$F$5:$F$404,'08. CUSTOS'!$C$5:$C$404,"343",'08. CUSTOS'!$D$5:$D$404,A18,'08. CUSTOS'!$B$5:$B$404,"&lt;="&amp;'02. PARÂMETROS'!$B$5)</f>
        <v>0</v>
      </c>
      <c r="F18" s="315" t="str">
        <f>IF(DATA_GESTAO-'08B. TODAS AS OBRAS'!$K$6&gt;'01A. GESTÃO DA SEMANA'!$C$54,"SEM BASE",E18-D18)</f>
        <v>SEM BASE</v>
      </c>
      <c r="G18" s="320" t="str">
        <f>IF(DATA_GESTAO-'08B. TODAS AS OBRAS'!$K$6&gt;'01A. GESTÃO DA SEMANA'!$C$54,"SEM BASE",IF(D18=0,IF(E18=0,"","sem previsto"),F18/D18))</f>
        <v>SEM BASE</v>
      </c>
      <c r="H18" s="315" t="str">
        <f>IF(DATA_GESTAO-'08B. TODAS AS OBRAS'!$K$6&gt;'01A. GESTÃO DA SEMANA'!$C$54,"SEM BASE",C18-E18)</f>
        <v>SEM BASE</v>
      </c>
    </row>
    <row r="19">
      <c r="A19" s="5" t="inlineStr">
        <is>
          <t>EQP</t>
        </is>
      </c>
      <c r="B19" s="30" t="inlineStr">
        <is>
          <t>Equipamentos (locação, combustível, manutenção)</t>
        </is>
      </c>
      <c r="C19" s="315" t="n">
        <v>0</v>
      </c>
      <c r="D19" s="315" t="n">
        <v>0</v>
      </c>
      <c r="E19" s="315">
        <f>SUMIFS('08. CUSTOS'!$F$5:$F$404,'08. CUSTOS'!$C$5:$C$404,"343",'08. CUSTOS'!$D$5:$D$404,A19,'08. CUSTOS'!$B$5:$B$404,"&lt;="&amp;'02. PARÂMETROS'!$B$5)</f>
        <v>0</v>
      </c>
      <c r="F19" s="315" t="str">
        <f>IF(DATA_GESTAO-'08B. TODAS AS OBRAS'!$K$6&gt;'01A. GESTÃO DA SEMANA'!$C$54,"SEM BASE",E19-D19)</f>
        <v>SEM BASE</v>
      </c>
      <c r="G19" s="320" t="str">
        <f>IF(DATA_GESTAO-'08B. TODAS AS OBRAS'!$K$6&gt;'01A. GESTÃO DA SEMANA'!$C$54,"SEM BASE",IF(D19=0,IF(E19=0,"","sem previsto"),F19/D19))</f>
        <v>SEM BASE</v>
      </c>
      <c r="H19" s="315" t="str">
        <f>IF(DATA_GESTAO-'08B. TODAS AS OBRAS'!$K$6&gt;'01A. GESTÃO DA SEMANA'!$C$54,"SEM BASE",C19-E19)</f>
        <v>SEM BASE</v>
      </c>
    </row>
    <row r="20">
      <c r="A20" s="5" t="inlineStr">
        <is>
          <t>MAT</t>
        </is>
      </c>
      <c r="B20" s="30" t="inlineStr">
        <is>
          <t>Materiais e fornecimentos</t>
        </is>
      </c>
      <c r="C20" s="297">
        <f>'04. PLANO DAS OBRAS'!S21</f>
        <v>2394118.02</v>
      </c>
      <c r="D20" s="297">
        <f>SUM(OFFSET('04. PLANO DAS OBRAS'!$C$21,0,0,1,MAX(1,MAX(0,MIN(16,(YEAR('02. PARÂMETROS'!$B$5)-2026)*12+MONTH('02. PARÂMETROS'!$B$5)-8)))))*(MAX(0,MIN(16,(YEAR('02. PARÂMETROS'!$B$5)-2026)*12+MONTH('02. PARÂMETROS'!$B$5)-8))&gt;0)</f>
        <v>327455.88</v>
      </c>
      <c r="E20" s="315">
        <f>SUMIFS('08. CUSTOS'!$F$5:$F$404,'08. CUSTOS'!$C$5:$C$404,"343",'08. CUSTOS'!$D$5:$D$404,A20,'08. CUSTOS'!$B$5:$B$404,"&lt;="&amp;'02. PARÂMETROS'!$B$5)</f>
        <v>0</v>
      </c>
      <c r="F20" s="315" t="str">
        <f>IF(DATA_GESTAO-'08B. TODAS AS OBRAS'!$K$6&gt;'01A. GESTÃO DA SEMANA'!$C$54,"SEM BASE",E20-D20)</f>
        <v>SEM BASE</v>
      </c>
      <c r="G20" s="320" t="str">
        <f>IF(DATA_GESTAO-'08B. TODAS AS OBRAS'!$K$6&gt;'01A. GESTÃO DA SEMANA'!$C$54,"SEM BASE",IF(D20=0,IF(E20=0,"","sem previsto"),F20/D20))</f>
        <v>SEM BASE</v>
      </c>
      <c r="H20" s="315" t="str">
        <f>IF(DATA_GESTAO-'08B. TODAS AS OBRAS'!$K$6&gt;'01A. GESTÃO DA SEMANA'!$C$54,"SEM BASE",C20-E20)</f>
        <v>SEM BASE</v>
      </c>
    </row>
    <row r="21">
      <c r="A21" s="5" t="inlineStr">
        <is>
          <t>TER</t>
        </is>
      </c>
      <c r="B21" s="30" t="inlineStr">
        <is>
          <t>Terceiros e empreiteiros</t>
        </is>
      </c>
      <c r="C21" s="297">
        <f>'04. PLANO DAS OBRAS'!S22</f>
        <v>342891.26</v>
      </c>
      <c r="D21" s="297">
        <f>SUM(OFFSET('04. PLANO DAS OBRAS'!$C$22,0,0,1,MAX(1,MAX(0,MIN(16,(YEAR('02. PARÂMETROS'!$B$5)-2026)*12+MONTH('02. PARÂMETROS'!$B$5)-8)))))*(MAX(0,MIN(16,(YEAR('02. PARÂMETROS'!$B$5)-2026)*12+MONTH('02. PARÂMETROS'!$B$5)-8))&gt;0)</f>
        <v>225022.39</v>
      </c>
      <c r="E21" s="315">
        <f>SUMIFS('08. CUSTOS'!$F$5:$F$404,'08. CUSTOS'!$C$5:$C$404,"343",'08. CUSTOS'!$D$5:$D$404,A21,'08. CUSTOS'!$B$5:$B$404,"&lt;="&amp;'02. PARÂMETROS'!$B$5)</f>
        <v>0</v>
      </c>
      <c r="F21" s="315" t="str">
        <f>IF(DATA_GESTAO-'08B. TODAS AS OBRAS'!$K$6&gt;'01A. GESTÃO DA SEMANA'!$C$54,"SEM BASE",E21-D21)</f>
        <v>SEM BASE</v>
      </c>
      <c r="G21" s="320" t="str">
        <f>IF(DATA_GESTAO-'08B. TODAS AS OBRAS'!$K$6&gt;'01A. GESTÃO DA SEMANA'!$C$54,"SEM BASE",IF(D21=0,IF(E21=0,"","sem previsto"),F21/D21))</f>
        <v>SEM BASE</v>
      </c>
      <c r="H21" s="315" t="str">
        <f>IF(DATA_GESTAO-'08B. TODAS AS OBRAS'!$K$6&gt;'01A. GESTÃO DA SEMANA'!$C$54,"SEM BASE",C21-E21)</f>
        <v>SEM BASE</v>
      </c>
    </row>
    <row r="22">
      <c r="A22" s="5" t="inlineStr">
        <is>
          <t>ADM</t>
        </is>
      </c>
      <c r="B22" s="30" t="inlineStr">
        <is>
          <t>Administração da obra (engenharia, TST, almoxarife, vigia, veículo, canteiro)</t>
        </is>
      </c>
      <c r="C22" s="315" t="n">
        <v>0</v>
      </c>
      <c r="D22" s="315" t="n">
        <v>0</v>
      </c>
      <c r="E22" s="315">
        <f>SUMIFS('08. CUSTOS'!$F$5:$F$404,'08. CUSTOS'!$C$5:$C$404,"343",'08. CUSTOS'!$D$5:$D$404,A22,'08. CUSTOS'!$B$5:$B$404,"&lt;="&amp;'02. PARÂMETROS'!$B$5)</f>
        <v>0</v>
      </c>
      <c r="F22" s="315" t="str">
        <f>IF(DATA_GESTAO-'08B. TODAS AS OBRAS'!$K$6&gt;'01A. GESTÃO DA SEMANA'!$C$54,"SEM BASE",E22-D22)</f>
        <v>SEM BASE</v>
      </c>
      <c r="G22" s="320" t="str">
        <f>IF(DATA_GESTAO-'08B. TODAS AS OBRAS'!$K$6&gt;'01A. GESTÃO DA SEMANA'!$C$54,"SEM BASE",IF(D22=0,IF(E22=0,"","sem previsto"),F22/D22))</f>
        <v>SEM BASE</v>
      </c>
      <c r="H22" s="315" t="str">
        <f>IF(DATA_GESTAO-'08B. TODAS AS OBRAS'!$K$6&gt;'01A. GESTÃO DA SEMANA'!$C$54,"SEM BASE",C22-E22)</f>
        <v>SEM BASE</v>
      </c>
    </row>
    <row r="23">
      <c r="A23" s="5" t="inlineStr">
        <is>
          <t>SEG</t>
        </is>
      </c>
      <c r="B23" s="30" t="inlineStr">
        <is>
          <t>Seguros e garantias</t>
        </is>
      </c>
      <c r="C23" s="315" t="n">
        <v>0</v>
      </c>
      <c r="D23" s="315" t="n">
        <v>0</v>
      </c>
      <c r="E23" s="315">
        <f>SUMIFS('08. CUSTOS'!$F$5:$F$404,'08. CUSTOS'!$C$5:$C$404,"343",'08. CUSTOS'!$D$5:$D$404,A23,'08. CUSTOS'!$B$5:$B$404,"&lt;="&amp;'02. PARÂMETROS'!$B$5)</f>
        <v>0</v>
      </c>
      <c r="F23" s="315" t="str">
        <f>IF(DATA_GESTAO-'08B. TODAS AS OBRAS'!$K$6&gt;'01A. GESTÃO DA SEMANA'!$C$54,"SEM BASE",E23-D23)</f>
        <v>SEM BASE</v>
      </c>
      <c r="G23" s="320" t="str">
        <f>IF(DATA_GESTAO-'08B. TODAS AS OBRAS'!$K$6&gt;'01A. GESTÃO DA SEMANA'!$C$54,"SEM BASE",IF(D23=0,IF(E23=0,"","sem previsto"),F23/D23))</f>
        <v>SEM BASE</v>
      </c>
      <c r="H23" s="315" t="str">
        <f>IF(DATA_GESTAO-'08B. TODAS AS OBRAS'!$K$6&gt;'01A. GESTÃO DA SEMANA'!$C$54,"SEM BASE",C23-E23)</f>
        <v>SEM BASE</v>
      </c>
    </row>
    <row r="24">
      <c r="A24" s="5" t="inlineStr">
        <is>
          <t>TRIB</t>
        </is>
      </c>
      <c r="B24" s="30" t="inlineStr">
        <is>
          <t>Tributos sobre a receita</t>
        </is>
      </c>
      <c r="C24" s="315" t="n">
        <v>0</v>
      </c>
      <c r="D24" s="315" t="n">
        <v>0</v>
      </c>
      <c r="E24" s="315">
        <f>SUMIFS('08. CUSTOS'!$F$5:$F$404,'08. CUSTOS'!$C$5:$C$404,"343",'08. CUSTOS'!$D$5:$D$404,A24,'08. CUSTOS'!$B$5:$B$404,"&lt;="&amp;'02. PARÂMETROS'!$B$5)</f>
        <v>0</v>
      </c>
      <c r="F24" s="315" t="str">
        <f>IF(DATA_GESTAO-'08B. TODAS AS OBRAS'!$K$6&gt;'01A. GESTÃO DA SEMANA'!$C$54,"SEM BASE",E24-D24)</f>
        <v>SEM BASE</v>
      </c>
      <c r="G24" s="320" t="str">
        <f>IF(DATA_GESTAO-'08B. TODAS AS OBRAS'!$K$6&gt;'01A. GESTÃO DA SEMANA'!$C$54,"SEM BASE",IF(D24=0,IF(E24=0,"","sem previsto"),F24/D24))</f>
        <v>SEM BASE</v>
      </c>
      <c r="H24" s="315" t="str">
        <f>IF(DATA_GESTAO-'08B. TODAS AS OBRAS'!$K$6&gt;'01A. GESTÃO DA SEMANA'!$C$54,"SEM BASE",C24-E24)</f>
        <v>SEM BASE</v>
      </c>
    </row>
    <row r="25">
      <c r="A25" s="5" t="inlineStr">
        <is>
          <t>FIN</t>
        </is>
      </c>
      <c r="B25" s="30" t="inlineStr">
        <is>
          <t>Financeiro (juros, tarifas)</t>
        </is>
      </c>
      <c r="C25" s="315" t="n">
        <v>0</v>
      </c>
      <c r="D25" s="315" t="n">
        <v>0</v>
      </c>
      <c r="E25" s="315">
        <f>SUMIFS('08. CUSTOS'!$F$5:$F$404,'08. CUSTOS'!$C$5:$C$404,"343",'08. CUSTOS'!$D$5:$D$404,A25,'08. CUSTOS'!$B$5:$B$404,"&lt;="&amp;'02. PARÂMETROS'!$B$5)</f>
        <v>0</v>
      </c>
      <c r="F25" s="315" t="str">
        <f>IF(DATA_GESTAO-'08B. TODAS AS OBRAS'!$K$6&gt;'01A. GESTÃO DA SEMANA'!$C$54,"SEM BASE",E25-D25)</f>
        <v>SEM BASE</v>
      </c>
      <c r="G25" s="320" t="str">
        <f>IF(DATA_GESTAO-'08B. TODAS AS OBRAS'!$K$6&gt;'01A. GESTÃO DA SEMANA'!$C$54,"SEM BASE",IF(D25=0,IF(E25=0,"","sem previsto"),F25/D25))</f>
        <v>SEM BASE</v>
      </c>
      <c r="H25" s="315" t="str">
        <f>IF(DATA_GESTAO-'08B. TODAS AS OBRAS'!$K$6&gt;'01A. GESTÃO DA SEMANA'!$C$54,"SEM BASE",C25-E25)</f>
        <v>SEM BASE</v>
      </c>
    </row>
    <row r="26">
      <c r="A26" s="24" t="n"/>
      <c r="B26" s="56" t="inlineStr">
        <is>
          <t>TOTAL DA OBRA</t>
        </is>
      </c>
      <c r="C26" s="314">
        <f>SUM(C18:C25)</f>
        <v>3605617.7</v>
      </c>
      <c r="D26" s="314">
        <f>SUM(D18:D25)</f>
        <v>820642.78</v>
      </c>
      <c r="E26" s="314">
        <f>SUM(E18:E25)</f>
        <v>0</v>
      </c>
      <c r="F26" s="314" t="str">
        <f>IF(DATA_GESTAO-'08B. TODAS AS OBRAS'!$K$6&gt;'01A. GESTÃO DA SEMANA'!$C$54,"SEM BASE",E26-D26)</f>
        <v>SEM BASE</v>
      </c>
      <c r="G26" s="334" t="str">
        <f>IF(DATA_GESTAO-'08B. TODAS AS OBRAS'!$K$6&gt;'01A. GESTÃO DA SEMANA'!$C$54,"SEM BASE",IF(D26=0,IF(E26=0,"","sem previsto"),F26/D26))</f>
        <v>SEM BASE</v>
      </c>
      <c r="H26" s="314" t="str">
        <f>IF(DATA_GESTAO-'08B. TODAS AS OBRAS'!$K$6&gt;'01A. GESTÃO DA SEMANA'!$C$54,"SEM BASE",C26-E26)</f>
        <v>SEM BASE</v>
      </c>
    </row>
  </sheetData>
  <hyperlinks>
    <hyperlink ref="J1" location="'00A. MENU'!A1" display="◀ MENU"/>
  </hyperlinks>
  <pageMargins left="0.75" right="0.75" top="1" bottom="1" header="0.5" footer="0.5"/>
  <pageSetup orientation="landscape" fitToHeight="0"/>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R34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style="71" min="1" max="1"/>
    <col width="10" customWidth="1" style="71" min="2" max="2"/>
    <col width="10" customWidth="1" style="71" min="3" max="3"/>
    <col width="11" customWidth="1" style="71" min="4" max="4"/>
    <col width="9" customWidth="1" style="71" min="5" max="5"/>
    <col width="30" customWidth="1" style="71" min="6" max="6"/>
    <col width="34" customWidth="1" style="71" min="7" max="7"/>
    <col width="12" customWidth="1" style="71" min="8" max="8"/>
    <col width="13" customWidth="1" style="71" min="9" max="9"/>
    <col width="16" customWidth="1" style="71" min="10" max="10"/>
    <col width="30" customWidth="1" style="71" min="11" max="11"/>
    <col width="8" customWidth="1" style="71" min="12" max="12"/>
    <col width="14" customWidth="1" style="71" min="13" max="13"/>
    <col width="52" customWidth="1" style="71" min="14" max="14"/>
    <col width="2" customWidth="1" style="71" min="15" max="15"/>
    <col width="40" customWidth="1" style="71" min="16" max="16"/>
    <col width="16" customWidth="1" style="71" min="17" max="17"/>
  </cols>
  <sheetData>
    <row r="1" ht="30" customHeight="1" s="71">
      <c r="A1" s="1" t="inlineStr">
        <is>
          <t>08D. LANÇAMENTOS 281 — despesas e aportes do consórcio TAF TECNOBOMBAS</t>
        </is>
      </c>
      <c r="B1" s="2" t="n"/>
      <c r="C1" s="2" t="n"/>
      <c r="D1" s="2" t="n"/>
      <c r="E1" s="2" t="n"/>
      <c r="F1" s="2" t="n"/>
      <c r="G1" s="2" t="n"/>
      <c r="H1" s="2" t="n"/>
      <c r="I1" s="2" t="n"/>
      <c r="J1" s="2" t="n"/>
      <c r="K1" s="2" t="n"/>
      <c r="L1" s="2" t="n"/>
      <c r="M1" s="2" t="n"/>
      <c r="N1" s="2" t="n"/>
      <c r="O1" s="2" t="n"/>
      <c r="P1" s="2" t="n"/>
      <c r="Q1" s="2" t="n"/>
      <c r="R1" s="277" t="inlineStr">
        <is>
          <t>◀ MENU</t>
        </is>
      </c>
    </row>
    <row r="2"/>
    <row r="3" ht="42" customHeight="1" s="71">
      <c r="A3" s="215" t="inlineStr">
        <is>
          <t>Nº</t>
        </is>
      </c>
      <c r="B3" s="215" t="inlineStr">
        <is>
          <t>TIPO</t>
        </is>
      </c>
      <c r="C3" s="215" t="inlineStr">
        <is>
          <t>EMISSÃO</t>
        </is>
      </c>
      <c r="D3" s="215" t="inlineStr">
        <is>
          <t>VENCIMENTO</t>
        </is>
      </c>
      <c r="E3" s="215" t="inlineStr">
        <is>
          <t>MÊS (vencimento)</t>
        </is>
      </c>
      <c r="F3" s="215" t="inlineStr">
        <is>
          <t>FORNECEDOR</t>
        </is>
      </c>
      <c r="G3" s="215" t="inlineStr">
        <is>
          <t>DESCRIÇÃO</t>
        </is>
      </c>
      <c r="H3" s="215" t="inlineStr">
        <is>
          <t>DOCUMENTO</t>
        </is>
      </c>
      <c r="I3" s="215" t="inlineStr">
        <is>
          <t>VALOR (R$)</t>
        </is>
      </c>
      <c r="J3" s="215" t="inlineStr">
        <is>
          <t>CENTRAL DE CUSTO (planilha do consórcio)</t>
        </is>
      </c>
      <c r="K3" s="215" t="inlineStr">
        <is>
          <t>GRUPO (pela descrição)</t>
        </is>
      </c>
      <c r="L3" s="215" t="inlineStr">
        <is>
          <t>CONTA (08)</t>
        </is>
      </c>
      <c r="M3" s="215" t="inlineStr">
        <is>
          <t>SITUAÇÃO NA FONTE</t>
        </is>
      </c>
      <c r="N3" s="215" t="inlineStr">
        <is>
          <t>FONTE (arquivo / aba / linha)</t>
        </is>
      </c>
      <c r="P3" s="215" t="inlineStr">
        <is>
          <t>GRUPO (pela descrição)</t>
        </is>
      </c>
      <c r="Q3" s="215" t="inlineStr">
        <is>
          <t>CONTA</t>
        </is>
      </c>
    </row>
    <row r="4">
      <c r="A4" s="222" t="n">
        <v>1</v>
      </c>
      <c r="B4" s="218" t="inlineStr">
        <is>
          <t>DESPESA</t>
        </is>
      </c>
      <c r="C4" s="220" t="n">
        <v>45993</v>
      </c>
      <c r="D4" s="220" t="n">
        <v>46002</v>
      </c>
      <c r="E4" s="335">
        <f>IF(D4="","",DATE(YEAR(D4),MONTH(D4),1))</f>
        <v>45992.0</v>
      </c>
      <c r="F4" s="218" t="inlineStr">
        <is>
          <t>JF COPIADORA</t>
        </is>
      </c>
      <c r="G4" s="218" t="inlineStr">
        <is>
          <t>IMPRESSAO / PLOTAGEM</t>
        </is>
      </c>
      <c r="H4" s="218" t="inlineStr">
        <is>
          <t>633</t>
        </is>
      </c>
      <c r="I4" s="219" t="n">
        <v>1343.04</v>
      </c>
      <c r="J4" s="218" t="inlineStr">
        <is>
          <t>ADMINISTRATIVO</t>
        </is>
      </c>
      <c r="K4" s="218" t="inlineStr">
        <is>
          <t>SERVICOS DE TERCEIROS / CANTEIRO</t>
        </is>
      </c>
      <c r="L4" s="222" t="str">
        <f>IF(B4&lt;&gt;"DESPESA","",IFERROR(VLOOKUP(K4,$P$5:$Q$16,2,FALSE),"?"))</f>
        <v>TER</v>
      </c>
      <c r="M4" s="218" t="inlineStr">
        <is>
          <t>REALIZADO (até 30/04)</t>
        </is>
      </c>
      <c r="N4" s="272" t="inlineStr">
        <is>
          <t>SANEAGO_MOZARLANDIA_CUSTOS 30.04.2026.xlsx / FINANCEIRO ATE 30.04 / linha 16</t>
        </is>
      </c>
      <c r="P4" s="326" t="inlineStr">
        <is>
          <t>Classificação da descrição de cada lançamento (a planilha do consórcio só separa ADMINISTRATIVO e CIVIL)</t>
        </is>
      </c>
    </row>
    <row r="5">
      <c r="A5" s="222" t="n">
        <v>2</v>
      </c>
      <c r="B5" s="218" t="inlineStr">
        <is>
          <t>DESPESA</t>
        </is>
      </c>
      <c r="C5" s="220" t="n">
        <v>46024</v>
      </c>
      <c r="D5" s="220" t="n">
        <v>46024</v>
      </c>
      <c r="E5" s="335">
        <f>IF(D5="","",DATE(YEAR(D5),MONTH(D5),1))</f>
        <v>46023.0</v>
      </c>
      <c r="F5" s="218" t="inlineStr">
        <is>
          <t>POTTENCIAL SEGURADORA S.A.</t>
        </is>
      </c>
      <c r="G5" s="218" t="inlineStr">
        <is>
          <t>SEGURO DA OBRA</t>
        </is>
      </c>
      <c r="H5" s="218" t="inlineStr">
        <is>
          <t>APOLICE</t>
        </is>
      </c>
      <c r="I5" s="219" t="n">
        <v>2172.66</v>
      </c>
      <c r="J5" s="218" t="inlineStr">
        <is>
          <t>ADMINISTRATIVO</t>
        </is>
      </c>
      <c r="K5" s="218" t="inlineStr">
        <is>
          <t>ADMINISTRATIVO GERAL (seguros, honorarios, reembolsos, TI)</t>
        </is>
      </c>
      <c r="L5" s="222" t="str">
        <f>IF(B5&lt;&gt;"DESPESA","",IFERROR(VLOOKUP(K5,$P$5:$Q$16,2,FALSE),"?"))</f>
        <v>ADM</v>
      </c>
      <c r="M5" s="218" t="inlineStr">
        <is>
          <t>REALIZADO (até 30/04)</t>
        </is>
      </c>
      <c r="N5" s="272" t="inlineStr">
        <is>
          <t>SANEAGO_MOZARLANDIA_CUSTOS 30.04.2026.xlsx / FINANCEIRO ATE 30.04 / linha 17</t>
        </is>
      </c>
      <c r="P5" s="218" t="inlineStr">
        <is>
          <t>MATERIAIS E FERRAMENTAS</t>
        </is>
      </c>
      <c r="Q5" s="218" t="inlineStr">
        <is>
          <t>MAT</t>
        </is>
      </c>
    </row>
    <row r="6">
      <c r="A6" s="222" t="n">
        <v>3</v>
      </c>
      <c r="B6" s="218" t="inlineStr">
        <is>
          <t>DESPESA</t>
        </is>
      </c>
      <c r="C6" s="220" t="n">
        <v>46043</v>
      </c>
      <c r="D6" s="220" t="n">
        <v>46043</v>
      </c>
      <c r="E6" s="335">
        <f>IF(D6="","",DATE(YEAR(D6),MONTH(D6),1))</f>
        <v>46023.0</v>
      </c>
      <c r="F6" s="218" t="inlineStr">
        <is>
          <t>RICARLOS ALVES DE OLIVEIRA</t>
        </is>
      </c>
      <c r="G6" s="218" t="inlineStr">
        <is>
          <t>PAGAMENTO ENGENHEIRO</t>
        </is>
      </c>
      <c r="H6" s="218" t="inlineStr">
        <is>
          <t>418</t>
        </is>
      </c>
      <c r="I6" s="219" t="n">
        <v>5000</v>
      </c>
      <c r="J6" s="218" t="inlineStr">
        <is>
          <t>ADMINISTRATIVO</t>
        </is>
      </c>
      <c r="K6" s="218" t="inlineStr">
        <is>
          <t>ENGENHARIA/PRESTACAO DE SERVICOS PJ</t>
        </is>
      </c>
      <c r="L6" s="222" t="str">
        <f>IF(B6&lt;&gt;"DESPESA","",IFERROR(VLOOKUP(K6,$P$5:$Q$16,2,FALSE),"?"))</f>
        <v>ADM</v>
      </c>
      <c r="M6" s="218" t="inlineStr">
        <is>
          <t>REALIZADO (até 30/04)</t>
        </is>
      </c>
      <c r="N6" s="272" t="inlineStr">
        <is>
          <t>SANEAGO_MOZARLANDIA_CUSTOS 30.04.2026.xlsx / FINANCEIRO ATE 30.04 / linha 18</t>
        </is>
      </c>
      <c r="P6" s="218" t="inlineStr">
        <is>
          <t>PESSOAL E ENCARGOS</t>
        </is>
      </c>
      <c r="Q6" s="218" t="inlineStr">
        <is>
          <t>MO</t>
        </is>
      </c>
    </row>
    <row r="7">
      <c r="A7" s="222" t="n">
        <v>4</v>
      </c>
      <c r="B7" s="218" t="inlineStr">
        <is>
          <t>DESPESA</t>
        </is>
      </c>
      <c r="C7" s="220" t="n">
        <v>46044</v>
      </c>
      <c r="D7" s="220" t="n">
        <v>46044</v>
      </c>
      <c r="E7" s="335">
        <f>IF(D7="","",DATE(YEAR(D7),MONTH(D7),1))</f>
        <v>46023.0</v>
      </c>
      <c r="F7" s="218" t="inlineStr">
        <is>
          <t>FABIO ANCELMO</t>
        </is>
      </c>
      <c r="G7" s="218" t="inlineStr">
        <is>
          <t>AR CONDICINADO</t>
        </is>
      </c>
      <c r="H7" s="218" t="inlineStr">
        <is>
          <t>76</t>
        </is>
      </c>
      <c r="I7" s="219" t="n">
        <v>1000</v>
      </c>
      <c r="J7" s="218" t="inlineStr">
        <is>
          <t>ADMINISTRATIVO</t>
        </is>
      </c>
      <c r="K7" s="218" t="inlineStr">
        <is>
          <t>SERVICOS DE TERCEIROS / CANTEIRO</t>
        </is>
      </c>
      <c r="L7" s="222" t="str">
        <f>IF(B7&lt;&gt;"DESPESA","",IFERROR(VLOOKUP(K7,$P$5:$Q$16,2,FALSE),"?"))</f>
        <v>TER</v>
      </c>
      <c r="M7" s="218" t="inlineStr">
        <is>
          <t>REALIZADO (até 30/04)</t>
        </is>
      </c>
      <c r="N7" s="272" t="inlineStr">
        <is>
          <t>SANEAGO_MOZARLANDIA_CUSTOS 30.04.2026.xlsx / FINANCEIRO ATE 30.04 / linha 19</t>
        </is>
      </c>
      <c r="P7" s="218" t="inlineStr">
        <is>
          <t>ALOJAMENTO, ALIMENTACAO E UTILIDADES</t>
        </is>
      </c>
      <c r="Q7" s="218" t="inlineStr">
        <is>
          <t>ADM</t>
        </is>
      </c>
    </row>
    <row r="8">
      <c r="A8" s="222" t="n">
        <v>5</v>
      </c>
      <c r="B8" s="218" t="inlineStr">
        <is>
          <t>DESPESA</t>
        </is>
      </c>
      <c r="C8" s="220" t="n">
        <v>46045</v>
      </c>
      <c r="D8" s="220" t="n">
        <v>46045</v>
      </c>
      <c r="E8" s="335">
        <f>IF(D8="","",DATE(YEAR(D8),MONTH(D8),1))</f>
        <v>46023.0</v>
      </c>
      <c r="F8" s="218" t="inlineStr">
        <is>
          <t>WESLEY DE SOUZA</t>
        </is>
      </c>
      <c r="G8" s="218" t="inlineStr">
        <is>
          <t>CONSERTO NOTEBOOK</t>
        </is>
      </c>
      <c r="H8" s="218" t="inlineStr">
        <is>
          <t>46</t>
        </is>
      </c>
      <c r="I8" s="219" t="n">
        <v>810</v>
      </c>
      <c r="J8" s="218" t="inlineStr">
        <is>
          <t>ADMINISTRATIVO</t>
        </is>
      </c>
      <c r="K8" s="218" t="inlineStr">
        <is>
          <t>ADMINISTRATIVO GERAL (seguros, honorarios, reembolsos, TI)</t>
        </is>
      </c>
      <c r="L8" s="222" t="str">
        <f>IF(B8&lt;&gt;"DESPESA","",IFERROR(VLOOKUP(K8,$P$5:$Q$16,2,FALSE),"?"))</f>
        <v>ADM</v>
      </c>
      <c r="M8" s="218" t="inlineStr">
        <is>
          <t>REALIZADO (até 30/04)</t>
        </is>
      </c>
      <c r="N8" s="272" t="inlineStr">
        <is>
          <t>SANEAGO_MOZARLANDIA_CUSTOS 30.04.2026.xlsx / FINANCEIRO ATE 30.04 / linha 20</t>
        </is>
      </c>
      <c r="P8" s="218" t="inlineStr">
        <is>
          <t>ADMINISTRATIVO GERAL (seguros, honorarios, reembolsos, TI)</t>
        </is>
      </c>
      <c r="Q8" s="218" t="inlineStr">
        <is>
          <t>ADM</t>
        </is>
      </c>
    </row>
    <row r="9">
      <c r="A9" s="222" t="n">
        <v>6</v>
      </c>
      <c r="B9" s="218" t="inlineStr">
        <is>
          <t>DESPESA</t>
        </is>
      </c>
      <c r="C9" s="220" t="n">
        <v>46049</v>
      </c>
      <c r="D9" s="220" t="n">
        <v>46049</v>
      </c>
      <c r="E9" s="335">
        <f>IF(D9="","",DATE(YEAR(D9),MONTH(D9),1))</f>
        <v>46023.0</v>
      </c>
      <c r="F9" s="218" t="inlineStr">
        <is>
          <t>JOSILENE MARIA SALES</t>
        </is>
      </c>
      <c r="G9" s="218" t="inlineStr">
        <is>
          <t>ALUQUEL CASA JANEIRO</t>
        </is>
      </c>
      <c r="H9" s="218" t="inlineStr">
        <is>
          <t>RECIBO</t>
        </is>
      </c>
      <c r="I9" s="219" t="n">
        <v>800</v>
      </c>
      <c r="J9" s="218" t="inlineStr">
        <is>
          <t>ADMINISTRATIVO</t>
        </is>
      </c>
      <c r="K9" s="218" t="inlineStr">
        <is>
          <t>ALOJAMENTO, ALIMENTACAO E UTILIDADES</t>
        </is>
      </c>
      <c r="L9" s="222" t="str">
        <f>IF(B9&lt;&gt;"DESPESA","",IFERROR(VLOOKUP(K9,$P$5:$Q$16,2,FALSE),"?"))</f>
        <v>ADM</v>
      </c>
      <c r="M9" s="218" t="inlineStr">
        <is>
          <t>REALIZADO (até 30/04)</t>
        </is>
      </c>
      <c r="N9" s="272" t="inlineStr">
        <is>
          <t>SANEAGO_MOZARLANDIA_CUSTOS 30.04.2026.xlsx / FINANCEIRO ATE 30.04 / linha 21</t>
        </is>
      </c>
      <c r="P9" s="218" t="inlineStr">
        <is>
          <t>ENGENHARIA/PRESTACAO DE SERVICOS PJ</t>
        </is>
      </c>
      <c r="Q9" s="218" t="inlineStr">
        <is>
          <t>ADM</t>
        </is>
      </c>
    </row>
    <row r="10">
      <c r="A10" s="222" t="n">
        <v>7</v>
      </c>
      <c r="B10" s="218" t="inlineStr">
        <is>
          <t>DESPESA</t>
        </is>
      </c>
      <c r="C10" s="220" t="n">
        <v>46050</v>
      </c>
      <c r="D10" s="220" t="n">
        <v>46049</v>
      </c>
      <c r="E10" s="335">
        <f>IF(D10="","",DATE(YEAR(D10),MONTH(D10),1))</f>
        <v>46023.0</v>
      </c>
      <c r="F10" s="218" t="inlineStr">
        <is>
          <t>LENOVO TECNOLOGIA</t>
        </is>
      </c>
      <c r="G10" s="218" t="inlineStr">
        <is>
          <t>COMPUTADOR ADM</t>
        </is>
      </c>
      <c r="H10" s="218" t="inlineStr">
        <is>
          <t>1265366</t>
        </is>
      </c>
      <c r="I10" s="219" t="n">
        <v>8388.360000000001</v>
      </c>
      <c r="J10" s="218" t="inlineStr">
        <is>
          <t>ADMINISTRATIVO</t>
        </is>
      </c>
      <c r="K10" s="218" t="inlineStr">
        <is>
          <t>ADMINISTRATIVO GERAL (seguros, honorarios, reembolsos, TI)</t>
        </is>
      </c>
      <c r="L10" s="222" t="str">
        <f>IF(B10&lt;&gt;"DESPESA","",IFERROR(VLOOKUP(K10,$P$5:$Q$16,2,FALSE),"?"))</f>
        <v>ADM</v>
      </c>
      <c r="M10" s="218" t="inlineStr">
        <is>
          <t>REALIZADO (até 30/04)</t>
        </is>
      </c>
      <c r="N10" s="272" t="inlineStr">
        <is>
          <t>SANEAGO_MOZARLANDIA_CUSTOS 30.04.2026.xlsx / FINANCEIRO ATE 30.04 / linha 22</t>
        </is>
      </c>
      <c r="P10" s="218" t="inlineStr">
        <is>
          <t>SERVICOS DE TERCEIROS / CANTEIRO</t>
        </is>
      </c>
      <c r="Q10" s="218" t="inlineStr">
        <is>
          <t>TER</t>
        </is>
      </c>
    </row>
    <row r="11">
      <c r="A11" s="222" t="n">
        <v>8</v>
      </c>
      <c r="B11" s="218" t="inlineStr">
        <is>
          <t>DESPESA</t>
        </is>
      </c>
      <c r="C11" s="220" t="n">
        <v>46049</v>
      </c>
      <c r="D11" s="220" t="n">
        <v>46049</v>
      </c>
      <c r="E11" s="335">
        <f>IF(D11="","",DATE(YEAR(D11),MONTH(D11),1))</f>
        <v>46023.0</v>
      </c>
      <c r="F11" s="218" t="inlineStr">
        <is>
          <t>MARLENE SILVA</t>
        </is>
      </c>
      <c r="G11" s="218" t="inlineStr">
        <is>
          <t>INSTALÇAÕA DE 02 AR CONDICIONA CANTEIROS</t>
        </is>
      </c>
      <c r="H11" s="218" t="inlineStr">
        <is>
          <t>46050</t>
        </is>
      </c>
      <c r="I11" s="219" t="n">
        <v>870.8</v>
      </c>
      <c r="J11" s="218" t="inlineStr">
        <is>
          <t>ADMINISTRATIVO</t>
        </is>
      </c>
      <c r="K11" s="218" t="inlineStr">
        <is>
          <t>SERVICOS DE TERCEIROS / CANTEIRO</t>
        </is>
      </c>
      <c r="L11" s="222" t="str">
        <f>IF(B11&lt;&gt;"DESPESA","",IFERROR(VLOOKUP(K11,$P$5:$Q$16,2,FALSE),"?"))</f>
        <v>TER</v>
      </c>
      <c r="M11" s="218" t="inlineStr">
        <is>
          <t>REALIZADO (até 30/04)</t>
        </is>
      </c>
      <c r="N11" s="272" t="inlineStr">
        <is>
          <t>SANEAGO_MOZARLANDIA_CUSTOS 30.04.2026.xlsx / FINANCEIRO ATE 30.04 / linha 23</t>
        </is>
      </c>
      <c r="P11" s="218" t="inlineStr">
        <is>
          <t>SEGURANCA DO TRABALHO (EPI/UNIFORMES)</t>
        </is>
      </c>
      <c r="Q11" s="218" t="inlineStr">
        <is>
          <t>ADM</t>
        </is>
      </c>
    </row>
    <row r="12">
      <c r="A12" s="222" t="n">
        <v>9</v>
      </c>
      <c r="B12" s="218" t="inlineStr">
        <is>
          <t>DESPESA</t>
        </is>
      </c>
      <c r="C12" s="220" t="n">
        <v>46051</v>
      </c>
      <c r="D12" s="220" t="n">
        <v>46050</v>
      </c>
      <c r="E12" s="335">
        <f>IF(D12="","",DATE(YEAR(D12),MONTH(D12),1))</f>
        <v>46023.0</v>
      </c>
      <c r="F12" s="218" t="inlineStr">
        <is>
          <t>J.E MOVEIS</t>
        </is>
      </c>
      <c r="G12" s="218" t="inlineStr">
        <is>
          <t>ARQUIVO DE ACO  PARA CANTEIRO</t>
        </is>
      </c>
      <c r="H12" s="218" t="inlineStr">
        <is>
          <t>617</t>
        </is>
      </c>
      <c r="I12" s="219" t="n">
        <v>900</v>
      </c>
      <c r="J12" s="218" t="inlineStr">
        <is>
          <t>ADMINISTRATIVO</t>
        </is>
      </c>
      <c r="K12" s="218" t="inlineStr">
        <is>
          <t>ALOJAMENTO, ALIMENTACAO E UTILIDADES</t>
        </is>
      </c>
      <c r="L12" s="222" t="str">
        <f>IF(B12&lt;&gt;"DESPESA","",IFERROR(VLOOKUP(K12,$P$5:$Q$16,2,FALSE),"?"))</f>
        <v>ADM</v>
      </c>
      <c r="M12" s="218" t="inlineStr">
        <is>
          <t>REALIZADO (até 30/04)</t>
        </is>
      </c>
      <c r="N12" s="272" t="inlineStr">
        <is>
          <t>SANEAGO_MOZARLANDIA_CUSTOS 30.04.2026.xlsx / FINANCEIRO ATE 30.04 / linha 24</t>
        </is>
      </c>
      <c r="P12" s="218" t="inlineStr">
        <is>
          <t>LOCACAO DE EQUIPAMENTOS</t>
        </is>
      </c>
      <c r="Q12" s="218" t="inlineStr">
        <is>
          <t>EQP</t>
        </is>
      </c>
    </row>
    <row r="13">
      <c r="A13" s="222" t="n">
        <v>10</v>
      </c>
      <c r="B13" s="218" t="inlineStr">
        <is>
          <t>DESPESA</t>
        </is>
      </c>
      <c r="C13" s="220" t="n"/>
      <c r="D13" s="220" t="n">
        <v>46052</v>
      </c>
      <c r="E13" s="335">
        <f>IF(D13="","",DATE(YEAR(D13),MONTH(D13),1))</f>
        <v>46023.0</v>
      </c>
      <c r="F13" s="218" t="inlineStr">
        <is>
          <t>ALVES E ROCHA LTDA</t>
        </is>
      </c>
      <c r="G13" s="218" t="inlineStr">
        <is>
          <t>GASOLINA</t>
        </is>
      </c>
      <c r="H13" s="218" t="inlineStr">
        <is>
          <t>17267</t>
        </is>
      </c>
      <c r="I13" s="219" t="n">
        <v>293.16</v>
      </c>
      <c r="J13" s="218" t="inlineStr">
        <is>
          <t>ADMINISTRATIVO</t>
        </is>
      </c>
      <c r="K13" s="218" t="inlineStr">
        <is>
          <t>COMBUSTIVEIS</t>
        </is>
      </c>
      <c r="L13" s="222" t="str">
        <f>IF(B13&lt;&gt;"DESPESA","",IFERROR(VLOOKUP(K13,$P$5:$Q$16,2,FALSE),"?"))</f>
        <v>EQP</v>
      </c>
      <c r="M13" s="218" t="inlineStr">
        <is>
          <t>REALIZADO (até 30/04)</t>
        </is>
      </c>
      <c r="N13" s="272" t="inlineStr">
        <is>
          <t>SANEAGO_MOZARLANDIA_CUSTOS 30.04.2026.xlsx / FINANCEIRO ATE 30.04 / linha 25</t>
        </is>
      </c>
      <c r="P13" s="218" t="inlineStr">
        <is>
          <t>COMBUSTIVEIS</t>
        </is>
      </c>
      <c r="Q13" s="218" t="inlineStr">
        <is>
          <t>EQP</t>
        </is>
      </c>
    </row>
    <row r="14">
      <c r="A14" s="222" t="n">
        <v>11</v>
      </c>
      <c r="B14" s="218" t="inlineStr">
        <is>
          <t>DESPESA</t>
        </is>
      </c>
      <c r="C14" s="220" t="n">
        <v>46052</v>
      </c>
      <c r="D14" s="220" t="n">
        <v>46052</v>
      </c>
      <c r="E14" s="335">
        <f>IF(D14="","",DATE(YEAR(D14),MONTH(D14),1))</f>
        <v>46023.0</v>
      </c>
      <c r="F14" s="218" t="inlineStr">
        <is>
          <t>CREA-GO</t>
        </is>
      </c>
      <c r="G14" s="218" t="inlineStr">
        <is>
          <t>ART ENGENHEIRO</t>
        </is>
      </c>
      <c r="H14" s="218" t="inlineStr">
        <is>
          <t>BOLETO</t>
        </is>
      </c>
      <c r="I14" s="219" t="n">
        <v>108.39</v>
      </c>
      <c r="J14" s="218" t="inlineStr">
        <is>
          <t>ADMINISTRATIVO</t>
        </is>
      </c>
      <c r="K14" s="218" t="inlineStr">
        <is>
          <t>ADMINISTRATIVO GERAL (seguros, honorarios, reembolsos, TI)</t>
        </is>
      </c>
      <c r="L14" s="222" t="str">
        <f>IF(B14&lt;&gt;"DESPESA","",IFERROR(VLOOKUP(K14,$P$5:$Q$16,2,FALSE),"?"))</f>
        <v>ADM</v>
      </c>
      <c r="M14" s="218" t="inlineStr">
        <is>
          <t>REALIZADO (até 30/04)</t>
        </is>
      </c>
      <c r="N14" s="272" t="inlineStr">
        <is>
          <t>SANEAGO_MOZARLANDIA_CUSTOS 30.04.2026.xlsx / FINANCEIRO ATE 30.04 / linha 26</t>
        </is>
      </c>
    </row>
    <row r="15">
      <c r="A15" s="222" t="n">
        <v>12</v>
      </c>
      <c r="B15" s="218" t="inlineStr">
        <is>
          <t>DESPESA</t>
        </is>
      </c>
      <c r="C15" s="220" t="n">
        <v>46054</v>
      </c>
      <c r="D15" s="220" t="n">
        <v>46054</v>
      </c>
      <c r="E15" s="335">
        <f>IF(D15="","",DATE(YEAR(D15),MONTH(D15),1))</f>
        <v>46054.0</v>
      </c>
      <c r="F15" s="218" t="inlineStr">
        <is>
          <t>POTTENCIAL SEGURADORA S.A.</t>
        </is>
      </c>
      <c r="G15" s="218" t="inlineStr">
        <is>
          <t>SEGURO DA OBRA</t>
        </is>
      </c>
      <c r="H15" s="218" t="inlineStr">
        <is>
          <t>APOLICE</t>
        </is>
      </c>
      <c r="I15" s="219" t="n">
        <v>2172.66</v>
      </c>
      <c r="J15" s="218" t="inlineStr">
        <is>
          <t>ADMINISTRATIVO</t>
        </is>
      </c>
      <c r="K15" s="218" t="inlineStr">
        <is>
          <t>ADMINISTRATIVO GERAL (seguros, honorarios, reembolsos, TI)</t>
        </is>
      </c>
      <c r="L15" s="222" t="str">
        <f>IF(B15&lt;&gt;"DESPESA","",IFERROR(VLOOKUP(K15,$P$5:$Q$16,2,FALSE),"?"))</f>
        <v>ADM</v>
      </c>
      <c r="M15" s="218" t="inlineStr">
        <is>
          <t>REALIZADO (até 30/04)</t>
        </is>
      </c>
      <c r="N15" s="272" t="inlineStr">
        <is>
          <t>SANEAGO_MOZARLANDIA_CUSTOS 30.04.2026.xlsx / FINANCEIRO ATE 30.04 / linha 27</t>
        </is>
      </c>
    </row>
    <row r="16">
      <c r="A16" s="222" t="n">
        <v>13</v>
      </c>
      <c r="B16" s="218" t="inlineStr">
        <is>
          <t>DESPESA</t>
        </is>
      </c>
      <c r="C16" s="220" t="n">
        <v>46056</v>
      </c>
      <c r="D16" s="220" t="n">
        <v>46056</v>
      </c>
      <c r="E16" s="335">
        <f>IF(D16="","",DATE(YEAR(D16),MONTH(D16),1))</f>
        <v>46054.0</v>
      </c>
      <c r="F16" s="218" t="inlineStr">
        <is>
          <t>JOSILENE MARIA SALES</t>
        </is>
      </c>
      <c r="G16" s="218" t="inlineStr">
        <is>
          <t>ALUQUEL CASA  FEVEREIRO</t>
        </is>
      </c>
      <c r="H16" s="218" t="inlineStr">
        <is>
          <t>RECIBO</t>
        </is>
      </c>
      <c r="I16" s="219" t="n">
        <v>800</v>
      </c>
      <c r="J16" s="218" t="inlineStr">
        <is>
          <t>ADMINISTRATIVO</t>
        </is>
      </c>
      <c r="K16" s="218" t="inlineStr">
        <is>
          <t>ALOJAMENTO, ALIMENTACAO E UTILIDADES</t>
        </is>
      </c>
      <c r="L16" s="222" t="str">
        <f>IF(B16&lt;&gt;"DESPESA","",IFERROR(VLOOKUP(K16,$P$5:$Q$16,2,FALSE),"?"))</f>
        <v>ADM</v>
      </c>
      <c r="M16" s="218" t="inlineStr">
        <is>
          <t>REALIZADO (até 30/04)</t>
        </is>
      </c>
      <c r="N16" s="272" t="inlineStr">
        <is>
          <t>SANEAGO_MOZARLANDIA_CUSTOS 30.04.2026.xlsx / FINANCEIRO ATE 30.04 / linha 28</t>
        </is>
      </c>
    </row>
    <row r="17">
      <c r="A17" s="222" t="n">
        <v>14</v>
      </c>
      <c r="B17" s="218" t="inlineStr">
        <is>
          <t>DESPESA</t>
        </is>
      </c>
      <c r="C17" s="220" t="n">
        <v>46057</v>
      </c>
      <c r="D17" s="220" t="n">
        <v>46057</v>
      </c>
      <c r="E17" s="335">
        <f>IF(D17="","",DATE(YEAR(D17),MONTH(D17),1))</f>
        <v>46054.0</v>
      </c>
      <c r="F17" s="218" t="inlineStr">
        <is>
          <t>MARLENE SILVA</t>
        </is>
      </c>
      <c r="G17" s="218" t="inlineStr">
        <is>
          <t>TROCA DE AR CONDICIONADO</t>
        </is>
      </c>
      <c r="H17" s="218" t="inlineStr">
        <is>
          <t>13</t>
        </is>
      </c>
      <c r="I17" s="219" t="n">
        <v>550</v>
      </c>
      <c r="J17" s="218" t="inlineStr">
        <is>
          <t>ADMINISTRATIVO</t>
        </is>
      </c>
      <c r="K17" s="218" t="inlineStr">
        <is>
          <t>SERVICOS DE TERCEIROS / CANTEIRO</t>
        </is>
      </c>
      <c r="L17" s="222" t="str">
        <f>IF(B17&lt;&gt;"DESPESA","",IFERROR(VLOOKUP(K17,$P$5:$Q$16,2,FALSE),"?"))</f>
        <v>TER</v>
      </c>
      <c r="M17" s="218" t="inlineStr">
        <is>
          <t>REALIZADO (até 30/04)</t>
        </is>
      </c>
      <c r="N17" s="272" t="inlineStr">
        <is>
          <t>SANEAGO_MOZARLANDIA_CUSTOS 30.04.2026.xlsx / FINANCEIRO ATE 30.04 / linha 29</t>
        </is>
      </c>
    </row>
    <row r="18">
      <c r="A18" s="222" t="n">
        <v>15</v>
      </c>
      <c r="B18" s="218" t="inlineStr">
        <is>
          <t>DESPESA</t>
        </is>
      </c>
      <c r="C18" s="220" t="n">
        <v>46058</v>
      </c>
      <c r="D18" s="220" t="n">
        <v>46058</v>
      </c>
      <c r="E18" s="335">
        <f>IF(D18="","",DATE(YEAR(D18),MONTH(D18),1))</f>
        <v>46054.0</v>
      </c>
      <c r="F18" s="218" t="inlineStr">
        <is>
          <t>RICARLOS ALVES DE OLIVEIRA</t>
        </is>
      </c>
      <c r="G18" s="218" t="inlineStr">
        <is>
          <t>PAGAMENTO ENGENHEIRO</t>
        </is>
      </c>
      <c r="H18" s="218" t="inlineStr">
        <is>
          <t>514</t>
        </is>
      </c>
      <c r="I18" s="219" t="n">
        <v>15000</v>
      </c>
      <c r="J18" s="218" t="inlineStr">
        <is>
          <t>ADMINISTRATIVO</t>
        </is>
      </c>
      <c r="K18" s="218" t="inlineStr">
        <is>
          <t>ENGENHARIA/PRESTACAO DE SERVICOS PJ</t>
        </is>
      </c>
      <c r="L18" s="222" t="str">
        <f>IF(B18&lt;&gt;"DESPESA","",IFERROR(VLOOKUP(K18,$P$5:$Q$16,2,FALSE),"?"))</f>
        <v>ADM</v>
      </c>
      <c r="M18" s="218" t="inlineStr">
        <is>
          <t>REALIZADO (até 30/04)</t>
        </is>
      </c>
      <c r="N18" s="272" t="inlineStr">
        <is>
          <t>SANEAGO_MOZARLANDIA_CUSTOS 30.04.2026.xlsx / FINANCEIRO ATE 30.04 / linha 30</t>
        </is>
      </c>
    </row>
    <row r="19">
      <c r="A19" s="222" t="n">
        <v>16</v>
      </c>
      <c r="B19" s="218" t="inlineStr">
        <is>
          <t>DESPESA</t>
        </is>
      </c>
      <c r="C19" s="220" t="n">
        <v>46055</v>
      </c>
      <c r="D19" s="220" t="n">
        <v>46063</v>
      </c>
      <c r="E19" s="335">
        <f>IF(D19="","",DATE(YEAR(D19),MONTH(D19),1))</f>
        <v>46054.0</v>
      </c>
      <c r="F19" s="218" t="inlineStr">
        <is>
          <t>C3 ARTES E GRAFICAS LTDA</t>
        </is>
      </c>
      <c r="G19" s="218" t="inlineStr">
        <is>
          <t>SERVICO DE GRAFICA</t>
        </is>
      </c>
      <c r="H19" s="218" t="inlineStr">
        <is>
          <t>869</t>
        </is>
      </c>
      <c r="I19" s="219" t="n">
        <v>4250</v>
      </c>
      <c r="J19" s="218" t="inlineStr">
        <is>
          <t>ADMINISTRATIVO</t>
        </is>
      </c>
      <c r="K19" s="218" t="inlineStr">
        <is>
          <t>SERVICOS DE TERCEIROS / CANTEIRO</t>
        </is>
      </c>
      <c r="L19" s="222" t="str">
        <f>IF(B19&lt;&gt;"DESPESA","",IFERROR(VLOOKUP(K19,$P$5:$Q$16,2,FALSE),"?"))</f>
        <v>TER</v>
      </c>
      <c r="M19" s="218" t="inlineStr">
        <is>
          <t>REALIZADO (até 30/04)</t>
        </is>
      </c>
      <c r="N19" s="272" t="inlineStr">
        <is>
          <t>SANEAGO_MOZARLANDIA_CUSTOS 30.04.2026.xlsx / FINANCEIRO ATE 30.04 / linha 31 | REPETIDA: mesmo NF 869, fornecedor e valor (~4250) aparece 2x (vencimentos: 2026-02-10, 2026-03-04); parcela ou duplicidade, conferir</t>
        </is>
      </c>
      <c r="P19" s="336" t="inlineStr">
        <is>
          <t>RESUMO</t>
        </is>
      </c>
      <c r="Q19" s="215" t="inlineStr">
        <is>
          <t>R$</t>
        </is>
      </c>
    </row>
    <row r="20">
      <c r="A20" s="222" t="n">
        <v>17</v>
      </c>
      <c r="B20" s="218" t="inlineStr">
        <is>
          <t>DESPESA</t>
        </is>
      </c>
      <c r="C20" s="220" t="n">
        <v>46063</v>
      </c>
      <c r="D20" s="220" t="n">
        <v>46063</v>
      </c>
      <c r="E20" s="335">
        <f>IF(D20="","",DATE(YEAR(D20),MONTH(D20),1))</f>
        <v>46054.0</v>
      </c>
      <c r="F20" s="218" t="inlineStr">
        <is>
          <t>RAFAEL ALVES</t>
        </is>
      </c>
      <c r="G20" s="218" t="inlineStr">
        <is>
          <t>REEMBOLSO DIVERSOS RAFAEL</t>
        </is>
      </c>
      <c r="H20" s="218" t="inlineStr">
        <is>
          <t>RECIBO</t>
        </is>
      </c>
      <c r="I20" s="219" t="n">
        <v>3302.6</v>
      </c>
      <c r="J20" s="218" t="inlineStr">
        <is>
          <t>ADMINISTRATIVO</t>
        </is>
      </c>
      <c r="K20" s="218" t="inlineStr">
        <is>
          <t>ADMINISTRATIVO GERAL (seguros, honorarios, reembolsos, TI)</t>
        </is>
      </c>
      <c r="L20" s="222" t="str">
        <f>IF(B20&lt;&gt;"DESPESA","",IFERROR(VLOOKUP(K20,$P$5:$Q$16,2,FALSE),"?"))</f>
        <v>ADM</v>
      </c>
      <c r="M20" s="218" t="inlineStr">
        <is>
          <t>REALIZADO (até 30/04)</t>
        </is>
      </c>
      <c r="N20" s="272" t="inlineStr">
        <is>
          <t>SANEAGO_MOZARLANDIA_CUSTOS 30.04.2026.xlsx / FINANCEIRO ATE 30.04 / linha 32</t>
        </is>
      </c>
      <c r="P20" s="234" t="inlineStr">
        <is>
          <t>Despesas lançadas</t>
        </is>
      </c>
      <c r="Q20" s="233">
        <f>SUMIFS($I$4:$I$603,$B$4:$B$603,"DESPESA")</f>
        <v>1103553.37</v>
      </c>
    </row>
    <row r="21">
      <c r="A21" s="222" t="n">
        <v>18</v>
      </c>
      <c r="B21" s="218" t="inlineStr">
        <is>
          <t>DESPESA</t>
        </is>
      </c>
      <c r="C21" s="220" t="n">
        <v>46066</v>
      </c>
      <c r="D21" s="220" t="n">
        <v>46066</v>
      </c>
      <c r="E21" s="335">
        <f>IF(D21="","",DATE(YEAR(D21),MONTH(D21),1))</f>
        <v>46054.0</v>
      </c>
      <c r="F21" s="218" t="inlineStr">
        <is>
          <t>MARLENE SILVA</t>
        </is>
      </c>
      <c r="G21" s="218" t="inlineStr">
        <is>
          <t>CONSERTO AR CONDICIONADO</t>
        </is>
      </c>
      <c r="H21" s="218" t="inlineStr">
        <is>
          <t>10</t>
        </is>
      </c>
      <c r="I21" s="219" t="n">
        <v>390</v>
      </c>
      <c r="J21" s="218" t="inlineStr">
        <is>
          <t>ADMINISTRATIVO</t>
        </is>
      </c>
      <c r="K21" s="218" t="inlineStr">
        <is>
          <t>SERVICOS DE TERCEIROS / CANTEIRO</t>
        </is>
      </c>
      <c r="L21" s="222" t="str">
        <f>IF(B21&lt;&gt;"DESPESA","",IFERROR(VLOOKUP(K21,$P$5:$Q$16,2,FALSE),"?"))</f>
        <v>TER</v>
      </c>
      <c r="M21" s="218" t="inlineStr">
        <is>
          <t>REALIZADO (até 30/04)</t>
        </is>
      </c>
      <c r="N21" s="272" t="inlineStr">
        <is>
          <t>SANEAGO_MOZARLANDIA_CUSTOS 30.04.2026.xlsx / FINANCEIRO ATE 30.04 / linha 33</t>
        </is>
      </c>
      <c r="P21" s="234" t="inlineStr">
        <is>
          <t xml:space="preserve">  das quais com situação REALIZADO</t>
        </is>
      </c>
      <c r="Q21" s="233">
        <f>SUMIFS($I$4:$I$603,$B$4:$B$603,"DESPESA",$M$4:$M$603,"REALIZADO*")</f>
        <v>778284.27</v>
      </c>
    </row>
    <row r="22">
      <c r="A22" s="222" t="n">
        <v>19</v>
      </c>
      <c r="B22" s="218" t="inlineStr">
        <is>
          <t>DESPESA</t>
        </is>
      </c>
      <c r="C22" s="220" t="n">
        <v>46070</v>
      </c>
      <c r="D22" s="220" t="n">
        <v>46070</v>
      </c>
      <c r="E22" s="335">
        <f>IF(D22="","",DATE(YEAR(D22),MONTH(D22),1))</f>
        <v>46054.0</v>
      </c>
      <c r="F22" s="218" t="inlineStr">
        <is>
          <t>CREA-GO</t>
        </is>
      </c>
      <c r="G22" s="218" t="inlineStr">
        <is>
          <t>ART ENGENHEIRO</t>
        </is>
      </c>
      <c r="H22" s="218" t="inlineStr">
        <is>
          <t>CREA</t>
        </is>
      </c>
      <c r="I22" s="219" t="n">
        <v>108.39</v>
      </c>
      <c r="J22" s="218" t="inlineStr">
        <is>
          <t>ADMINISTRATIVO</t>
        </is>
      </c>
      <c r="K22" s="218" t="inlineStr">
        <is>
          <t>ADMINISTRATIVO GERAL (seguros, honorarios, reembolsos, TI)</t>
        </is>
      </c>
      <c r="L22" s="222" t="str">
        <f>IF(B22&lt;&gt;"DESPESA","",IFERROR(VLOOKUP(K22,$P$5:$Q$16,2,FALSE),"?"))</f>
        <v>ADM</v>
      </c>
      <c r="M22" s="218" t="inlineStr">
        <is>
          <t>REALIZADO (até 30/04)</t>
        </is>
      </c>
      <c r="N22" s="272" t="inlineStr">
        <is>
          <t>SANEAGO_MOZARLANDIA_CUSTOS 30.04.2026.xlsx / FINANCEIRO ATE 30.04 / linha 34</t>
        </is>
      </c>
      <c r="P22" s="234" t="inlineStr">
        <is>
          <t xml:space="preserve">  das quais PROGRAMADO (maio, sem baixa)</t>
        </is>
      </c>
      <c r="Q22" s="233">
        <f>SUMIFS($I$4:$I$603,$B$4:$B$603,"DESPESA",$M$4:$M$603,"PROGRAMADO*")</f>
        <v>325269.1</v>
      </c>
    </row>
    <row r="23">
      <c r="A23" s="222" t="n">
        <v>20</v>
      </c>
      <c r="B23" s="218" t="inlineStr">
        <is>
          <t>DESPESA</t>
        </is>
      </c>
      <c r="C23" s="220" t="n">
        <v>46069</v>
      </c>
      <c r="D23" s="220" t="n">
        <v>46071</v>
      </c>
      <c r="E23" s="335">
        <f>IF(D23="","",DATE(YEAR(D23),MONTH(D23),1))</f>
        <v>46054.0</v>
      </c>
      <c r="F23" s="218" t="inlineStr">
        <is>
          <t>ALVES E ROCHA LTDA</t>
        </is>
      </c>
      <c r="G23" s="218" t="inlineStr">
        <is>
          <t>GASOLINA</t>
        </is>
      </c>
      <c r="H23" s="218" t="inlineStr">
        <is>
          <t>11263209</t>
        </is>
      </c>
      <c r="I23" s="219" t="n">
        <v>209.8</v>
      </c>
      <c r="J23" s="218" t="inlineStr">
        <is>
          <t>ADMINISTRATIVO</t>
        </is>
      </c>
      <c r="K23" s="218" t="inlineStr">
        <is>
          <t>COMBUSTIVEIS</t>
        </is>
      </c>
      <c r="L23" s="222" t="str">
        <f>IF(B23&lt;&gt;"DESPESA","",IFERROR(VLOOKUP(K23,$P$5:$Q$16,2,FALSE),"?"))</f>
        <v>EQP</v>
      </c>
      <c r="M23" s="218" t="inlineStr">
        <is>
          <t>REALIZADO (até 30/04)</t>
        </is>
      </c>
      <c r="N23" s="272" t="inlineStr">
        <is>
          <t>SANEAGO_MOZARLANDIA_CUSTOS 30.04.2026.xlsx / FINANCEIRO ATE 30.04 / linha 35</t>
        </is>
      </c>
      <c r="P23" s="234" t="inlineStr">
        <is>
          <t>Último vencimento lançado</t>
        </is>
      </c>
      <c r="Q23" s="232">
        <f>_xlfn.MAXIFS($D$4:$D$603,$B$4:$B$603,"DESPESA")</f>
        <v>46172.0</v>
      </c>
    </row>
    <row r="24">
      <c r="A24" s="222" t="n">
        <v>21</v>
      </c>
      <c r="B24" s="218" t="inlineStr">
        <is>
          <t>DESPESA</t>
        </is>
      </c>
      <c r="C24" s="220" t="n">
        <v>46068</v>
      </c>
      <c r="D24" s="220" t="n">
        <v>46071</v>
      </c>
      <c r="E24" s="335">
        <f>IF(D24="","",DATE(YEAR(D24),MONTH(D24),1))</f>
        <v>46054.0</v>
      </c>
      <c r="F24" s="218" t="inlineStr">
        <is>
          <t>LIFEIN TELECOM LTDA</t>
        </is>
      </c>
      <c r="G24" s="218" t="inlineStr">
        <is>
          <t>INTERNET</t>
        </is>
      </c>
      <c r="H24" s="218" t="inlineStr">
        <is>
          <t>BOLETO</t>
        </is>
      </c>
      <c r="I24" s="219" t="n">
        <v>53.28</v>
      </c>
      <c r="J24" s="218" t="inlineStr">
        <is>
          <t>ADMINISTRATIVO</t>
        </is>
      </c>
      <c r="K24" s="218" t="inlineStr">
        <is>
          <t>ALOJAMENTO, ALIMENTACAO E UTILIDADES</t>
        </is>
      </c>
      <c r="L24" s="222" t="str">
        <f>IF(B24&lt;&gt;"DESPESA","",IFERROR(VLOOKUP(K24,$P$5:$Q$16,2,FALSE),"?"))</f>
        <v>ADM</v>
      </c>
      <c r="M24" s="218" t="inlineStr">
        <is>
          <t>REALIZADO (até 30/04)</t>
        </is>
      </c>
      <c r="N24" s="272" t="inlineStr">
        <is>
          <t>SANEAGO_MOZARLANDIA_CUSTOS 30.04.2026.xlsx / FINANCEIRO ATE 30.04 / linha 36</t>
        </is>
      </c>
      <c r="P24" s="234" t="inlineStr">
        <is>
          <t>Aportes TAF</t>
        </is>
      </c>
      <c r="Q24" s="233">
        <f>SUMIFS($I$4:$I$603,$B$4:$B$603,"APORTE",$F$4:$F$603,"TAF*")</f>
        <v>306856.66</v>
      </c>
    </row>
    <row r="25">
      <c r="A25" s="222" t="n">
        <v>22</v>
      </c>
      <c r="B25" s="218" t="inlineStr">
        <is>
          <t>DESPESA</t>
        </is>
      </c>
      <c r="C25" s="220" t="n">
        <v>46063</v>
      </c>
      <c r="D25" s="220" t="n">
        <v>46072</v>
      </c>
      <c r="E25" s="335">
        <f>IF(D25="","",DATE(YEAR(D25),MONTH(D25),1))</f>
        <v>46054.0</v>
      </c>
      <c r="F25" s="218" t="inlineStr">
        <is>
          <t>ART AREIAS RIO TESOURO LTDA</t>
        </is>
      </c>
      <c r="G25" s="218" t="inlineStr">
        <is>
          <t>MADEIRA PARA O CANTEIRO</t>
        </is>
      </c>
      <c r="H25" s="218" t="inlineStr">
        <is>
          <t>8983</t>
        </is>
      </c>
      <c r="I25" s="219" t="n">
        <v>1531.86</v>
      </c>
      <c r="J25" s="218" t="inlineStr">
        <is>
          <t>CIVIL</t>
        </is>
      </c>
      <c r="K25" s="218" t="inlineStr">
        <is>
          <t>MATERIAIS E FERRAMENTAS</t>
        </is>
      </c>
      <c r="L25" s="222" t="str">
        <f>IF(B25&lt;&gt;"DESPESA","",IFERROR(VLOOKUP(K25,$P$5:$Q$16,2,FALSE),"?"))</f>
        <v>MAT</v>
      </c>
      <c r="M25" s="218" t="inlineStr">
        <is>
          <t>REALIZADO (até 30/04)</t>
        </is>
      </c>
      <c r="N25" s="272" t="inlineStr">
        <is>
          <t>SANEAGO_MOZARLANDIA_CUSTOS 30.04.2026.xlsx / FINANCEIRO ATE 30.04 / linha 37</t>
        </is>
      </c>
      <c r="P25" s="234" t="inlineStr">
        <is>
          <t>Aportes TECNOBOMBAS</t>
        </is>
      </c>
      <c r="Q25" s="233">
        <f>SUMIFS($I$4:$I$603,$B$4:$B$603,"APORTE",$F$4:$F$603,"TECNOBOMBAS*")</f>
        <v>282690.49</v>
      </c>
    </row>
    <row r="26">
      <c r="A26" s="222" t="n">
        <v>23</v>
      </c>
      <c r="B26" s="218" t="inlineStr">
        <is>
          <t>DESPESA</t>
        </is>
      </c>
      <c r="C26" s="220" t="n">
        <v>46062</v>
      </c>
      <c r="D26" s="220" t="n">
        <v>46072</v>
      </c>
      <c r="E26" s="335">
        <f>IF(D26="","",DATE(YEAR(D26),MONTH(D26),1))</f>
        <v>46054.0</v>
      </c>
      <c r="F26" s="218" t="inlineStr">
        <is>
          <t>MADEIMANAS MADEIREIRA MANAS LTDA</t>
        </is>
      </c>
      <c r="G26" s="218" t="inlineStr">
        <is>
          <t>MATERIAL APLICADO COM FERRAMENTAS</t>
        </is>
      </c>
      <c r="H26" s="218" t="inlineStr">
        <is>
          <t>177241</t>
        </is>
      </c>
      <c r="I26" s="219" t="n">
        <v>3617.86</v>
      </c>
      <c r="J26" s="218" t="inlineStr">
        <is>
          <t>CIVIL</t>
        </is>
      </c>
      <c r="K26" s="218" t="inlineStr">
        <is>
          <t>MATERIAIS E FERRAMENTAS</t>
        </is>
      </c>
      <c r="L26" s="222" t="str">
        <f>IF(B26&lt;&gt;"DESPESA","",IFERROR(VLOOKUP(K26,$P$5:$Q$16,2,FALSE),"?"))</f>
        <v>MAT</v>
      </c>
      <c r="M26" s="218" t="inlineStr">
        <is>
          <t>REALIZADO (até 30/04)</t>
        </is>
      </c>
      <c r="N26" s="272" t="inlineStr">
        <is>
          <t>SANEAGO_MOZARLANDIA_CUSTOS 30.04.2026.xlsx / FINANCEIRO ATE 30.04 / linha 38 | REPETIDA: mesmo NF 177241, fornecedor e valor (~3618) aparece 3x (vencimentos: 2026-02-19, 2026-03-09, 2026-04-09); parcela ou duplicidade, conferir</t>
        </is>
      </c>
      <c r="P26" s="234" t="inlineStr">
        <is>
          <t>Parte da TAF nos aportes</t>
        </is>
      </c>
      <c r="Q26" s="268">
        <f>IFERROR(Q24/(Q24+Q25),0)</f>
        <v>0.520495536277294</v>
      </c>
    </row>
    <row r="27">
      <c r="A27" s="222" t="n">
        <v>24</v>
      </c>
      <c r="B27" s="218" t="inlineStr">
        <is>
          <t>DESPESA</t>
        </is>
      </c>
      <c r="C27" s="220" t="n">
        <v>46063</v>
      </c>
      <c r="D27" s="220" t="n">
        <v>46072</v>
      </c>
      <c r="E27" s="335">
        <f>IF(D27="","",DATE(YEAR(D27),MONTH(D27),1))</f>
        <v>46054.0</v>
      </c>
      <c r="F27" s="218" t="inlineStr">
        <is>
          <t>MADEIMANAS MADEIREIRA MANAS LTDA</t>
        </is>
      </c>
      <c r="G27" s="218" t="inlineStr">
        <is>
          <t>MATERIAL APLICADO</t>
        </is>
      </c>
      <c r="H27" s="218" t="inlineStr">
        <is>
          <t>177240</t>
        </is>
      </c>
      <c r="I27" s="219" t="n">
        <v>4877.71</v>
      </c>
      <c r="J27" s="218" t="inlineStr">
        <is>
          <t>CIVIL</t>
        </is>
      </c>
      <c r="K27" s="218" t="inlineStr">
        <is>
          <t>MATERIAIS E FERRAMENTAS</t>
        </is>
      </c>
      <c r="L27" s="222" t="str">
        <f>IF(B27&lt;&gt;"DESPESA","",IFERROR(VLOOKUP(K27,$P$5:$Q$16,2,FALSE),"?"))</f>
        <v>MAT</v>
      </c>
      <c r="M27" s="218" t="inlineStr">
        <is>
          <t>REALIZADO (até 30/04)</t>
        </is>
      </c>
      <c r="N27" s="272" t="inlineStr">
        <is>
          <t>SANEAGO_MOZARLANDIA_CUSTOS 30.04.2026.xlsx / FINANCEIRO ATE 30.04 / linha 39 | REPETIDA: mesmo NF 177240, fornecedor e valor (~4878) aparece 3x (vencimentos: 2026-02-19, 2026-03-09, 2026-04-09); parcela ou duplicidade, conferir</t>
        </is>
      </c>
      <c r="P27" s="234" t="inlineStr">
        <is>
          <t>Lançamentos com a mesma NF, fornecedor e valor em outro mês (conferir)</t>
        </is>
      </c>
      <c r="Q27" s="221">
        <f>COUNTIF($N$4:$N$603,"*REPETIDA*")</f>
        <v>56</v>
      </c>
    </row>
    <row r="28">
      <c r="A28" s="222" t="n">
        <v>25</v>
      </c>
      <c r="B28" s="218" t="inlineStr">
        <is>
          <t>DESPESA</t>
        </is>
      </c>
      <c r="C28" s="220" t="n">
        <v>46073</v>
      </c>
      <c r="D28" s="220" t="n">
        <v>46073</v>
      </c>
      <c r="E28" s="335">
        <f>IF(D28="","",DATE(YEAR(D28),MONTH(D28),1))</f>
        <v>46054.0</v>
      </c>
      <c r="F28" s="218" t="inlineStr">
        <is>
          <t>ANTONIO BORGES</t>
        </is>
      </c>
      <c r="G28" s="218" t="inlineStr">
        <is>
          <t>ADIANTAMENTO DE SALARIO ARMADOR</t>
        </is>
      </c>
      <c r="H28" s="218" t="inlineStr">
        <is>
          <t>RECIBO</t>
        </is>
      </c>
      <c r="I28" s="219" t="n">
        <v>1120</v>
      </c>
      <c r="J28" s="218" t="inlineStr">
        <is>
          <t>ADMINISTRATIVO</t>
        </is>
      </c>
      <c r="K28" s="218" t="inlineStr">
        <is>
          <t>PESSOAL E ENCARGOS</t>
        </is>
      </c>
      <c r="L28" s="222" t="str">
        <f>IF(B28&lt;&gt;"DESPESA","",IFERROR(VLOOKUP(K28,$P$5:$Q$16,2,FALSE),"?"))</f>
        <v>MO</v>
      </c>
      <c r="M28" s="218" t="inlineStr">
        <is>
          <t>REALIZADO (até 30/04)</t>
        </is>
      </c>
      <c r="N28" s="272" t="inlineStr">
        <is>
          <t>SANEAGO_MOZARLANDIA_CUSTOS 30.04.2026.xlsx / FINANCEIRO ATE 30.04 / linha 40</t>
        </is>
      </c>
      <c r="P28" s="234" t="inlineStr">
        <is>
          <t>Conta não classificada (?)</t>
        </is>
      </c>
      <c r="Q28" s="221">
        <f>COUNTIF($L$4:$L$603,"?")</f>
        <v>0</v>
      </c>
    </row>
    <row r="29">
      <c r="A29" s="222" t="n">
        <v>26</v>
      </c>
      <c r="B29" s="218" t="inlineStr">
        <is>
          <t>DESPESA</t>
        </is>
      </c>
      <c r="C29" s="220" t="n">
        <v>46073</v>
      </c>
      <c r="D29" s="220" t="n">
        <v>46073</v>
      </c>
      <c r="E29" s="335">
        <f>IF(D29="","",DATE(YEAR(D29),MONTH(D29),1))</f>
        <v>46054.0</v>
      </c>
      <c r="F29" s="218" t="inlineStr">
        <is>
          <t>CAPRISTONIO MORAIS</t>
        </is>
      </c>
      <c r="G29" s="218" t="inlineStr">
        <is>
          <t>ADIANTAMENTO DE SALARIO ARMADOR</t>
        </is>
      </c>
      <c r="H29" s="218" t="inlineStr">
        <is>
          <t>RECIBO</t>
        </is>
      </c>
      <c r="I29" s="219" t="n">
        <v>1120</v>
      </c>
      <c r="J29" s="218" t="inlineStr">
        <is>
          <t>ADMINISTRATIVO</t>
        </is>
      </c>
      <c r="K29" s="218" t="inlineStr">
        <is>
          <t>PESSOAL E ENCARGOS</t>
        </is>
      </c>
      <c r="L29" s="222" t="str">
        <f>IF(B29&lt;&gt;"DESPESA","",IFERROR(VLOOKUP(K29,$P$5:$Q$16,2,FALSE),"?"))</f>
        <v>MO</v>
      </c>
      <c r="M29" s="218" t="inlineStr">
        <is>
          <t>REALIZADO (até 30/04)</t>
        </is>
      </c>
      <c r="N29" s="272" t="inlineStr">
        <is>
          <t>SANEAGO_MOZARLANDIA_CUSTOS 30.04.2026.xlsx / FINANCEIRO ATE 30.04 / linha 41</t>
        </is>
      </c>
    </row>
    <row r="30">
      <c r="A30" s="222" t="n">
        <v>27</v>
      </c>
      <c r="B30" s="218" t="inlineStr">
        <is>
          <t>DESPESA</t>
        </is>
      </c>
      <c r="C30" s="220" t="n">
        <v>46073</v>
      </c>
      <c r="D30" s="220" t="n">
        <v>46073</v>
      </c>
      <c r="E30" s="335">
        <f>IF(D30="","",DATE(YEAR(D30),MONTH(D30),1))</f>
        <v>46054.0</v>
      </c>
      <c r="F30" s="218" t="inlineStr">
        <is>
          <t>CARLOS NELIO</t>
        </is>
      </c>
      <c r="G30" s="218" t="inlineStr">
        <is>
          <t>ADIANTAMENTO DE SALARIO ALMOXARIFE</t>
        </is>
      </c>
      <c r="H30" s="218" t="inlineStr">
        <is>
          <t>RECIBO</t>
        </is>
      </c>
      <c r="I30" s="219" t="n">
        <v>1000</v>
      </c>
      <c r="J30" s="218" t="inlineStr">
        <is>
          <t>ADMINISTRATIVO</t>
        </is>
      </c>
      <c r="K30" s="218" t="inlineStr">
        <is>
          <t>PESSOAL E ENCARGOS</t>
        </is>
      </c>
      <c r="L30" s="222" t="str">
        <f>IF(B30&lt;&gt;"DESPESA","",IFERROR(VLOOKUP(K30,$P$5:$Q$16,2,FALSE),"?"))</f>
        <v>MO</v>
      </c>
      <c r="M30" s="218" t="inlineStr">
        <is>
          <t>REALIZADO (até 30/04)</t>
        </is>
      </c>
      <c r="N30" s="272" t="inlineStr">
        <is>
          <t>SANEAGO_MOZARLANDIA_CUSTOS 30.04.2026.xlsx / FINANCEIRO ATE 30.04 / linha 42</t>
        </is>
      </c>
      <c r="P30" s="336" t="inlineStr">
        <is>
          <t>CONTA CORRENTE TAF x CONSÓRCIO</t>
        </is>
      </c>
      <c r="Q30" s="215" t="inlineStr">
        <is>
          <t>R$</t>
        </is>
      </c>
    </row>
    <row r="31">
      <c r="A31" s="222" t="n">
        <v>28</v>
      </c>
      <c r="B31" s="218" t="inlineStr">
        <is>
          <t>DESPESA</t>
        </is>
      </c>
      <c r="C31" s="220" t="n">
        <v>46073</v>
      </c>
      <c r="D31" s="220" t="n">
        <v>46073</v>
      </c>
      <c r="E31" s="335">
        <f>IF(D31="","",DATE(YEAR(D31),MONTH(D31),1))</f>
        <v>46054.0</v>
      </c>
      <c r="F31" s="218" t="inlineStr">
        <is>
          <t>CLAUDIO MOREIRA AGAPITO</t>
        </is>
      </c>
      <c r="G31" s="218" t="inlineStr">
        <is>
          <t>ADINTAMENTO DE SALARIO MESTRE DE OBRA</t>
        </is>
      </c>
      <c r="H31" s="218" t="inlineStr">
        <is>
          <t>RECIBO</t>
        </is>
      </c>
      <c r="I31" s="219" t="n">
        <v>1960</v>
      </c>
      <c r="J31" s="218" t="inlineStr">
        <is>
          <t>ADMINISTRATIVO</t>
        </is>
      </c>
      <c r="K31" s="218" t="inlineStr">
        <is>
          <t>PESSOAL E ENCARGOS</t>
        </is>
      </c>
      <c r="L31" s="222" t="str">
        <f>IF(B31&lt;&gt;"DESPESA","",IFERROR(VLOOKUP(K31,$P$5:$Q$16,2,FALSE),"?"))</f>
        <v>MO</v>
      </c>
      <c r="M31" s="218" t="inlineStr">
        <is>
          <t>REALIZADO (até 30/04)</t>
        </is>
      </c>
      <c r="N31" s="272" t="inlineStr">
        <is>
          <t>SANEAGO_MOZARLANDIA_CUSTOS 30.04.2026.xlsx / FINANCEIRO ATE 30.04 / linha 43</t>
        </is>
      </c>
      <c r="P31" s="234" t="inlineStr">
        <is>
          <t>Aportes da TAF</t>
        </is>
      </c>
      <c r="Q31" s="233">
        <f>Q24</f>
        <v>306856.66</v>
      </c>
    </row>
    <row r="32">
      <c r="A32" s="222" t="n">
        <v>29</v>
      </c>
      <c r="B32" s="218" t="inlineStr">
        <is>
          <t>DESPESA</t>
        </is>
      </c>
      <c r="C32" s="220" t="n">
        <v>46073</v>
      </c>
      <c r="D32" s="220" t="n">
        <v>46073</v>
      </c>
      <c r="E32" s="335">
        <f>IF(D32="","",DATE(YEAR(D32),MONTH(D32),1))</f>
        <v>46054.0</v>
      </c>
      <c r="F32" s="218" t="inlineStr">
        <is>
          <t>DAIANE LETICIA</t>
        </is>
      </c>
      <c r="G32" s="218" t="inlineStr">
        <is>
          <t>ADIANTAMENTO DE SALARIO TEC SEGURANÇA</t>
        </is>
      </c>
      <c r="H32" s="218" t="inlineStr">
        <is>
          <t>RECIBO</t>
        </is>
      </c>
      <c r="I32" s="219" t="n">
        <v>1200</v>
      </c>
      <c r="J32" s="218" t="inlineStr">
        <is>
          <t>ADMINISTRATIVO</t>
        </is>
      </c>
      <c r="K32" s="218" t="inlineStr">
        <is>
          <t>PESSOAL E ENCARGOS</t>
        </is>
      </c>
      <c r="L32" s="222" t="str">
        <f>IF(B32&lt;&gt;"DESPESA","",IFERROR(VLOOKUP(K32,$P$5:$Q$16,2,FALSE),"?"))</f>
        <v>MO</v>
      </c>
      <c r="M32" s="218" t="inlineStr">
        <is>
          <t>REALIZADO (até 30/04)</t>
        </is>
      </c>
      <c r="N32" s="272" t="inlineStr">
        <is>
          <t>SANEAGO_MOZARLANDIA_CUSTOS 30.04.2026.xlsx / FINANCEIRO ATE 30.04 / linha 44</t>
        </is>
      </c>
      <c r="P32" s="234" t="inlineStr">
        <is>
          <t>Repasses do consórcio para a TAF (tipo REPASSE)</t>
        </is>
      </c>
      <c r="Q32" s="233" t="str">
        <f>IF(COUNTIFS($B$4:$B$603,"REPASSE",$F$4:$F$603,"TAF*")=0,"PENDENTE",SUMIFS($I$4:$I$603,$B$4:$B$603,"REPASSE",$F$4:$F$603,"TAF*"))</f>
        <v>PENDENTE</v>
      </c>
    </row>
    <row r="33">
      <c r="A33" s="222" t="n">
        <v>30</v>
      </c>
      <c r="B33" s="218" t="inlineStr">
        <is>
          <t>DESPESA</t>
        </is>
      </c>
      <c r="C33" s="220" t="n">
        <v>46073</v>
      </c>
      <c r="D33" s="220" t="n">
        <v>46073</v>
      </c>
      <c r="E33" s="335">
        <f>IF(D33="","",DATE(YEAR(D33),MONTH(D33),1))</f>
        <v>46054.0</v>
      </c>
      <c r="F33" s="218" t="inlineStr">
        <is>
          <t>DOUGLAS DE MIRANDA</t>
        </is>
      </c>
      <c r="G33" s="218" t="inlineStr">
        <is>
          <t>ADIANTAMENTO DE SALIRIO AJUDANTE</t>
        </is>
      </c>
      <c r="H33" s="218" t="inlineStr">
        <is>
          <t>RECIBO</t>
        </is>
      </c>
      <c r="I33" s="219" t="n">
        <v>720</v>
      </c>
      <c r="J33" s="218" t="inlineStr">
        <is>
          <t>ADMINISTRATIVO</t>
        </is>
      </c>
      <c r="K33" s="218" t="inlineStr">
        <is>
          <t>PESSOAL E ENCARGOS</t>
        </is>
      </c>
      <c r="L33" s="222" t="str">
        <f>IF(B33&lt;&gt;"DESPESA","",IFERROR(VLOOKUP(K33,$P$5:$Q$16,2,FALSE),"?"))</f>
        <v>MO</v>
      </c>
      <c r="M33" s="218" t="inlineStr">
        <is>
          <t>REALIZADO (até 30/04)</t>
        </is>
      </c>
      <c r="N33" s="272" t="inlineStr">
        <is>
          <t>SANEAGO_MOZARLANDIA_CUSTOS 30.04.2026.xlsx / FINANCEIRO ATE 30.04 / linha 45</t>
        </is>
      </c>
      <c r="P33" s="234" t="inlineStr">
        <is>
          <t>Saldo da TAF no consórcio (aportes menos repasses)</t>
        </is>
      </c>
      <c r="Q33" s="233" t="str">
        <f>IF(ISTEXT(Q32),"PENDENTE",Q31-Q32)</f>
        <v>PENDENTE</v>
      </c>
    </row>
    <row r="34">
      <c r="A34" s="222" t="n">
        <v>31</v>
      </c>
      <c r="B34" s="218" t="inlineStr">
        <is>
          <t>DESPESA</t>
        </is>
      </c>
      <c r="C34" s="220" t="n">
        <v>46073</v>
      </c>
      <c r="D34" s="220" t="n">
        <v>46073</v>
      </c>
      <c r="E34" s="335">
        <f>IF(D34="","",DATE(YEAR(D34),MONTH(D34),1))</f>
        <v>46054.0</v>
      </c>
      <c r="F34" s="218" t="inlineStr">
        <is>
          <t>EDIVALDO ALMEIDA</t>
        </is>
      </c>
      <c r="G34" s="218" t="inlineStr">
        <is>
          <t>ADINATAMENTO DE SALARIO PEDREIRO</t>
        </is>
      </c>
      <c r="H34" s="218" t="inlineStr">
        <is>
          <t>RECIBO</t>
        </is>
      </c>
      <c r="I34" s="219" t="n">
        <v>1120</v>
      </c>
      <c r="J34" s="218" t="inlineStr">
        <is>
          <t>ADMINISTRATIVO</t>
        </is>
      </c>
      <c r="K34" s="218" t="inlineStr">
        <is>
          <t>PESSOAL E ENCARGOS</t>
        </is>
      </c>
      <c r="L34" s="222" t="str">
        <f>IF(B34&lt;&gt;"DESPESA","",IFERROR(VLOOKUP(K34,$P$5:$Q$16,2,FALSE),"?"))</f>
        <v>MO</v>
      </c>
      <c r="M34" s="218" t="inlineStr">
        <is>
          <t>REALIZADO (até 30/04)</t>
        </is>
      </c>
      <c r="N34" s="272" t="inlineStr">
        <is>
          <t>SANEAGO_MOZARLANDIA_CUSTOS 30.04.2026.xlsx / FINANCEIRO ATE 30.04 / linha 46</t>
        </is>
      </c>
      <c r="P34" s="234" t="inlineStr">
        <is>
          <t>Último aporte da TAF</t>
        </is>
      </c>
      <c r="Q34" s="232">
        <f>_xlfn.MAXIFS($D$4:$D$603,$B$4:$B$603,"APORTE",$F$4:$F$603,"TAF*")</f>
        <v>46142.0</v>
      </c>
    </row>
    <row r="35">
      <c r="A35" s="222" t="n">
        <v>32</v>
      </c>
      <c r="B35" s="218" t="inlineStr">
        <is>
          <t>DESPESA</t>
        </is>
      </c>
      <c r="C35" s="220" t="n">
        <v>46073</v>
      </c>
      <c r="D35" s="220" t="n">
        <v>46073</v>
      </c>
      <c r="E35" s="335">
        <f>IF(D35="","",DATE(YEAR(D35),MONTH(D35),1))</f>
        <v>46054.0</v>
      </c>
      <c r="F35" s="218" t="inlineStr">
        <is>
          <t>ISMAEL SANSAO</t>
        </is>
      </c>
      <c r="G35" s="218" t="inlineStr">
        <is>
          <t>ADINATAMENTO DE SALARIO AJUDANTE</t>
        </is>
      </c>
      <c r="H35" s="218" t="inlineStr">
        <is>
          <t>RECIBO</t>
        </is>
      </c>
      <c r="I35" s="219" t="n">
        <v>720</v>
      </c>
      <c r="J35" s="218" t="inlineStr">
        <is>
          <t>ADMINISTRATIVO</t>
        </is>
      </c>
      <c r="K35" s="218" t="inlineStr">
        <is>
          <t>PESSOAL E ENCARGOS</t>
        </is>
      </c>
      <c r="L35" s="222" t="str">
        <f>IF(B35&lt;&gt;"DESPESA","",IFERROR(VLOOKUP(K35,$P$5:$Q$16,2,FALSE),"?"))</f>
        <v>MO</v>
      </c>
      <c r="M35" s="218" t="inlineStr">
        <is>
          <t>REALIZADO (até 30/04)</t>
        </is>
      </c>
      <c r="N35" s="272" t="inlineStr">
        <is>
          <t>SANEAGO_MOZARLANDIA_CUSTOS 30.04.2026.xlsx / FINANCEIRO ATE 30.04 / linha 47</t>
        </is>
      </c>
      <c r="P35" s="234" t="inlineStr">
        <is>
          <t>Aportes da TAF menos os da TECNOBOMBAS</t>
        </is>
      </c>
      <c r="Q35" s="233">
        <f>Q24-Q25</f>
        <v>24166.17</v>
      </c>
    </row>
    <row r="36" ht="26" customHeight="1" s="71">
      <c r="A36" s="222" t="n">
        <v>33</v>
      </c>
      <c r="B36" s="218" t="inlineStr">
        <is>
          <t>DESPESA</t>
        </is>
      </c>
      <c r="C36" s="220" t="n">
        <v>46073</v>
      </c>
      <c r="D36" s="220" t="n">
        <v>46073</v>
      </c>
      <c r="E36" s="335">
        <f>IF(D36="","",DATE(YEAR(D36),MONTH(D36),1))</f>
        <v>46054.0</v>
      </c>
      <c r="F36" s="218" t="inlineStr">
        <is>
          <t>JOSE SOARES</t>
        </is>
      </c>
      <c r="G36" s="218" t="inlineStr">
        <is>
          <t>ADIANTAMENTO DE SALARIO AJUDANTE</t>
        </is>
      </c>
      <c r="H36" s="218" t="inlineStr">
        <is>
          <t>RECIBO</t>
        </is>
      </c>
      <c r="I36" s="219" t="n">
        <v>720</v>
      </c>
      <c r="J36" s="218" t="inlineStr">
        <is>
          <t>ADMINISTRATIVO</t>
        </is>
      </c>
      <c r="K36" s="218" t="inlineStr">
        <is>
          <t>PESSOAL E ENCARGOS</t>
        </is>
      </c>
      <c r="L36" s="222" t="str">
        <f>IF(B36&lt;&gt;"DESPESA","",IFERROR(VLOOKUP(K36,$P$5:$Q$16,2,FALSE),"?"))</f>
        <v>MO</v>
      </c>
      <c r="M36" s="218" t="inlineStr">
        <is>
          <t>REALIZADO (até 30/04)</t>
        </is>
      </c>
      <c r="N36" s="272" t="inlineStr">
        <is>
          <t>SANEAGO_MOZARLANDIA_CUSTOS 30.04.2026.xlsx / FINANCEIRO ATE 30.04 / linha 48</t>
        </is>
      </c>
      <c r="P36" s="326" t="inlineStr">
        <is>
          <t>Aporte novo só com decisão registrada na PAUTA (seção 5: valor, sócio e data); depois lançar aqui como APORTE.</t>
        </is>
      </c>
    </row>
    <row r="37" ht="26" customHeight="1" s="71">
      <c r="A37" s="222" t="n">
        <v>34</v>
      </c>
      <c r="B37" s="218" t="inlineStr">
        <is>
          <t>DESPESA</t>
        </is>
      </c>
      <c r="C37" s="220" t="n">
        <v>46073</v>
      </c>
      <c r="D37" s="220" t="n">
        <v>46073</v>
      </c>
      <c r="E37" s="335">
        <f>IF(D37="","",DATE(YEAR(D37),MONTH(D37),1))</f>
        <v>46054.0</v>
      </c>
      <c r="F37" s="218" t="inlineStr">
        <is>
          <t>KAMILA SOUZA</t>
        </is>
      </c>
      <c r="G37" s="218" t="inlineStr">
        <is>
          <t>ADIANTAMENTO DE SALARIO ADMINISTRATIVO</t>
        </is>
      </c>
      <c r="H37" s="218" t="inlineStr">
        <is>
          <t>RECIBO</t>
        </is>
      </c>
      <c r="I37" s="219" t="n">
        <v>1000</v>
      </c>
      <c r="J37" s="218" t="inlineStr">
        <is>
          <t>ADMINISTRATIVO</t>
        </is>
      </c>
      <c r="K37" s="218" t="inlineStr">
        <is>
          <t>PESSOAL E ENCARGOS</t>
        </is>
      </c>
      <c r="L37" s="222" t="str">
        <f>IF(B37&lt;&gt;"DESPESA","",IFERROR(VLOOKUP(K37,$P$5:$Q$16,2,FALSE),"?"))</f>
        <v>MO</v>
      </c>
      <c r="M37" s="218" t="inlineStr">
        <is>
          <t>REALIZADO (até 30/04)</t>
        </is>
      </c>
      <c r="N37" s="272" t="inlineStr">
        <is>
          <t>SANEAGO_MOZARLANDIA_CUSTOS 30.04.2026.xlsx / FINANCEIRO ATE 30.04 / linha 49</t>
        </is>
      </c>
      <c r="P37" s="326" t="inlineStr">
        <is>
          <t>REPASSE = dinheiro do consórcio para um sócio; no FORNECEDOR, o nome do sócio (TAF ou TECNOBOMBAS).</t>
        </is>
      </c>
    </row>
    <row r="38">
      <c r="A38" s="222" t="n">
        <v>35</v>
      </c>
      <c r="B38" s="218" t="inlineStr">
        <is>
          <t>DESPESA</t>
        </is>
      </c>
      <c r="C38" s="220" t="n">
        <v>46073</v>
      </c>
      <c r="D38" s="220" t="n">
        <v>46073</v>
      </c>
      <c r="E38" s="335">
        <f>IF(D38="","",DATE(YEAR(D38),MONTH(D38),1))</f>
        <v>46054.0</v>
      </c>
      <c r="F38" s="218" t="inlineStr">
        <is>
          <t>NILTON SILVA</t>
        </is>
      </c>
      <c r="G38" s="218" t="inlineStr">
        <is>
          <t>ADIANTAMENTO DE SALARIO AJUDANTE</t>
        </is>
      </c>
      <c r="H38" s="218" t="inlineStr">
        <is>
          <t>RECIBO</t>
        </is>
      </c>
      <c r="I38" s="219" t="n">
        <v>720</v>
      </c>
      <c r="J38" s="218" t="inlineStr">
        <is>
          <t>ADMINISTRATIVO</t>
        </is>
      </c>
      <c r="K38" s="218" t="inlineStr">
        <is>
          <t>PESSOAL E ENCARGOS</t>
        </is>
      </c>
      <c r="L38" s="222" t="str">
        <f>IF(B38&lt;&gt;"DESPESA","",IFERROR(VLOOKUP(K38,$P$5:$Q$16,2,FALSE),"?"))</f>
        <v>MO</v>
      </c>
      <c r="M38" s="218" t="inlineStr">
        <is>
          <t>REALIZADO (até 30/04)</t>
        </is>
      </c>
      <c r="N38" s="272" t="inlineStr">
        <is>
          <t>SANEAGO_MOZARLANDIA_CUSTOS 30.04.2026.xlsx / FINANCEIRO ATE 30.04 / linha 50</t>
        </is>
      </c>
    </row>
    <row r="39">
      <c r="A39" s="222" t="n">
        <v>36</v>
      </c>
      <c r="B39" s="218" t="inlineStr">
        <is>
          <t>DESPESA</t>
        </is>
      </c>
      <c r="C39" s="220" t="n">
        <v>46073</v>
      </c>
      <c r="D39" s="220" t="n">
        <v>46073</v>
      </c>
      <c r="E39" s="335">
        <f>IF(D39="","",DATE(YEAR(D39),MONTH(D39),1))</f>
        <v>46054.0</v>
      </c>
      <c r="F39" s="218" t="inlineStr">
        <is>
          <t>WENERSON NASCIMENTO</t>
        </is>
      </c>
      <c r="G39" s="218" t="inlineStr">
        <is>
          <t>ADIANTAMENTO DE SALARIO PEDREIRO</t>
        </is>
      </c>
      <c r="H39" s="218" t="inlineStr">
        <is>
          <t>RECIBO</t>
        </is>
      </c>
      <c r="I39" s="219" t="n">
        <v>1120</v>
      </c>
      <c r="J39" s="218" t="inlineStr">
        <is>
          <t>ADMINISTRATIVO</t>
        </is>
      </c>
      <c r="K39" s="218" t="inlineStr">
        <is>
          <t>PESSOAL E ENCARGOS</t>
        </is>
      </c>
      <c r="L39" s="222" t="str">
        <f>IF(B39&lt;&gt;"DESPESA","",IFERROR(VLOOKUP(K39,$P$5:$Q$16,2,FALSE),"?"))</f>
        <v>MO</v>
      </c>
      <c r="M39" s="218" t="inlineStr">
        <is>
          <t>REALIZADO (até 30/04)</t>
        </is>
      </c>
      <c r="N39" s="272" t="inlineStr">
        <is>
          <t>SANEAGO_MOZARLANDIA_CUSTOS 30.04.2026.xlsx / FINANCEIRO ATE 30.04 / linha 51</t>
        </is>
      </c>
    </row>
    <row r="40">
      <c r="A40" s="222" t="n">
        <v>37</v>
      </c>
      <c r="B40" s="218" t="inlineStr">
        <is>
          <t>DESPESA</t>
        </is>
      </c>
      <c r="C40" s="220" t="n">
        <v>46073</v>
      </c>
      <c r="D40" s="220" t="n">
        <v>46073</v>
      </c>
      <c r="E40" s="335">
        <f>IF(D40="","",DATE(YEAR(D40),MONTH(D40),1))</f>
        <v>46054.0</v>
      </c>
      <c r="F40" s="218" t="inlineStr">
        <is>
          <t>WISLEY DIAS</t>
        </is>
      </c>
      <c r="G40" s="218" t="inlineStr">
        <is>
          <t>ADIANTAMENTO DE SALARIO AJUDANTE</t>
        </is>
      </c>
      <c r="H40" s="218" t="inlineStr">
        <is>
          <t>RECIBO</t>
        </is>
      </c>
      <c r="I40" s="219" t="n">
        <v>720</v>
      </c>
      <c r="J40" s="218" t="inlineStr">
        <is>
          <t>ADMINISTRATIVO</t>
        </is>
      </c>
      <c r="K40" s="218" t="inlineStr">
        <is>
          <t>PESSOAL E ENCARGOS</t>
        </is>
      </c>
      <c r="L40" s="222" t="str">
        <f>IF(B40&lt;&gt;"DESPESA","",IFERROR(VLOOKUP(K40,$P$5:$Q$16,2,FALSE),"?"))</f>
        <v>MO</v>
      </c>
      <c r="M40" s="218" t="inlineStr">
        <is>
          <t>REALIZADO (até 30/04)</t>
        </is>
      </c>
      <c r="N40" s="272" t="inlineStr">
        <is>
          <t>SANEAGO_MOZARLANDIA_CUSTOS 30.04.2026.xlsx / FINANCEIRO ATE 30.04 / linha 52</t>
        </is>
      </c>
    </row>
    <row r="41">
      <c r="A41" s="222" t="n">
        <v>38</v>
      </c>
      <c r="B41" s="218" t="inlineStr">
        <is>
          <t>DESPESA</t>
        </is>
      </c>
      <c r="C41" s="220" t="n">
        <v>46064</v>
      </c>
      <c r="D41" s="220" t="n">
        <v>46075</v>
      </c>
      <c r="E41" s="335">
        <f>IF(D41="","",DATE(YEAR(D41),MONTH(D41),1))</f>
        <v>46054.0</v>
      </c>
      <c r="F41" s="218" t="inlineStr">
        <is>
          <t>PARANAFERROS</t>
        </is>
      </c>
      <c r="G41" s="218" t="inlineStr">
        <is>
          <t>FERRO CA E ARAME - MATERIAL APLICADO CIVIL</t>
        </is>
      </c>
      <c r="H41" s="218" t="inlineStr">
        <is>
          <t>110284</t>
        </is>
      </c>
      <c r="I41" s="219" t="n">
        <v>26349.26</v>
      </c>
      <c r="J41" s="218" t="inlineStr">
        <is>
          <t>CIVIL</t>
        </is>
      </c>
      <c r="K41" s="218" t="inlineStr">
        <is>
          <t>MATERIAIS E FERRAMENTAS</t>
        </is>
      </c>
      <c r="L41" s="222" t="str">
        <f>IF(B41&lt;&gt;"DESPESA","",IFERROR(VLOOKUP(K41,$P$5:$Q$16,2,FALSE),"?"))</f>
        <v>MAT</v>
      </c>
      <c r="M41" s="218" t="inlineStr">
        <is>
          <t>REALIZADO (até 30/04)</t>
        </is>
      </c>
      <c r="N41" s="272" t="inlineStr">
        <is>
          <t>SANEAGO_MOZARLANDIA_CUSTOS 30.04.2026.xlsx / FINANCEIRO ATE 30.04 / linha 53 | REPETIDA: mesmo NF 110284, fornecedor e valor (~26349) aparece 4x (vencimentos: 2026-02-22, 2026-03-21, 2026-04-20, 2026-05-20); parcela ou duplicidade, conferir</t>
        </is>
      </c>
    </row>
    <row r="42">
      <c r="A42" s="222" t="n">
        <v>39</v>
      </c>
      <c r="B42" s="218" t="inlineStr">
        <is>
          <t>DESPESA</t>
        </is>
      </c>
      <c r="C42" s="220" t="n">
        <v>46055</v>
      </c>
      <c r="D42" s="220" t="n">
        <v>46083</v>
      </c>
      <c r="E42" s="335">
        <f>IF(D42="","",DATE(YEAR(D42),MONTH(D42),1))</f>
        <v>46082.0</v>
      </c>
      <c r="F42" s="218" t="inlineStr">
        <is>
          <t>JM APROTETORA COMERCIO DE EPI LTDA</t>
        </is>
      </c>
      <c r="G42" s="218" t="inlineStr">
        <is>
          <t>EPIs</t>
        </is>
      </c>
      <c r="H42" s="218" t="inlineStr">
        <is>
          <t>1679</t>
        </is>
      </c>
      <c r="I42" s="219" t="n">
        <v>1000</v>
      </c>
      <c r="J42" s="218" t="inlineStr">
        <is>
          <t>ADMINISTRATIVO</t>
        </is>
      </c>
      <c r="K42" s="218" t="inlineStr">
        <is>
          <t>SEGURANCA DO TRABALHO (EPI/UNIFORMES)</t>
        </is>
      </c>
      <c r="L42" s="222" t="str">
        <f>IF(B42&lt;&gt;"DESPESA","",IFERROR(VLOOKUP(K42,$P$5:$Q$16,2,FALSE),"?"))</f>
        <v>ADM</v>
      </c>
      <c r="M42" s="218" t="inlineStr">
        <is>
          <t>REALIZADO (até 30/04)</t>
        </is>
      </c>
      <c r="N42" s="272" t="inlineStr">
        <is>
          <t>SANEAGO_MOZARLANDIA_CUSTOS 30.04.2026.xlsx / FINANCEIRO ATE 30.04 / linha 54 | REPETIDA: mesmo NF 1679, fornecedor e valor (~1000) aparece 4x (vencimentos: 2026-03-02, 2026-03-09, 2026-03-16, 2026-03-30); parcela ou duplicidade, conferir</t>
        </is>
      </c>
    </row>
    <row r="43">
      <c r="A43" s="222" t="n">
        <v>40</v>
      </c>
      <c r="B43" s="218" t="inlineStr">
        <is>
          <t>DESPESA</t>
        </is>
      </c>
      <c r="C43" s="220" t="n">
        <v>46071</v>
      </c>
      <c r="D43" s="220" t="n">
        <v>46083</v>
      </c>
      <c r="E43" s="335">
        <f>IF(D43="","",DATE(YEAR(D43),MONTH(D43),1))</f>
        <v>46082.0</v>
      </c>
      <c r="F43" s="218" t="inlineStr">
        <is>
          <t>MADEIMANAS MADEIREIRA MANAS LTDA</t>
        </is>
      </c>
      <c r="G43" s="218" t="inlineStr">
        <is>
          <t>FERRAMENTAL / CONSUMO</t>
        </is>
      </c>
      <c r="H43" s="218" t="inlineStr">
        <is>
          <t>177640</t>
        </is>
      </c>
      <c r="I43" s="219" t="n">
        <v>732.88</v>
      </c>
      <c r="J43" s="218" t="inlineStr">
        <is>
          <t>CIVIL</t>
        </is>
      </c>
      <c r="K43" s="218" t="inlineStr">
        <is>
          <t>MATERIAIS E FERRAMENTAS</t>
        </is>
      </c>
      <c r="L43" s="222" t="str">
        <f>IF(B43&lt;&gt;"DESPESA","",IFERROR(VLOOKUP(K43,$P$5:$Q$16,2,FALSE),"?"))</f>
        <v>MAT</v>
      </c>
      <c r="M43" s="218" t="inlineStr">
        <is>
          <t>REALIZADO (até 30/04)</t>
        </is>
      </c>
      <c r="N43" s="272" t="inlineStr">
        <is>
          <t>SANEAGO_MOZARLANDIA_CUSTOS 30.04.2026.xlsx / FINANCEIRO ATE 30.04 / linha 55</t>
        </is>
      </c>
    </row>
    <row r="44">
      <c r="A44" s="222" t="n">
        <v>41</v>
      </c>
      <c r="B44" s="218" t="inlineStr">
        <is>
          <t>DESPESA</t>
        </is>
      </c>
      <c r="C44" s="220" t="n">
        <v>46073</v>
      </c>
      <c r="D44" s="220" t="n">
        <v>46083</v>
      </c>
      <c r="E44" s="335">
        <f>IF(D44="","",DATE(YEAR(D44),MONTH(D44),1))</f>
        <v>46082.0</v>
      </c>
      <c r="F44" s="218" t="inlineStr">
        <is>
          <t>POSTO SATURNO</t>
        </is>
      </c>
      <c r="G44" s="218" t="inlineStr">
        <is>
          <t>COMBUSTIVEIS</t>
        </is>
      </c>
      <c r="H44" s="218" t="inlineStr">
        <is>
          <t>15463</t>
        </is>
      </c>
      <c r="I44" s="219" t="n">
        <v>1527.52</v>
      </c>
      <c r="J44" s="218" t="inlineStr">
        <is>
          <t>ADMINISTRATIVO</t>
        </is>
      </c>
      <c r="K44" s="218" t="inlineStr">
        <is>
          <t>COMBUSTIVEIS</t>
        </is>
      </c>
      <c r="L44" s="222" t="str">
        <f>IF(B44&lt;&gt;"DESPESA","",IFERROR(VLOOKUP(K44,$P$5:$Q$16,2,FALSE),"?"))</f>
        <v>EQP</v>
      </c>
      <c r="M44" s="218" t="inlineStr">
        <is>
          <t>REALIZADO (até 30/04)</t>
        </is>
      </c>
      <c r="N44" s="272" t="inlineStr">
        <is>
          <t>SANEAGO_MOZARLANDIA_CUSTOS 30.04.2026.xlsx / FINANCEIRO ATE 30.04 / linha 56</t>
        </is>
      </c>
    </row>
    <row r="45">
      <c r="A45" s="222" t="n">
        <v>42</v>
      </c>
      <c r="B45" s="218" t="inlineStr">
        <is>
          <t>DESPESA</t>
        </is>
      </c>
      <c r="C45" s="220" t="n">
        <v>46077</v>
      </c>
      <c r="D45" s="220" t="n">
        <v>46083</v>
      </c>
      <c r="E45" s="335">
        <f>IF(D45="","",DATE(YEAR(D45),MONTH(D45),1))</f>
        <v>46082.0</v>
      </c>
      <c r="F45" s="218" t="inlineStr">
        <is>
          <t>RICARLOS ALVES DE OLIVEIRA</t>
        </is>
      </c>
      <c r="G45" s="218" t="inlineStr">
        <is>
          <t>PAGAMENTO ENGENHEIRO - SALÁRIO</t>
        </is>
      </c>
      <c r="H45" s="218" t="inlineStr">
        <is>
          <t>0949</t>
        </is>
      </c>
      <c r="I45" s="219" t="n">
        <v>15000</v>
      </c>
      <c r="J45" s="218" t="inlineStr">
        <is>
          <t>ADMINISTRATIVO</t>
        </is>
      </c>
      <c r="K45" s="218" t="inlineStr">
        <is>
          <t>PESSOAL E ENCARGOS</t>
        </is>
      </c>
      <c r="L45" s="222" t="str">
        <f>IF(B45&lt;&gt;"DESPESA","",IFERROR(VLOOKUP(K45,$P$5:$Q$16,2,FALSE),"?"))</f>
        <v>MO</v>
      </c>
      <c r="M45" s="218" t="inlineStr">
        <is>
          <t>REALIZADO (até 30/04)</t>
        </is>
      </c>
      <c r="N45" s="272" t="inlineStr">
        <is>
          <t>SANEAGO_MOZARLANDIA_CUSTOS 30.04.2026.xlsx / FINANCEIRO ATE 30.04 / linha 57</t>
        </is>
      </c>
    </row>
    <row r="46">
      <c r="A46" s="222" t="n">
        <v>43</v>
      </c>
      <c r="B46" s="218" t="inlineStr">
        <is>
          <t>APORTE</t>
        </is>
      </c>
      <c r="C46" s="220" t="n">
        <v>46083</v>
      </c>
      <c r="D46" s="220" t="n">
        <v>46083</v>
      </c>
      <c r="E46" s="335">
        <f>IF(D46="","",DATE(YEAR(D46),MONTH(D46),1))</f>
        <v>46082.0</v>
      </c>
      <c r="F46" s="218" t="inlineStr">
        <is>
          <t>TAF EQUIPAMENTOS</t>
        </is>
      </c>
      <c r="G46" s="218" t="inlineStr">
        <is>
          <t>APORTE DA TAF</t>
        </is>
      </c>
      <c r="H46" s="218" t="inlineStr">
        <is>
          <t>PIX</t>
        </is>
      </c>
      <c r="I46" s="219" t="n">
        <v>50000</v>
      </c>
      <c r="J46" s="218" t="inlineStr">
        <is>
          <t>APORTE</t>
        </is>
      </c>
      <c r="K46" s="218" t="inlineStr">
        <is>
          <t>APORTE</t>
        </is>
      </c>
      <c r="L46" s="222">
        <f>IF(B46&lt;&gt;"DESPESA","",IFERROR(VLOOKUP(K46,$P$5:$Q$16,2,FALSE),"?"))</f>
      </c>
      <c r="M46" s="218" t="inlineStr">
        <is>
          <t>REALIZADO (até 30/04)</t>
        </is>
      </c>
      <c r="N46" s="272" t="inlineStr">
        <is>
          <t>SANEAGO_MOZARLANDIA_CUSTOS 30.04.2026.xlsx / FINANCEIRO ATE 30.04 / linha 58</t>
        </is>
      </c>
    </row>
    <row r="47">
      <c r="A47" s="222" t="n">
        <v>44</v>
      </c>
      <c r="B47" s="218" t="inlineStr">
        <is>
          <t>APORTE</t>
        </is>
      </c>
      <c r="C47" s="220" t="n">
        <v>46083</v>
      </c>
      <c r="D47" s="220" t="n">
        <v>46083</v>
      </c>
      <c r="E47" s="335">
        <f>IF(D47="","",DATE(YEAR(D47),MONTH(D47),1))</f>
        <v>46082.0</v>
      </c>
      <c r="F47" s="218" t="inlineStr">
        <is>
          <t>TECNOBOMBAS</t>
        </is>
      </c>
      <c r="G47" s="218" t="inlineStr">
        <is>
          <t>APORTE DA TECNOBOMBAS</t>
        </is>
      </c>
      <c r="H47" s="218" t="inlineStr">
        <is>
          <t>PIX</t>
        </is>
      </c>
      <c r="I47" s="219" t="n">
        <v>2000</v>
      </c>
      <c r="J47" s="218" t="inlineStr">
        <is>
          <t>APORTE</t>
        </is>
      </c>
      <c r="K47" s="218" t="inlineStr">
        <is>
          <t>APORTE</t>
        </is>
      </c>
      <c r="L47" s="222">
        <f>IF(B47&lt;&gt;"DESPESA","",IFERROR(VLOOKUP(K47,$P$5:$Q$16,2,FALSE),"?"))</f>
      </c>
      <c r="M47" s="218" t="inlineStr">
        <is>
          <t>REALIZADO (até 30/04)</t>
        </is>
      </c>
      <c r="N47" s="272" t="inlineStr">
        <is>
          <t>SANEAGO_MOZARLANDIA_CUSTOS 30.04.2026.xlsx / FINANCEIRO ATE 30.04 / linha 59</t>
        </is>
      </c>
    </row>
    <row r="48">
      <c r="A48" s="222" t="n">
        <v>45</v>
      </c>
      <c r="B48" s="218" t="inlineStr">
        <is>
          <t>DESPESA</t>
        </is>
      </c>
      <c r="C48" s="220" t="n">
        <v>46084</v>
      </c>
      <c r="D48" s="220" t="n">
        <v>46084</v>
      </c>
      <c r="E48" s="335">
        <f>IF(D48="","",DATE(YEAR(D48),MONTH(D48),1))</f>
        <v>46082.0</v>
      </c>
      <c r="F48" s="218" t="inlineStr">
        <is>
          <t>CIPLAN CIMENTO PLANALTO S.A.</t>
        </is>
      </c>
      <c r="G48" s="218" t="inlineStr">
        <is>
          <t>MATERIAL APLICADO - CIMENTO</t>
        </is>
      </c>
      <c r="H48" s="218" t="inlineStr">
        <is>
          <t>80938</t>
        </is>
      </c>
      <c r="I48" s="219" t="n">
        <v>152.4</v>
      </c>
      <c r="J48" s="218" t="inlineStr">
        <is>
          <t>CIVIL</t>
        </is>
      </c>
      <c r="K48" s="218" t="inlineStr">
        <is>
          <t>MATERIAIS E FERRAMENTAS</t>
        </is>
      </c>
      <c r="L48" s="222" t="str">
        <f>IF(B48&lt;&gt;"DESPESA","",IFERROR(VLOOKUP(K48,$P$5:$Q$16,2,FALSE),"?"))</f>
        <v>MAT</v>
      </c>
      <c r="M48" s="218" t="inlineStr">
        <is>
          <t>REALIZADO (até 30/04)</t>
        </is>
      </c>
      <c r="N48" s="272" t="inlineStr">
        <is>
          <t>SANEAGO_MOZARLANDIA_CUSTOS 30.04.2026.xlsx / FINANCEIRO ATE 30.04 / linha 60</t>
        </is>
      </c>
    </row>
    <row r="49">
      <c r="A49" s="222" t="n">
        <v>46</v>
      </c>
      <c r="B49" s="218" t="inlineStr">
        <is>
          <t>DESPESA</t>
        </is>
      </c>
      <c r="C49" s="220" t="n">
        <v>45993</v>
      </c>
      <c r="D49" s="220" t="n">
        <v>46084</v>
      </c>
      <c r="E49" s="335">
        <f>IF(D49="","",DATE(YEAR(D49),MONTH(D49),1))</f>
        <v>46082.0</v>
      </c>
      <c r="F49" s="218" t="inlineStr">
        <is>
          <t>POTTENCIAL SEGURADORA S.A.</t>
        </is>
      </c>
      <c r="G49" s="218" t="inlineStr">
        <is>
          <t>SEGURO GARANTIA</t>
        </is>
      </c>
      <c r="H49" s="218" t="inlineStr">
        <is>
          <t>3889815</t>
        </is>
      </c>
      <c r="I49" s="219" t="n">
        <v>2172.66</v>
      </c>
      <c r="J49" s="218" t="inlineStr">
        <is>
          <t>ADMINISTRATIVO</t>
        </is>
      </c>
      <c r="K49" s="218" t="inlineStr">
        <is>
          <t>ADMINISTRATIVO GERAL (seguros, honorarios, reembolsos, TI)</t>
        </is>
      </c>
      <c r="L49" s="222" t="str">
        <f>IF(B49&lt;&gt;"DESPESA","",IFERROR(VLOOKUP(K49,$P$5:$Q$16,2,FALSE),"?"))</f>
        <v>ADM</v>
      </c>
      <c r="M49" s="218" t="inlineStr">
        <is>
          <t>REALIZADO (até 30/04)</t>
        </is>
      </c>
      <c r="N49" s="272" t="inlineStr">
        <is>
          <t>SANEAGO_MOZARLANDIA_CUSTOS 30.04.2026.xlsx / FINANCEIRO ATE 30.04 / linha 61</t>
        </is>
      </c>
    </row>
    <row r="50">
      <c r="A50" s="222" t="n">
        <v>47</v>
      </c>
      <c r="B50" s="218" t="inlineStr">
        <is>
          <t>DESPESA</t>
        </is>
      </c>
      <c r="C50" s="220" t="n">
        <v>46055</v>
      </c>
      <c r="D50" s="220" t="n">
        <v>46085</v>
      </c>
      <c r="E50" s="335">
        <f>IF(D50="","",DATE(YEAR(D50),MONTH(D50),1))</f>
        <v>46082.0</v>
      </c>
      <c r="F50" s="218" t="inlineStr">
        <is>
          <t>C3 ARTES E GRAFICAS LTDA</t>
        </is>
      </c>
      <c r="G50" s="218" t="inlineStr">
        <is>
          <t>PLACA OBRA</t>
        </is>
      </c>
      <c r="H50" s="218" t="inlineStr">
        <is>
          <t>869</t>
        </is>
      </c>
      <c r="I50" s="219" t="n">
        <v>4250</v>
      </c>
      <c r="J50" s="218" t="inlineStr">
        <is>
          <t>ADMINISTRATIVO</t>
        </is>
      </c>
      <c r="K50" s="218" t="inlineStr">
        <is>
          <t>SERVICOS DE TERCEIROS / CANTEIRO</t>
        </is>
      </c>
      <c r="L50" s="222" t="str">
        <f>IF(B50&lt;&gt;"DESPESA","",IFERROR(VLOOKUP(K50,$P$5:$Q$16,2,FALSE),"?"))</f>
        <v>TER</v>
      </c>
      <c r="M50" s="218" t="inlineStr">
        <is>
          <t>REALIZADO (até 30/04)</t>
        </is>
      </c>
      <c r="N50" s="272" t="inlineStr">
        <is>
          <t>SANEAGO_MOZARLANDIA_CUSTOS 30.04.2026.xlsx / FINANCEIRO ATE 30.04 / linha 62 | REPETIDA: mesmo NF 869, fornecedor e valor (~4250) aparece 2x (vencimentos: 2026-02-10, 2026-03-04); parcela ou duplicidade, conferir</t>
        </is>
      </c>
    </row>
    <row r="51">
      <c r="A51" s="222" t="n">
        <v>48</v>
      </c>
      <c r="B51" s="218" t="inlineStr">
        <is>
          <t>DESPESA</t>
        </is>
      </c>
      <c r="C51" s="220" t="n">
        <v>46055</v>
      </c>
      <c r="D51" s="220" t="n">
        <v>46085</v>
      </c>
      <c r="E51" s="335">
        <f>IF(D51="","",DATE(YEAR(D51),MONTH(D51),1))</f>
        <v>46082.0</v>
      </c>
      <c r="F51" s="218" t="inlineStr">
        <is>
          <t>MC INDUSTRIA E COMERCIO</t>
        </is>
      </c>
      <c r="G51" s="218" t="inlineStr">
        <is>
          <t>MATERIAL APLICADO</t>
        </is>
      </c>
      <c r="H51" s="218" t="inlineStr">
        <is>
          <t>12553</t>
        </is>
      </c>
      <c r="I51" s="219" t="n">
        <v>872</v>
      </c>
      <c r="J51" s="218" t="inlineStr">
        <is>
          <t>CIVIL</t>
        </is>
      </c>
      <c r="K51" s="218" t="inlineStr">
        <is>
          <t>MATERIAIS E FERRAMENTAS</t>
        </is>
      </c>
      <c r="L51" s="222" t="str">
        <f>IF(B51&lt;&gt;"DESPESA","",IFERROR(VLOOKUP(K51,$P$5:$Q$16,2,FALSE),"?"))</f>
        <v>MAT</v>
      </c>
      <c r="M51" s="218" t="inlineStr">
        <is>
          <t>REALIZADO (até 30/04)</t>
        </is>
      </c>
      <c r="N51" s="272" t="inlineStr">
        <is>
          <t>SANEAGO_MOZARLANDIA_CUSTOS 30.04.2026.xlsx / FINANCEIRO ATE 30.04 / linha 63</t>
        </is>
      </c>
    </row>
    <row r="52">
      <c r="A52" s="222" t="n">
        <v>49</v>
      </c>
      <c r="B52" s="218" t="inlineStr">
        <is>
          <t>DESPESA</t>
        </is>
      </c>
      <c r="C52" s="220" t="n">
        <v>46085</v>
      </c>
      <c r="D52" s="220" t="n">
        <v>46085</v>
      </c>
      <c r="E52" s="335">
        <f>IF(D52="","",DATE(YEAR(D52),MONTH(D52),1))</f>
        <v>46082.0</v>
      </c>
      <c r="F52" s="218" t="inlineStr">
        <is>
          <t>PEDREIRA BANDEIRANTES LTDA</t>
        </is>
      </c>
      <c r="G52" s="218" t="inlineStr">
        <is>
          <t>MATERIAL APLICADO - BRITA 0</t>
        </is>
      </c>
      <c r="H52" s="218" t="inlineStr">
        <is>
          <t>11714</t>
        </is>
      </c>
      <c r="I52" s="219" t="n">
        <v>3000</v>
      </c>
      <c r="J52" s="218" t="inlineStr">
        <is>
          <t>CIVIL</t>
        </is>
      </c>
      <c r="K52" s="218" t="inlineStr">
        <is>
          <t>MATERIAIS E FERRAMENTAS</t>
        </is>
      </c>
      <c r="L52" s="222" t="str">
        <f>IF(B52&lt;&gt;"DESPESA","",IFERROR(VLOOKUP(K52,$P$5:$Q$16,2,FALSE),"?"))</f>
        <v>MAT</v>
      </c>
      <c r="M52" s="218" t="inlineStr">
        <is>
          <t>REALIZADO (até 30/04)</t>
        </is>
      </c>
      <c r="N52" s="272" t="inlineStr">
        <is>
          <t>SANEAGO_MOZARLANDIA_CUSTOS 30.04.2026.xlsx / FINANCEIRO ATE 30.04 / linha 64</t>
        </is>
      </c>
    </row>
    <row r="53">
      <c r="A53" s="222" t="n">
        <v>50</v>
      </c>
      <c r="B53" s="218" t="inlineStr">
        <is>
          <t>DESPESA</t>
        </is>
      </c>
      <c r="C53" s="220" t="n">
        <v>46072</v>
      </c>
      <c r="D53" s="220" t="n">
        <v>46086</v>
      </c>
      <c r="E53" s="335">
        <f>IF(D53="","",DATE(YEAR(D53),MONTH(D53),1))</f>
        <v>46082.0</v>
      </c>
      <c r="F53" s="218" t="inlineStr">
        <is>
          <t>ALVES E ROCHA LTDA</t>
        </is>
      </c>
      <c r="G53" s="218" t="inlineStr">
        <is>
          <t>COMBUSTÍVEIS</t>
        </is>
      </c>
      <c r="H53" s="218" t="inlineStr">
        <is>
          <t>11347148</t>
        </is>
      </c>
      <c r="I53" s="219" t="n">
        <v>229</v>
      </c>
      <c r="J53" s="218" t="inlineStr">
        <is>
          <t>ADMINISTRATIVO</t>
        </is>
      </c>
      <c r="K53" s="218" t="inlineStr">
        <is>
          <t>COMBUSTIVEIS</t>
        </is>
      </c>
      <c r="L53" s="222" t="str">
        <f>IF(B53&lt;&gt;"DESPESA","",IFERROR(VLOOKUP(K53,$P$5:$Q$16,2,FALSE),"?"))</f>
        <v>EQP</v>
      </c>
      <c r="M53" s="218" t="inlineStr">
        <is>
          <t>REALIZADO (até 30/04)</t>
        </is>
      </c>
      <c r="N53" s="272" t="inlineStr">
        <is>
          <t>SANEAGO_MOZARLANDIA_CUSTOS 30.04.2026.xlsx / FINANCEIRO ATE 30.04 / linha 65</t>
        </is>
      </c>
    </row>
    <row r="54">
      <c r="A54" s="222" t="n">
        <v>51</v>
      </c>
      <c r="B54" s="218" t="inlineStr">
        <is>
          <t>DESPESA</t>
        </is>
      </c>
      <c r="C54" s="220" t="n">
        <v>46085</v>
      </c>
      <c r="D54" s="220" t="n">
        <v>46086</v>
      </c>
      <c r="E54" s="335">
        <f>IF(D54="","",DATE(YEAR(D54),MONTH(D54),1))</f>
        <v>46082.0</v>
      </c>
      <c r="F54" s="218" t="inlineStr">
        <is>
          <t>JOSILENE MARIA SALES</t>
        </is>
      </c>
      <c r="G54" s="218" t="inlineStr">
        <is>
          <t>ALUGUEL ALOJAMENTO</t>
        </is>
      </c>
      <c r="H54" s="218" t="inlineStr">
        <is>
          <t>RECIBO</t>
        </is>
      </c>
      <c r="I54" s="219" t="n">
        <v>800</v>
      </c>
      <c r="J54" s="218" t="inlineStr">
        <is>
          <t>ADMINISTRATIVO</t>
        </is>
      </c>
      <c r="K54" s="218" t="inlineStr">
        <is>
          <t>ALOJAMENTO, ALIMENTACAO E UTILIDADES</t>
        </is>
      </c>
      <c r="L54" s="222" t="str">
        <f>IF(B54&lt;&gt;"DESPESA","",IFERROR(VLOOKUP(K54,$P$5:$Q$16,2,FALSE),"?"))</f>
        <v>ADM</v>
      </c>
      <c r="M54" s="218" t="inlineStr">
        <is>
          <t>REALIZADO (até 30/04)</t>
        </is>
      </c>
      <c r="N54" s="272" t="inlineStr">
        <is>
          <t>SANEAGO_MOZARLANDIA_CUSTOS 30.04.2026.xlsx / FINANCEIRO ATE 30.04 / linha 66</t>
        </is>
      </c>
    </row>
    <row r="55">
      <c r="A55" s="222" t="n">
        <v>52</v>
      </c>
      <c r="B55" s="218" t="inlineStr">
        <is>
          <t>DESPESA</t>
        </is>
      </c>
      <c r="C55" s="220" t="n">
        <v>46077</v>
      </c>
      <c r="D55" s="220" t="n">
        <v>46087</v>
      </c>
      <c r="E55" s="335">
        <f>IF(D55="","",DATE(YEAR(D55),MONTH(D55),1))</f>
        <v>46082.0</v>
      </c>
      <c r="F55" s="218" t="inlineStr">
        <is>
          <t>MADEIMANAS MADEIREIRA MANAS LTDA</t>
        </is>
      </c>
      <c r="G55" s="218" t="inlineStr">
        <is>
          <t>MATERIAL APLICADO</t>
        </is>
      </c>
      <c r="H55" s="218" t="inlineStr">
        <is>
          <t>177950</t>
        </is>
      </c>
      <c r="I55" s="219" t="n">
        <v>845.66</v>
      </c>
      <c r="J55" s="218" t="inlineStr">
        <is>
          <t>CIVIL</t>
        </is>
      </c>
      <c r="K55" s="218" t="inlineStr">
        <is>
          <t>MATERIAIS E FERRAMENTAS</t>
        </is>
      </c>
      <c r="L55" s="222" t="str">
        <f>IF(B55&lt;&gt;"DESPESA","",IFERROR(VLOOKUP(K55,$P$5:$Q$16,2,FALSE),"?"))</f>
        <v>MAT</v>
      </c>
      <c r="M55" s="218" t="inlineStr">
        <is>
          <t>REALIZADO (até 30/04)</t>
        </is>
      </c>
      <c r="N55" s="272" t="inlineStr">
        <is>
          <t>SANEAGO_MOZARLANDIA_CUSTOS 30.04.2026.xlsx / FINANCEIRO ATE 30.04 / linha 67 | REPETIDA: mesmo NF 177950, fornecedor e valor (~846) aparece 2x (vencimentos: 2026-03-06, 2026-04-24); parcela ou duplicidade, conferir</t>
        </is>
      </c>
    </row>
    <row r="56">
      <c r="A56" s="222" t="n">
        <v>53</v>
      </c>
      <c r="B56" s="218" t="inlineStr">
        <is>
          <t>DESPESA</t>
        </is>
      </c>
      <c r="C56" s="220" t="n">
        <v>46086</v>
      </c>
      <c r="D56" s="220" t="n">
        <v>46087</v>
      </c>
      <c r="E56" s="335">
        <f>IF(D56="","",DATE(YEAR(D56),MONTH(D56),1))</f>
        <v>46082.0</v>
      </c>
      <c r="F56" s="218" t="inlineStr">
        <is>
          <t>TECNOBOMBAS</t>
        </is>
      </c>
      <c r="G56" s="218" t="inlineStr">
        <is>
          <t>SALÁRIOS A PAGAR - FOLHA 02/26</t>
        </is>
      </c>
      <c r="H56" s="218" t="inlineStr">
        <is>
          <t>FOLHA</t>
        </is>
      </c>
      <c r="I56" s="219" t="n">
        <v>14704</v>
      </c>
      <c r="J56" s="218" t="inlineStr">
        <is>
          <t>ADMINISTRATIVO</t>
        </is>
      </c>
      <c r="K56" s="218" t="inlineStr">
        <is>
          <t>PESSOAL E ENCARGOS</t>
        </is>
      </c>
      <c r="L56" s="222" t="str">
        <f>IF(B56&lt;&gt;"DESPESA","",IFERROR(VLOOKUP(K56,$P$5:$Q$16,2,FALSE),"?"))</f>
        <v>MO</v>
      </c>
      <c r="M56" s="218" t="inlineStr">
        <is>
          <t>REALIZADO (até 30/04)</t>
        </is>
      </c>
      <c r="N56" s="272" t="inlineStr">
        <is>
          <t>SANEAGO_MOZARLANDIA_CUSTOS 30.04.2026.xlsx / FINANCEIRO ATE 30.04 / linha 68</t>
        </is>
      </c>
    </row>
    <row r="57">
      <c r="A57" s="222" t="n">
        <v>54</v>
      </c>
      <c r="B57" s="218" t="inlineStr">
        <is>
          <t>DESPESA</t>
        </is>
      </c>
      <c r="C57" s="220" t="n">
        <v>46063</v>
      </c>
      <c r="D57" s="220" t="n">
        <v>46090</v>
      </c>
      <c r="E57" s="335">
        <f>IF(D57="","",DATE(YEAR(D57),MONTH(D57),1))</f>
        <v>46082.0</v>
      </c>
      <c r="F57" s="218" t="inlineStr">
        <is>
          <t>ART AREIAS RIO TESOURO LTDA</t>
        </is>
      </c>
      <c r="G57" s="218" t="inlineStr">
        <is>
          <t>MATERIAL APLICADO</t>
        </is>
      </c>
      <c r="H57" s="218" t="inlineStr">
        <is>
          <t>8983</t>
        </is>
      </c>
      <c r="I57" s="219" t="n">
        <v>510.62</v>
      </c>
      <c r="J57" s="218" t="inlineStr">
        <is>
          <t>CIVIL</t>
        </is>
      </c>
      <c r="K57" s="218" t="inlineStr">
        <is>
          <t>MATERIAIS E FERRAMENTAS</t>
        </is>
      </c>
      <c r="L57" s="222" t="str">
        <f>IF(B57&lt;&gt;"DESPESA","",IFERROR(VLOOKUP(K57,$P$5:$Q$16,2,FALSE),"?"))</f>
        <v>MAT</v>
      </c>
      <c r="M57" s="218" t="inlineStr">
        <is>
          <t>REALIZADO (até 30/04)</t>
        </is>
      </c>
      <c r="N57" s="272" t="inlineStr">
        <is>
          <t>SANEAGO_MOZARLANDIA_CUSTOS 30.04.2026.xlsx / FINANCEIRO ATE 30.04 / linha 69 | REPETIDA: mesmo NF 8983, fornecedor e valor (~511) aparece 2x (vencimentos: 2026-03-09, 2026-04-09); parcela ou duplicidade, conferir</t>
        </is>
      </c>
    </row>
    <row r="58">
      <c r="A58" s="222" t="n">
        <v>55</v>
      </c>
      <c r="B58" s="218" t="inlineStr">
        <is>
          <t>DESPESA</t>
        </is>
      </c>
      <c r="C58" s="220" t="n">
        <v>46087</v>
      </c>
      <c r="D58" s="220" t="n">
        <v>46090</v>
      </c>
      <c r="E58" s="335">
        <f>IF(D58="","",DATE(YEAR(D58),MONTH(D58),1))</f>
        <v>46082.0</v>
      </c>
      <c r="F58" s="218" t="inlineStr">
        <is>
          <t>AT TRANSPORTES LTDA</t>
        </is>
      </c>
      <c r="G58" s="218" t="inlineStr">
        <is>
          <t>FRETE BRITA</t>
        </is>
      </c>
      <c r="H58" s="218" t="inlineStr">
        <is>
          <t>2710</t>
        </is>
      </c>
      <c r="I58" s="219" t="n">
        <v>1590</v>
      </c>
      <c r="J58" s="218" t="inlineStr">
        <is>
          <t>CIVIL</t>
        </is>
      </c>
      <c r="K58" s="218" t="inlineStr">
        <is>
          <t>SERVICOS DE TERCEIROS / CANTEIRO</t>
        </is>
      </c>
      <c r="L58" s="222" t="str">
        <f>IF(B58&lt;&gt;"DESPESA","",IFERROR(VLOOKUP(K58,$P$5:$Q$16,2,FALSE),"?"))</f>
        <v>TER</v>
      </c>
      <c r="M58" s="218" t="inlineStr">
        <is>
          <t>REALIZADO (até 30/04)</t>
        </is>
      </c>
      <c r="N58" s="272" t="inlineStr">
        <is>
          <t>SANEAGO_MOZARLANDIA_CUSTOS 30.04.2026.xlsx / FINANCEIRO ATE 30.04 / linha 70</t>
        </is>
      </c>
    </row>
    <row r="59">
      <c r="A59" s="222" t="n">
        <v>56</v>
      </c>
      <c r="B59" s="218" t="inlineStr">
        <is>
          <t>DESPESA</t>
        </is>
      </c>
      <c r="C59" s="220" t="n">
        <v>46073</v>
      </c>
      <c r="D59" s="220" t="n">
        <v>46090</v>
      </c>
      <c r="E59" s="335">
        <f>IF(D59="","",DATE(YEAR(D59),MONTH(D59),1))</f>
        <v>46082.0</v>
      </c>
      <c r="F59" s="218" t="inlineStr">
        <is>
          <t>EQUATORIAL GOIAS DISTRIBUIDORA</t>
        </is>
      </c>
      <c r="G59" s="218" t="inlineStr">
        <is>
          <t>FATURA ENERGIA ESCRITÓRIO</t>
        </is>
      </c>
      <c r="H59" s="218" t="inlineStr">
        <is>
          <t>180620065</t>
        </is>
      </c>
      <c r="I59" s="219" t="n">
        <v>171.97</v>
      </c>
      <c r="J59" s="218" t="inlineStr">
        <is>
          <t>ADMINISTRATIVO</t>
        </is>
      </c>
      <c r="K59" s="218" t="inlineStr">
        <is>
          <t>ALOJAMENTO, ALIMENTACAO E UTILIDADES</t>
        </is>
      </c>
      <c r="L59" s="222" t="str">
        <f>IF(B59&lt;&gt;"DESPESA","",IFERROR(VLOOKUP(K59,$P$5:$Q$16,2,FALSE),"?"))</f>
        <v>ADM</v>
      </c>
      <c r="M59" s="218" t="inlineStr">
        <is>
          <t>REALIZADO (até 30/04)</t>
        </is>
      </c>
      <c r="N59" s="272" t="inlineStr">
        <is>
          <t>SANEAGO_MOZARLANDIA_CUSTOS 30.04.2026.xlsx / FINANCEIRO ATE 30.04 / linha 71</t>
        </is>
      </c>
    </row>
    <row r="60">
      <c r="A60" s="222" t="n">
        <v>57</v>
      </c>
      <c r="B60" s="218" t="inlineStr">
        <is>
          <t>DESPESA</t>
        </is>
      </c>
      <c r="C60" s="220" t="n">
        <v>46055</v>
      </c>
      <c r="D60" s="220" t="n">
        <v>46090</v>
      </c>
      <c r="E60" s="335">
        <f>IF(D60="","",DATE(YEAR(D60),MONTH(D60),1))</f>
        <v>46082.0</v>
      </c>
      <c r="F60" s="218" t="inlineStr">
        <is>
          <t>JM APROTETORA COMERCIO DE EPI LTDA</t>
        </is>
      </c>
      <c r="G60" s="218" t="inlineStr">
        <is>
          <t>EPIs</t>
        </is>
      </c>
      <c r="H60" s="218" t="inlineStr">
        <is>
          <t>1679</t>
        </is>
      </c>
      <c r="I60" s="219" t="n">
        <v>1000</v>
      </c>
      <c r="J60" s="218" t="inlineStr">
        <is>
          <t>ADMINISTRATIVO</t>
        </is>
      </c>
      <c r="K60" s="218" t="inlineStr">
        <is>
          <t>SEGURANCA DO TRABALHO (EPI/UNIFORMES)</t>
        </is>
      </c>
      <c r="L60" s="222" t="str">
        <f>IF(B60&lt;&gt;"DESPESA","",IFERROR(VLOOKUP(K60,$P$5:$Q$16,2,FALSE),"?"))</f>
        <v>ADM</v>
      </c>
      <c r="M60" s="218" t="inlineStr">
        <is>
          <t>REALIZADO (até 30/04)</t>
        </is>
      </c>
      <c r="N60" s="272" t="inlineStr">
        <is>
          <t>SANEAGO_MOZARLANDIA_CUSTOS 30.04.2026.xlsx / FINANCEIRO ATE 30.04 / linha 72 | REPETIDA: mesmo NF 1679, fornecedor e valor (~1000) aparece 4x (vencimentos: 2026-03-02, 2026-03-09, 2026-03-16, 2026-03-30); parcela ou duplicidade, conferir</t>
        </is>
      </c>
    </row>
    <row r="61">
      <c r="A61" s="222" t="n">
        <v>58</v>
      </c>
      <c r="B61" s="218" t="inlineStr">
        <is>
          <t>DESPESA</t>
        </is>
      </c>
      <c r="C61" s="220" t="n">
        <v>46062</v>
      </c>
      <c r="D61" s="220" t="n">
        <v>46090</v>
      </c>
      <c r="E61" s="335">
        <f>IF(D61="","",DATE(YEAR(D61),MONTH(D61),1))</f>
        <v>46082.0</v>
      </c>
      <c r="F61" s="218" t="inlineStr">
        <is>
          <t>MADEIMANAS MADEIREIRA MANAS LTDA</t>
        </is>
      </c>
      <c r="G61" s="218" t="inlineStr">
        <is>
          <t>MATERIAL APLICADO</t>
        </is>
      </c>
      <c r="H61" s="218" t="inlineStr">
        <is>
          <t>177240</t>
        </is>
      </c>
      <c r="I61" s="219" t="n">
        <v>4877.71</v>
      </c>
      <c r="J61" s="218" t="inlineStr">
        <is>
          <t>CIVIL</t>
        </is>
      </c>
      <c r="K61" s="218" t="inlineStr">
        <is>
          <t>MATERIAIS E FERRAMENTAS</t>
        </is>
      </c>
      <c r="L61" s="222" t="str">
        <f>IF(B61&lt;&gt;"DESPESA","",IFERROR(VLOOKUP(K61,$P$5:$Q$16,2,FALSE),"?"))</f>
        <v>MAT</v>
      </c>
      <c r="M61" s="218" t="inlineStr">
        <is>
          <t>REALIZADO (até 30/04)</t>
        </is>
      </c>
      <c r="N61" s="272" t="inlineStr">
        <is>
          <t>SANEAGO_MOZARLANDIA_CUSTOS 30.04.2026.xlsx / FINANCEIRO ATE 30.04 / linha 73 | REPETIDA: mesmo NF 177240, fornecedor e valor (~4878) aparece 3x (vencimentos: 2026-02-19, 2026-03-09, 2026-04-09); parcela ou duplicidade, conferir</t>
        </is>
      </c>
    </row>
    <row r="62">
      <c r="A62" s="222" t="n">
        <v>59</v>
      </c>
      <c r="B62" s="218" t="inlineStr">
        <is>
          <t>DESPESA</t>
        </is>
      </c>
      <c r="C62" s="220" t="n">
        <v>46062</v>
      </c>
      <c r="D62" s="220" t="n">
        <v>46090</v>
      </c>
      <c r="E62" s="335">
        <f>IF(D62="","",DATE(YEAR(D62),MONTH(D62),1))</f>
        <v>46082.0</v>
      </c>
      <c r="F62" s="218" t="inlineStr">
        <is>
          <t>MADEIMANAS MADEIREIRA MANAS LTDA</t>
        </is>
      </c>
      <c r="G62" s="218" t="inlineStr">
        <is>
          <t>MATERIAL APLICADO COM FERRAMENTAS</t>
        </is>
      </c>
      <c r="H62" s="218" t="inlineStr">
        <is>
          <t>177241</t>
        </is>
      </c>
      <c r="I62" s="219" t="n">
        <v>3617.86</v>
      </c>
      <c r="J62" s="218" t="inlineStr">
        <is>
          <t>CIVIL</t>
        </is>
      </c>
      <c r="K62" s="218" t="inlineStr">
        <is>
          <t>MATERIAIS E FERRAMENTAS</t>
        </is>
      </c>
      <c r="L62" s="222" t="str">
        <f>IF(B62&lt;&gt;"DESPESA","",IFERROR(VLOOKUP(K62,$P$5:$Q$16,2,FALSE),"?"))</f>
        <v>MAT</v>
      </c>
      <c r="M62" s="218" t="inlineStr">
        <is>
          <t>REALIZADO (até 30/04)</t>
        </is>
      </c>
      <c r="N62" s="272" t="inlineStr">
        <is>
          <t>SANEAGO_MOZARLANDIA_CUSTOS 30.04.2026.xlsx / FINANCEIRO ATE 30.04 / linha 74 | REPETIDA: mesmo NF 177241, fornecedor e valor (~3618) aparece 3x (vencimentos: 2026-02-19, 2026-03-09, 2026-04-09); parcela ou duplicidade, conferir</t>
        </is>
      </c>
    </row>
    <row r="63">
      <c r="A63" s="222" t="n">
        <v>60</v>
      </c>
      <c r="B63" s="218" t="inlineStr">
        <is>
          <t>DESPESA</t>
        </is>
      </c>
      <c r="C63" s="220" t="n">
        <v>46086</v>
      </c>
      <c r="D63" s="220" t="n">
        <v>46090</v>
      </c>
      <c r="E63" s="335">
        <f>IF(D63="","",DATE(YEAR(D63),MONTH(D63),1))</f>
        <v>46082.0</v>
      </c>
      <c r="F63" s="218" t="inlineStr">
        <is>
          <t>MARCIA ANDREIA DE ARAUJO</t>
        </is>
      </c>
      <c r="G63" s="218" t="inlineStr">
        <is>
          <t>DIÁRIAS PRESTAÇÃO SERVIÇOS</t>
        </is>
      </c>
      <c r="H63" s="218" t="inlineStr">
        <is>
          <t>Recibo</t>
        </is>
      </c>
      <c r="I63" s="219" t="n">
        <v>300</v>
      </c>
      <c r="J63" s="218" t="inlineStr">
        <is>
          <t>ADMINISTRATIVO</t>
        </is>
      </c>
      <c r="K63" s="218" t="inlineStr">
        <is>
          <t>ALOJAMENTO, ALIMENTACAO E UTILIDADES</t>
        </is>
      </c>
      <c r="L63" s="222" t="str">
        <f>IF(B63&lt;&gt;"DESPESA","",IFERROR(VLOOKUP(K63,$P$5:$Q$16,2,FALSE),"?"))</f>
        <v>ADM</v>
      </c>
      <c r="M63" s="218" t="inlineStr">
        <is>
          <t>REALIZADO (até 30/04)</t>
        </is>
      </c>
      <c r="N63" s="272" t="inlineStr">
        <is>
          <t>SANEAGO_MOZARLANDIA_CUSTOS 30.04.2026.xlsx / FINANCEIRO ATE 30.04 / linha 75</t>
        </is>
      </c>
    </row>
    <row r="64">
      <c r="A64" s="222" t="n">
        <v>61</v>
      </c>
      <c r="B64" s="218" t="inlineStr">
        <is>
          <t>DESPESA</t>
        </is>
      </c>
      <c r="C64" s="220" t="n">
        <v>46090</v>
      </c>
      <c r="D64" s="220" t="n">
        <v>46090</v>
      </c>
      <c r="E64" s="335">
        <f>IF(D64="","",DATE(YEAR(D64),MONTH(D64),1))</f>
        <v>46082.0</v>
      </c>
      <c r="F64" s="218" t="inlineStr">
        <is>
          <t>MERCADO PAGO</t>
        </is>
      </c>
      <c r="G64" s="218" t="inlineStr">
        <is>
          <t>KIT CÂMERA DE SEGURANÇA</t>
        </is>
      </c>
      <c r="H64" s="218" t="inlineStr">
        <is>
          <t>59613823</t>
        </is>
      </c>
      <c r="I64" s="219" t="n">
        <v>259</v>
      </c>
      <c r="J64" s="218" t="inlineStr">
        <is>
          <t>ADMINISTRATIVO</t>
        </is>
      </c>
      <c r="K64" s="218" t="inlineStr">
        <is>
          <t>ADMINISTRATIVO GERAL (seguros, honorarios, reembolsos, TI)</t>
        </is>
      </c>
      <c r="L64" s="222" t="str">
        <f>IF(B64&lt;&gt;"DESPESA","",IFERROR(VLOOKUP(K64,$P$5:$Q$16,2,FALSE),"?"))</f>
        <v>ADM</v>
      </c>
      <c r="M64" s="218" t="inlineStr">
        <is>
          <t>REALIZADO (até 30/04)</t>
        </is>
      </c>
      <c r="N64" s="272" t="inlineStr">
        <is>
          <t>SANEAGO_MOZARLANDIA_CUSTOS 30.04.2026.xlsx / FINANCEIRO ATE 30.04 / linha 76</t>
        </is>
      </c>
    </row>
    <row r="65">
      <c r="A65" s="222" t="n">
        <v>62</v>
      </c>
      <c r="B65" s="218" t="inlineStr">
        <is>
          <t>DESPESA</t>
        </is>
      </c>
      <c r="C65" s="220" t="n">
        <v>46090</v>
      </c>
      <c r="D65" s="220" t="n">
        <v>46090</v>
      </c>
      <c r="E65" s="335">
        <f>IF(D65="","",DATE(YEAR(D65),MONTH(D65),1))</f>
        <v>46082.0</v>
      </c>
      <c r="F65" s="218" t="inlineStr">
        <is>
          <t>MERCADO PAGO</t>
        </is>
      </c>
      <c r="G65" s="218" t="inlineStr">
        <is>
          <t>KIT 4 REFLETORES SUPER LED</t>
        </is>
      </c>
      <c r="H65" s="218" t="inlineStr">
        <is>
          <t>7330864</t>
        </is>
      </c>
      <c r="I65" s="219" t="n">
        <v>72.73999999999999</v>
      </c>
      <c r="J65" s="218" t="inlineStr">
        <is>
          <t>ADMINISTRATIVO</t>
        </is>
      </c>
      <c r="K65" s="218" t="inlineStr">
        <is>
          <t>ADMINISTRATIVO GERAL (seguros, honorarios, reembolsos, TI)</t>
        </is>
      </c>
      <c r="L65" s="222" t="str">
        <f>IF(B65&lt;&gt;"DESPESA","",IFERROR(VLOOKUP(K65,$P$5:$Q$16,2,FALSE),"?"))</f>
        <v>ADM</v>
      </c>
      <c r="M65" s="218" t="inlineStr">
        <is>
          <t>REALIZADO (até 30/04)</t>
        </is>
      </c>
      <c r="N65" s="272" t="inlineStr">
        <is>
          <t>SANEAGO_MOZARLANDIA_CUSTOS 30.04.2026.xlsx / FINANCEIRO ATE 30.04 / linha 77</t>
        </is>
      </c>
    </row>
    <row r="66">
      <c r="A66" s="222" t="n">
        <v>63</v>
      </c>
      <c r="B66" s="218" t="inlineStr">
        <is>
          <t>APORTE</t>
        </is>
      </c>
      <c r="C66" s="220" t="n">
        <v>46090</v>
      </c>
      <c r="D66" s="220" t="n">
        <v>46090</v>
      </c>
      <c r="E66" s="335">
        <f>IF(D66="","",DATE(YEAR(D66),MONTH(D66),1))</f>
        <v>46082.0</v>
      </c>
      <c r="F66" s="218" t="inlineStr">
        <is>
          <t>TECNOBOMBAS</t>
        </is>
      </c>
      <c r="G66" s="218" t="inlineStr">
        <is>
          <t>APORTE DA TECNOBOMBAS</t>
        </is>
      </c>
      <c r="H66" s="218" t="inlineStr">
        <is>
          <t>PIX</t>
        </is>
      </c>
      <c r="I66" s="219" t="n">
        <v>10000</v>
      </c>
      <c r="J66" s="218" t="inlineStr">
        <is>
          <t>APORTE</t>
        </is>
      </c>
      <c r="K66" s="218" t="inlineStr">
        <is>
          <t>APORTE</t>
        </is>
      </c>
      <c r="L66" s="222">
        <f>IF(B66&lt;&gt;"DESPESA","",IFERROR(VLOOKUP(K66,$P$5:$Q$16,2,FALSE),"?"))</f>
      </c>
      <c r="M66" s="218" t="inlineStr">
        <is>
          <t>REALIZADO (até 30/04)</t>
        </is>
      </c>
      <c r="N66" s="272" t="inlineStr">
        <is>
          <t>SANEAGO_MOZARLANDIA_CUSTOS 30.04.2026.xlsx / FINANCEIRO ATE 30.04 / linha 78</t>
        </is>
      </c>
    </row>
    <row r="67">
      <c r="A67" s="222" t="n">
        <v>64</v>
      </c>
      <c r="B67" s="218" t="inlineStr">
        <is>
          <t>DESPESA</t>
        </is>
      </c>
      <c r="C67" s="220" t="n">
        <v>46085</v>
      </c>
      <c r="D67" s="220" t="n">
        <v>46091</v>
      </c>
      <c r="E67" s="335">
        <f>IF(D67="","",DATE(YEAR(D67),MONTH(D67),1))</f>
        <v>46082.0</v>
      </c>
      <c r="F67" s="218" t="inlineStr">
        <is>
          <t>MARIA DE FATIMA OLIVEIRA</t>
        </is>
      </c>
      <c r="G67" s="218" t="inlineStr">
        <is>
          <t>ALUGUEL ALOJAMENTO</t>
        </is>
      </c>
      <c r="H67" s="218" t="inlineStr">
        <is>
          <t>RECIBO</t>
        </is>
      </c>
      <c r="I67" s="219" t="n">
        <v>1500</v>
      </c>
      <c r="J67" s="218" t="inlineStr">
        <is>
          <t>ADMINISTRATIVO</t>
        </is>
      </c>
      <c r="K67" s="218" t="inlineStr">
        <is>
          <t>ALOJAMENTO, ALIMENTACAO E UTILIDADES</t>
        </is>
      </c>
      <c r="L67" s="222" t="str">
        <f>IF(B67&lt;&gt;"DESPESA","",IFERROR(VLOOKUP(K67,$P$5:$Q$16,2,FALSE),"?"))</f>
        <v>ADM</v>
      </c>
      <c r="M67" s="218" t="inlineStr">
        <is>
          <t>REALIZADO (até 30/04)</t>
        </is>
      </c>
      <c r="N67" s="272" t="inlineStr">
        <is>
          <t>SANEAGO_MOZARLANDIA_CUSTOS 30.04.2026.xlsx / FINANCEIRO ATE 30.04 / linha 79</t>
        </is>
      </c>
    </row>
    <row r="68">
      <c r="A68" s="222" t="n">
        <v>65</v>
      </c>
      <c r="B68" s="218" t="inlineStr">
        <is>
          <t>DESPESA</t>
        </is>
      </c>
      <c r="C68" s="220" t="n">
        <v>46065</v>
      </c>
      <c r="D68" s="220" t="n">
        <v>46091</v>
      </c>
      <c r="E68" s="335">
        <f>IF(D68="","",DATE(YEAR(D68),MONTH(D68),1))</f>
        <v>46082.0</v>
      </c>
      <c r="F68" s="218" t="inlineStr">
        <is>
          <t>DISKOTEL ELETRO EIRELI</t>
        </is>
      </c>
      <c r="G68" s="218" t="inlineStr">
        <is>
          <t>UTENSILIOS ESCRITÓRIO</t>
        </is>
      </c>
      <c r="H68" s="218" t="inlineStr">
        <is>
          <t>14347</t>
        </is>
      </c>
      <c r="I68" s="219" t="n">
        <v>2025.58</v>
      </c>
      <c r="J68" s="218" t="inlineStr">
        <is>
          <t>ADMINISTRATIVO</t>
        </is>
      </c>
      <c r="K68" s="218" t="inlineStr">
        <is>
          <t>ALOJAMENTO, ALIMENTACAO E UTILIDADES</t>
        </is>
      </c>
      <c r="L68" s="222" t="str">
        <f>IF(B68&lt;&gt;"DESPESA","",IFERROR(VLOOKUP(K68,$P$5:$Q$16,2,FALSE),"?"))</f>
        <v>ADM</v>
      </c>
      <c r="M68" s="218" t="inlineStr">
        <is>
          <t>REALIZADO (até 30/04)</t>
        </is>
      </c>
      <c r="N68" s="272" t="inlineStr">
        <is>
          <t>SANEAGO_MOZARLANDIA_CUSTOS 30.04.2026.xlsx / FINANCEIRO ATE 30.04 / linha 80</t>
        </is>
      </c>
    </row>
    <row r="69">
      <c r="A69" s="222" t="n">
        <v>66</v>
      </c>
      <c r="B69" s="218" t="inlineStr">
        <is>
          <t>DESPESA</t>
        </is>
      </c>
      <c r="C69" s="220" t="n">
        <v>46086</v>
      </c>
      <c r="D69" s="220" t="n">
        <v>46091</v>
      </c>
      <c r="E69" s="335">
        <f>IF(D69="","",DATE(YEAR(D69),MONTH(D69),1))</f>
        <v>46082.0</v>
      </c>
      <c r="F69" s="218" t="inlineStr">
        <is>
          <t>SINDICATO DOS TRABALHADORES IND COM</t>
        </is>
      </c>
      <c r="G69" s="218" t="inlineStr">
        <is>
          <t>CONTRIBUIÇÃO ASSISTENCIAL</t>
        </is>
      </c>
      <c r="H69" s="218" t="inlineStr">
        <is>
          <t>Boleto</t>
        </is>
      </c>
      <c r="I69" s="219" t="n">
        <v>300</v>
      </c>
      <c r="J69" s="218" t="inlineStr">
        <is>
          <t>ADMINISTRATIVO</t>
        </is>
      </c>
      <c r="K69" s="218" t="inlineStr">
        <is>
          <t>PESSOAL E ENCARGOS</t>
        </is>
      </c>
      <c r="L69" s="222" t="str">
        <f>IF(B69&lt;&gt;"DESPESA","",IFERROR(VLOOKUP(K69,$P$5:$Q$16,2,FALSE),"?"))</f>
        <v>MO</v>
      </c>
      <c r="M69" s="218" t="inlineStr">
        <is>
          <t>REALIZADO (até 30/04)</t>
        </is>
      </c>
      <c r="N69" s="272" t="inlineStr">
        <is>
          <t>SANEAGO_MOZARLANDIA_CUSTOS 30.04.2026.xlsx / FINANCEIRO ATE 30.04 / linha 81</t>
        </is>
      </c>
    </row>
    <row r="70">
      <c r="A70" s="222" t="n">
        <v>67</v>
      </c>
      <c r="B70" s="218" t="inlineStr">
        <is>
          <t>APORTE</t>
        </is>
      </c>
      <c r="C70" s="220" t="n">
        <v>46091</v>
      </c>
      <c r="D70" s="220" t="n">
        <v>46091</v>
      </c>
      <c r="E70" s="335">
        <f>IF(D70="","",DATE(YEAR(D70),MONTH(D70),1))</f>
        <v>46082.0</v>
      </c>
      <c r="F70" s="218" t="inlineStr">
        <is>
          <t>TAF EQUIPAMENTOS</t>
        </is>
      </c>
      <c r="G70" s="218" t="inlineStr">
        <is>
          <t>APORTE DA TAF</t>
        </is>
      </c>
      <c r="H70" s="218" t="inlineStr">
        <is>
          <t>PIX</t>
        </is>
      </c>
      <c r="I70" s="219" t="n">
        <v>32000</v>
      </c>
      <c r="J70" s="218" t="inlineStr">
        <is>
          <t>APORTE</t>
        </is>
      </c>
      <c r="K70" s="218" t="inlineStr">
        <is>
          <t>APORTE</t>
        </is>
      </c>
      <c r="L70" s="222">
        <f>IF(B70&lt;&gt;"DESPESA","",IFERROR(VLOOKUP(K70,$P$5:$Q$16,2,FALSE),"?"))</f>
      </c>
      <c r="M70" s="218" t="inlineStr">
        <is>
          <t>REALIZADO (até 30/04)</t>
        </is>
      </c>
      <c r="N70" s="272" t="inlineStr">
        <is>
          <t>SANEAGO_MOZARLANDIA_CUSTOS 30.04.2026.xlsx / FINANCEIRO ATE 30.04 / linha 82</t>
        </is>
      </c>
    </row>
    <row r="71">
      <c r="A71" s="222" t="n">
        <v>68</v>
      </c>
      <c r="B71" s="218" t="inlineStr">
        <is>
          <t>DESPESA</t>
        </is>
      </c>
      <c r="C71" s="220" t="n">
        <v>46065</v>
      </c>
      <c r="D71" s="220" t="n">
        <v>46092</v>
      </c>
      <c r="E71" s="335">
        <f>IF(D71="","",DATE(YEAR(D71),MONTH(D71),1))</f>
        <v>46082.0</v>
      </c>
      <c r="F71" s="218" t="inlineStr">
        <is>
          <t>ART AREIAS RIO TESOURO LTDA</t>
        </is>
      </c>
      <c r="G71" s="218" t="inlineStr">
        <is>
          <t>MATERIAL APLICADO</t>
        </is>
      </c>
      <c r="H71" s="218" t="inlineStr">
        <is>
          <t>8992</t>
        </is>
      </c>
      <c r="I71" s="219" t="n">
        <v>549.64</v>
      </c>
      <c r="J71" s="218" t="inlineStr">
        <is>
          <t>CIVIL</t>
        </is>
      </c>
      <c r="K71" s="218" t="inlineStr">
        <is>
          <t>MATERIAIS E FERRAMENTAS</t>
        </is>
      </c>
      <c r="L71" s="222" t="str">
        <f>IF(B71&lt;&gt;"DESPESA","",IFERROR(VLOOKUP(K71,$P$5:$Q$16,2,FALSE),"?"))</f>
        <v>MAT</v>
      </c>
      <c r="M71" s="218" t="inlineStr">
        <is>
          <t>REALIZADO (até 30/04)</t>
        </is>
      </c>
      <c r="N71" s="272" t="inlineStr">
        <is>
          <t>SANEAGO_MOZARLANDIA_CUSTOS 30.04.2026.xlsx / FINANCEIRO ATE 30.04 / linha 83 | REPETIDA: mesmo NF 8992, fornecedor e valor (~550) aparece 2x (vencimentos: 2026-03-11, 2026-04-11); parcela ou duplicidade, conferir</t>
        </is>
      </c>
    </row>
    <row r="72">
      <c r="A72" s="222" t="n">
        <v>69</v>
      </c>
      <c r="B72" s="218" t="inlineStr">
        <is>
          <t>DESPESA</t>
        </is>
      </c>
      <c r="C72" s="220" t="n">
        <v>46065</v>
      </c>
      <c r="D72" s="220" t="n">
        <v>46092</v>
      </c>
      <c r="E72" s="335">
        <f>IF(D72="","",DATE(YEAR(D72),MONTH(D72),1))</f>
        <v>46082.0</v>
      </c>
      <c r="F72" s="218" t="inlineStr">
        <is>
          <t>DISKOTEL ELETRO EIRELI</t>
        </is>
      </c>
      <c r="G72" s="218" t="inlineStr">
        <is>
          <t>UTENSÍLIOS ESCRITÓRIO</t>
        </is>
      </c>
      <c r="H72" s="218" t="inlineStr">
        <is>
          <t>14346</t>
        </is>
      </c>
      <c r="I72" s="219" t="n">
        <v>1141.8</v>
      </c>
      <c r="J72" s="218" t="inlineStr">
        <is>
          <t>ADMINISTRATIVO</t>
        </is>
      </c>
      <c r="K72" s="218" t="inlineStr">
        <is>
          <t>ALOJAMENTO, ALIMENTACAO E UTILIDADES</t>
        </is>
      </c>
      <c r="L72" s="222" t="str">
        <f>IF(B72&lt;&gt;"DESPESA","",IFERROR(VLOOKUP(K72,$P$5:$Q$16,2,FALSE),"?"))</f>
        <v>ADM</v>
      </c>
      <c r="M72" s="218" t="inlineStr">
        <is>
          <t>REALIZADO (até 30/04)</t>
        </is>
      </c>
      <c r="N72" s="272" t="inlineStr">
        <is>
          <t>SANEAGO_MOZARLANDIA_CUSTOS 30.04.2026.xlsx / FINANCEIRO ATE 30.04 / linha 84</t>
        </is>
      </c>
    </row>
    <row r="73">
      <c r="A73" s="222" t="n">
        <v>70</v>
      </c>
      <c r="B73" s="218" t="inlineStr">
        <is>
          <t>DESPESA</t>
        </is>
      </c>
      <c r="C73" s="220" t="n">
        <v>46064</v>
      </c>
      <c r="D73" s="220" t="n">
        <v>46092</v>
      </c>
      <c r="E73" s="335">
        <f>IF(D73="","",DATE(YEAR(D73),MONTH(D73),1))</f>
        <v>46082.0</v>
      </c>
      <c r="F73" s="218" t="inlineStr">
        <is>
          <t>MADEIMANAS MADEIREIRA MANAS LTDA</t>
        </is>
      </c>
      <c r="G73" s="218" t="inlineStr">
        <is>
          <t>FERRAMENTAL OBRA</t>
        </is>
      </c>
      <c r="H73" s="218" t="inlineStr">
        <is>
          <t>177371</t>
        </is>
      </c>
      <c r="I73" s="219" t="n">
        <v>50.62</v>
      </c>
      <c r="J73" s="218" t="inlineStr">
        <is>
          <t>CIVIL</t>
        </is>
      </c>
      <c r="K73" s="218" t="inlineStr">
        <is>
          <t>MATERIAIS E FERRAMENTAS</t>
        </is>
      </c>
      <c r="L73" s="222" t="str">
        <f>IF(B73&lt;&gt;"DESPESA","",IFERROR(VLOOKUP(K73,$P$5:$Q$16,2,FALSE),"?"))</f>
        <v>MAT</v>
      </c>
      <c r="M73" s="218" t="inlineStr">
        <is>
          <t>REALIZADO (até 30/04)</t>
        </is>
      </c>
      <c r="N73" s="272" t="inlineStr">
        <is>
          <t>SANEAGO_MOZARLANDIA_CUSTOS 30.04.2026.xlsx / FINANCEIRO ATE 30.04 / linha 85 | REPETIDA: mesmo NF 177371, fornecedor e valor (~51) aparece 2x (vencimentos: 2026-03-11, 2026-04-11); parcela ou duplicidade, conferir</t>
        </is>
      </c>
    </row>
    <row r="74">
      <c r="A74" s="222" t="n">
        <v>71</v>
      </c>
      <c r="B74" s="218" t="inlineStr">
        <is>
          <t>DESPESA</t>
        </is>
      </c>
      <c r="C74" s="220" t="n">
        <v>46064</v>
      </c>
      <c r="D74" s="220" t="n">
        <v>46092</v>
      </c>
      <c r="E74" s="335">
        <f>IF(D74="","",DATE(YEAR(D74),MONTH(D74),1))</f>
        <v>46082.0</v>
      </c>
      <c r="F74" s="218" t="inlineStr">
        <is>
          <t>PENTAGONO EQUIP PROTECAO INDIVIDUAL</t>
        </is>
      </c>
      <c r="G74" s="218" t="inlineStr">
        <is>
          <t>EPIs</t>
        </is>
      </c>
      <c r="H74" s="218" t="inlineStr">
        <is>
          <t>90944</t>
        </is>
      </c>
      <c r="I74" s="219" t="n">
        <v>40.75</v>
      </c>
      <c r="J74" s="218" t="inlineStr">
        <is>
          <t>ADMINISTRATIVO</t>
        </is>
      </c>
      <c r="K74" s="218" t="inlineStr">
        <is>
          <t>SEGURANCA DO TRABALHO (EPI/UNIFORMES)</t>
        </is>
      </c>
      <c r="L74" s="222" t="str">
        <f>IF(B74&lt;&gt;"DESPESA","",IFERROR(VLOOKUP(K74,$P$5:$Q$16,2,FALSE),"?"))</f>
        <v>ADM</v>
      </c>
      <c r="M74" s="218" t="inlineStr">
        <is>
          <t>REALIZADO (até 30/04)</t>
        </is>
      </c>
      <c r="N74" s="272" t="inlineStr">
        <is>
          <t>SANEAGO_MOZARLANDIA_CUSTOS 30.04.2026.xlsx / FINANCEIRO ATE 30.04 / linha 86</t>
        </is>
      </c>
    </row>
    <row r="75">
      <c r="A75" s="222" t="n">
        <v>72</v>
      </c>
      <c r="B75" s="218" t="inlineStr">
        <is>
          <t>DESPESA</t>
        </is>
      </c>
      <c r="C75" s="220" t="n">
        <v>46078</v>
      </c>
      <c r="D75" s="220" t="n">
        <v>46092</v>
      </c>
      <c r="E75" s="335">
        <f>IF(D75="","",DATE(YEAR(D75),MONTH(D75),1))</f>
        <v>46082.0</v>
      </c>
      <c r="F75" s="218" t="inlineStr">
        <is>
          <t>MADEIMANAS MADEIREIRA MANAS LTDA</t>
        </is>
      </c>
      <c r="G75" s="218" t="inlineStr">
        <is>
          <t>MATERIAL APLICADO - CIVIL</t>
        </is>
      </c>
      <c r="H75" s="218" t="inlineStr">
        <is>
          <t>3483</t>
        </is>
      </c>
      <c r="I75" s="219" t="n">
        <v>12403</v>
      </c>
      <c r="J75" s="218" t="inlineStr">
        <is>
          <t>CIVIL</t>
        </is>
      </c>
      <c r="K75" s="218" t="inlineStr">
        <is>
          <t>MATERIAIS E FERRAMENTAS</t>
        </is>
      </c>
      <c r="L75" s="222" t="str">
        <f>IF(B75&lt;&gt;"DESPESA","",IFERROR(VLOOKUP(K75,$P$5:$Q$16,2,FALSE),"?"))</f>
        <v>MAT</v>
      </c>
      <c r="M75" s="218" t="inlineStr">
        <is>
          <t>REALIZADO (até 30/04)</t>
        </is>
      </c>
      <c r="N75" s="272" t="inlineStr">
        <is>
          <t>SANEAGO_MOZARLANDIA_CUSTOS 30.04.2026.xlsx / FINANCEIRO ATE 30.04 / linha 87</t>
        </is>
      </c>
    </row>
    <row r="76">
      <c r="A76" s="222" t="n">
        <v>73</v>
      </c>
      <c r="B76" s="218" t="inlineStr">
        <is>
          <t>DESPESA</t>
        </is>
      </c>
      <c r="C76" s="220" t="n">
        <v>46065</v>
      </c>
      <c r="D76" s="220" t="n">
        <v>46093</v>
      </c>
      <c r="E76" s="335">
        <f>IF(D76="","",DATE(YEAR(D76),MONTH(D76),1))</f>
        <v>46082.0</v>
      </c>
      <c r="F76" s="218" t="inlineStr">
        <is>
          <t>KAPITAO AMERICA EQUIPAMENTOS SEGURANCA</t>
        </is>
      </c>
      <c r="G76" s="218" t="inlineStr">
        <is>
          <t>EPIs</t>
        </is>
      </c>
      <c r="H76" s="218" t="inlineStr">
        <is>
          <t>235260</t>
        </is>
      </c>
      <c r="I76" s="219" t="n">
        <v>271</v>
      </c>
      <c r="J76" s="218" t="inlineStr">
        <is>
          <t>ADMINISTRATIVO</t>
        </is>
      </c>
      <c r="K76" s="218" t="inlineStr">
        <is>
          <t>SEGURANCA DO TRABALHO (EPI/UNIFORMES)</t>
        </is>
      </c>
      <c r="L76" s="222" t="str">
        <f>IF(B76&lt;&gt;"DESPESA","",IFERROR(VLOOKUP(K76,$P$5:$Q$16,2,FALSE),"?"))</f>
        <v>ADM</v>
      </c>
      <c r="M76" s="218" t="inlineStr">
        <is>
          <t>REALIZADO (até 30/04)</t>
        </is>
      </c>
      <c r="N76" s="272" t="inlineStr">
        <is>
          <t>SANEAGO_MOZARLANDIA_CUSTOS 30.04.2026.xlsx / FINANCEIRO ATE 30.04 / linha 88</t>
        </is>
      </c>
    </row>
    <row r="77">
      <c r="A77" s="222" t="n">
        <v>74</v>
      </c>
      <c r="B77" s="218" t="inlineStr">
        <is>
          <t>DESPESA</t>
        </is>
      </c>
      <c r="C77" s="220" t="n">
        <v>46084</v>
      </c>
      <c r="D77" s="220" t="n">
        <v>46094</v>
      </c>
      <c r="E77" s="335">
        <f>IF(D77="","",DATE(YEAR(D77),MONTH(D77),1))</f>
        <v>46082.0</v>
      </c>
      <c r="F77" s="218" t="inlineStr">
        <is>
          <t>NAIR ALVES DE ASSIS</t>
        </is>
      </c>
      <c r="G77" s="218" t="inlineStr">
        <is>
          <t>HOSPEDAGENS</t>
        </is>
      </c>
      <c r="H77" s="218" t="inlineStr">
        <is>
          <t>9682</t>
        </is>
      </c>
      <c r="I77" s="219" t="n">
        <v>1245</v>
      </c>
      <c r="J77" s="218" t="inlineStr">
        <is>
          <t>ADMINISTRATIVO</t>
        </is>
      </c>
      <c r="K77" s="218" t="inlineStr">
        <is>
          <t>ALOJAMENTO, ALIMENTACAO E UTILIDADES</t>
        </is>
      </c>
      <c r="L77" s="222" t="str">
        <f>IF(B77&lt;&gt;"DESPESA","",IFERROR(VLOOKUP(K77,$P$5:$Q$16,2,FALSE),"?"))</f>
        <v>ADM</v>
      </c>
      <c r="M77" s="218" t="inlineStr">
        <is>
          <t>REALIZADO (até 30/04)</t>
        </is>
      </c>
      <c r="N77" s="272" t="inlineStr">
        <is>
          <t>SANEAGO_MOZARLANDIA_CUSTOS 30.04.2026.xlsx / FINANCEIRO ATE 30.04 / linha 89</t>
        </is>
      </c>
    </row>
    <row r="78">
      <c r="A78" s="222" t="n">
        <v>75</v>
      </c>
      <c r="B78" s="218" t="inlineStr">
        <is>
          <t>DESPESA</t>
        </is>
      </c>
      <c r="C78" s="220" t="n">
        <v>46080</v>
      </c>
      <c r="D78" s="220" t="n">
        <v>46094</v>
      </c>
      <c r="E78" s="335">
        <f>IF(D78="","",DATE(YEAR(D78),MONTH(D78),1))</f>
        <v>46082.0</v>
      </c>
      <c r="F78" s="218" t="inlineStr">
        <is>
          <t>PAULO CARDOSO EXTINTORES LTDA</t>
        </is>
      </c>
      <c r="G78" s="218" t="inlineStr">
        <is>
          <t>EXTINTORES</t>
        </is>
      </c>
      <c r="H78" s="218" t="inlineStr">
        <is>
          <t>324</t>
        </is>
      </c>
      <c r="I78" s="219" t="n">
        <v>760</v>
      </c>
      <c r="J78" s="218" t="inlineStr">
        <is>
          <t>ADMINISTRATIVO</t>
        </is>
      </c>
      <c r="K78" s="218" t="inlineStr">
        <is>
          <t>SEGURANCA DO TRABALHO (EPI/UNIFORMES)</t>
        </is>
      </c>
      <c r="L78" s="222" t="str">
        <f>IF(B78&lt;&gt;"DESPESA","",IFERROR(VLOOKUP(K78,$P$5:$Q$16,2,FALSE),"?"))</f>
        <v>ADM</v>
      </c>
      <c r="M78" s="218" t="inlineStr">
        <is>
          <t>REALIZADO (até 30/04)</t>
        </is>
      </c>
      <c r="N78" s="272" t="inlineStr">
        <is>
          <t>SANEAGO_MOZARLANDIA_CUSTOS 30.04.2026.xlsx / FINANCEIRO ATE 30.04 / linha 90</t>
        </is>
      </c>
    </row>
    <row r="79">
      <c r="A79" s="222" t="n">
        <v>76</v>
      </c>
      <c r="B79" s="218" t="inlineStr">
        <is>
          <t>DESPESA</t>
        </is>
      </c>
      <c r="C79" s="220" t="n">
        <v>46090</v>
      </c>
      <c r="D79" s="220" t="n">
        <v>46094</v>
      </c>
      <c r="E79" s="335">
        <f>IF(D79="","",DATE(YEAR(D79),MONTH(D79),1))</f>
        <v>46082.0</v>
      </c>
      <c r="F79" s="218" t="inlineStr">
        <is>
          <t>AREIAS LANDY LTDA</t>
        </is>
      </c>
      <c r="G79" s="218" t="inlineStr">
        <is>
          <t>MATERIAL APLICADO - AREIA</t>
        </is>
      </c>
      <c r="H79" s="218" t="inlineStr">
        <is>
          <t>137</t>
        </is>
      </c>
      <c r="I79" s="219" t="n">
        <v>1900</v>
      </c>
      <c r="J79" s="218" t="inlineStr">
        <is>
          <t>CIVIL</t>
        </is>
      </c>
      <c r="K79" s="218" t="inlineStr">
        <is>
          <t>MATERIAIS E FERRAMENTAS</t>
        </is>
      </c>
      <c r="L79" s="222" t="str">
        <f>IF(B79&lt;&gt;"DESPESA","",IFERROR(VLOOKUP(K79,$P$5:$Q$16,2,FALSE),"?"))</f>
        <v>MAT</v>
      </c>
      <c r="M79" s="218" t="inlineStr">
        <is>
          <t>REALIZADO (até 30/04)</t>
        </is>
      </c>
      <c r="N79" s="272" t="inlineStr">
        <is>
          <t>SANEAGO_MOZARLANDIA_CUSTOS 30.04.2026.xlsx / FINANCEIRO ATE 30.04 / linha 91</t>
        </is>
      </c>
    </row>
    <row r="80">
      <c r="A80" s="222" t="n">
        <v>77</v>
      </c>
      <c r="B80" s="218" t="inlineStr">
        <is>
          <t>DESPESA</t>
        </is>
      </c>
      <c r="C80" s="220" t="n">
        <v>46077</v>
      </c>
      <c r="D80" s="220" t="n">
        <v>46095</v>
      </c>
      <c r="E80" s="335">
        <f>IF(D80="","",DATE(YEAR(D80),MONTH(D80),1))</f>
        <v>46082.0</v>
      </c>
      <c r="F80" s="218" t="inlineStr">
        <is>
          <t>ART AREIAS RIO TESOURO LTDA</t>
        </is>
      </c>
      <c r="G80" s="218" t="inlineStr">
        <is>
          <t>MATERIAL APLICADO</t>
        </is>
      </c>
      <c r="H80" s="218" t="inlineStr">
        <is>
          <t>9022</t>
        </is>
      </c>
      <c r="I80" s="219" t="n">
        <v>1155.7</v>
      </c>
      <c r="J80" s="218" t="inlineStr">
        <is>
          <t>CIVIL</t>
        </is>
      </c>
      <c r="K80" s="218" t="inlineStr">
        <is>
          <t>MATERIAIS E FERRAMENTAS</t>
        </is>
      </c>
      <c r="L80" s="222" t="str">
        <f>IF(B80&lt;&gt;"DESPESA","",IFERROR(VLOOKUP(K80,$P$5:$Q$16,2,FALSE),"?"))</f>
        <v>MAT</v>
      </c>
      <c r="M80" s="218" t="inlineStr">
        <is>
          <t>REALIZADO (até 30/04)</t>
        </is>
      </c>
      <c r="N80" s="272" t="inlineStr">
        <is>
          <t>SANEAGO_MOZARLANDIA_CUSTOS 30.04.2026.xlsx / FINANCEIRO ATE 30.04 / linha 92</t>
        </is>
      </c>
    </row>
    <row r="81">
      <c r="A81" s="222" t="n">
        <v>78</v>
      </c>
      <c r="B81" s="218" t="inlineStr">
        <is>
          <t>DESPESA</t>
        </is>
      </c>
      <c r="C81" s="220" t="n">
        <v>46065</v>
      </c>
      <c r="D81" s="220" t="n">
        <v>46095</v>
      </c>
      <c r="E81" s="335">
        <f>IF(D81="","",DATE(YEAR(D81),MONTH(D81),1))</f>
        <v>46082.0</v>
      </c>
      <c r="F81" s="218" t="inlineStr">
        <is>
          <t>DISKOTEL ELETRO EIRELI</t>
        </is>
      </c>
      <c r="G81" s="218" t="inlineStr">
        <is>
          <t>MATERIAL APLICADO</t>
        </is>
      </c>
      <c r="H81" s="218" t="inlineStr">
        <is>
          <t>14345</t>
        </is>
      </c>
      <c r="I81" s="219" t="n">
        <v>899.9400000000001</v>
      </c>
      <c r="J81" s="218" t="inlineStr">
        <is>
          <t>CIVIL</t>
        </is>
      </c>
      <c r="K81" s="218" t="inlineStr">
        <is>
          <t>MATERIAIS E FERRAMENTAS</t>
        </is>
      </c>
      <c r="L81" s="222" t="str">
        <f>IF(B81&lt;&gt;"DESPESA","",IFERROR(VLOOKUP(K81,$P$5:$Q$16,2,FALSE),"?"))</f>
        <v>MAT</v>
      </c>
      <c r="M81" s="218" t="inlineStr">
        <is>
          <t>REALIZADO (até 30/04)</t>
        </is>
      </c>
      <c r="N81" s="272" t="inlineStr">
        <is>
          <t>SANEAGO_MOZARLANDIA_CUSTOS 30.04.2026.xlsx / FINANCEIRO ATE 30.04 / linha 93 | REPETIDA: mesmo NF 14345, fornecedor e valor (~900) aparece 2x (vencimentos: 2026-03-14, 2026-04-14); parcela ou duplicidade, conferir</t>
        </is>
      </c>
    </row>
    <row r="82">
      <c r="A82" s="222" t="n">
        <v>79</v>
      </c>
      <c r="B82" s="218" t="inlineStr">
        <is>
          <t>DESPESA</t>
        </is>
      </c>
      <c r="C82" s="220" t="n">
        <v>46065</v>
      </c>
      <c r="D82" s="220" t="n">
        <v>46095</v>
      </c>
      <c r="E82" s="335">
        <f>IF(D82="","",DATE(YEAR(D82),MONTH(D82),1))</f>
        <v>46082.0</v>
      </c>
      <c r="F82" s="218" t="inlineStr">
        <is>
          <t>MADEIMANAS MADEIREIRA MANAS LTDA</t>
        </is>
      </c>
      <c r="G82" s="218" t="inlineStr">
        <is>
          <t>CONSUMO - CIVIL</t>
        </is>
      </c>
      <c r="H82" s="218" t="inlineStr">
        <is>
          <t>177401</t>
        </is>
      </c>
      <c r="I82" s="219" t="n">
        <v>233.54</v>
      </c>
      <c r="J82" s="218" t="inlineStr">
        <is>
          <t>CIVIL</t>
        </is>
      </c>
      <c r="K82" s="218" t="inlineStr">
        <is>
          <t>MATERIAIS E FERRAMENTAS</t>
        </is>
      </c>
      <c r="L82" s="222" t="str">
        <f>IF(B82&lt;&gt;"DESPESA","",IFERROR(VLOOKUP(K82,$P$5:$Q$16,2,FALSE),"?"))</f>
        <v>MAT</v>
      </c>
      <c r="M82" s="218" t="inlineStr">
        <is>
          <t>REALIZADO (até 30/04)</t>
        </is>
      </c>
      <c r="N82" s="272" t="inlineStr">
        <is>
          <t>SANEAGO_MOZARLANDIA_CUSTOS 30.04.2026.xlsx / FINANCEIRO ATE 30.04 / linha 94</t>
        </is>
      </c>
    </row>
    <row r="83">
      <c r="A83" s="222" t="n">
        <v>80</v>
      </c>
      <c r="B83" s="218" t="inlineStr">
        <is>
          <t>DESPESA</t>
        </is>
      </c>
      <c r="C83" s="220" t="n">
        <v>46065</v>
      </c>
      <c r="D83" s="220" t="n">
        <v>46095</v>
      </c>
      <c r="E83" s="335">
        <f>IF(D83="","",DATE(YEAR(D83),MONTH(D83),1))</f>
        <v>46082.0</v>
      </c>
      <c r="F83" s="218" t="inlineStr">
        <is>
          <t>MADEIMANAS MADEIREIRA MANAS LTDA</t>
        </is>
      </c>
      <c r="G83" s="218" t="inlineStr">
        <is>
          <t>CONSUMO - CIVIL</t>
        </is>
      </c>
      <c r="H83" s="218" t="inlineStr">
        <is>
          <t>177417</t>
        </is>
      </c>
      <c r="I83" s="219" t="n">
        <v>62.88</v>
      </c>
      <c r="J83" s="218" t="inlineStr">
        <is>
          <t>CIVIL</t>
        </is>
      </c>
      <c r="K83" s="218" t="inlineStr">
        <is>
          <t>MATERIAIS E FERRAMENTAS</t>
        </is>
      </c>
      <c r="L83" s="222" t="str">
        <f>IF(B83&lt;&gt;"DESPESA","",IFERROR(VLOOKUP(K83,$P$5:$Q$16,2,FALSE),"?"))</f>
        <v>MAT</v>
      </c>
      <c r="M83" s="218" t="inlineStr">
        <is>
          <t>REALIZADO (até 30/04)</t>
        </is>
      </c>
      <c r="N83" s="272" t="inlineStr">
        <is>
          <t>SANEAGO_MOZARLANDIA_CUSTOS 30.04.2026.xlsx / FINANCEIRO ATE 30.04 / linha 95</t>
        </is>
      </c>
    </row>
    <row r="84">
      <c r="A84" s="222" t="n">
        <v>81</v>
      </c>
      <c r="B84" s="218" t="inlineStr">
        <is>
          <t>DESPESA</t>
        </is>
      </c>
      <c r="C84" s="220" t="n">
        <v>46084</v>
      </c>
      <c r="D84" s="220" t="n">
        <v>46096</v>
      </c>
      <c r="E84" s="335">
        <f>IF(D84="","",DATE(YEAR(D84),MONTH(D84),1))</f>
        <v>46082.0</v>
      </c>
      <c r="F84" s="218" t="inlineStr">
        <is>
          <t>COMERCIO DE COMBUSTIVEIS EBENEZER LTDA</t>
        </is>
      </c>
      <c r="G84" s="218" t="inlineStr">
        <is>
          <t>COMBUSTÍVEIS</t>
        </is>
      </c>
      <c r="H84" s="218" t="inlineStr">
        <is>
          <t>15537</t>
        </is>
      </c>
      <c r="I84" s="219" t="n">
        <v>1981.13</v>
      </c>
      <c r="J84" s="218" t="inlineStr">
        <is>
          <t>ADMINISTRATIVO</t>
        </is>
      </c>
      <c r="K84" s="218" t="inlineStr">
        <is>
          <t>COMBUSTIVEIS</t>
        </is>
      </c>
      <c r="L84" s="222" t="str">
        <f>IF(B84&lt;&gt;"DESPESA","",IFERROR(VLOOKUP(K84,$P$5:$Q$16,2,FALSE),"?"))</f>
        <v>EQP</v>
      </c>
      <c r="M84" s="218" t="inlineStr">
        <is>
          <t>REALIZADO (até 30/04)</t>
        </is>
      </c>
      <c r="N84" s="272" t="inlineStr">
        <is>
          <t>SANEAGO_MOZARLANDIA_CUSTOS 30.04.2026.xlsx / FINANCEIRO ATE 30.04 / linha 96</t>
        </is>
      </c>
    </row>
    <row r="85">
      <c r="A85" s="222" t="n">
        <v>82</v>
      </c>
      <c r="B85" s="218" t="inlineStr">
        <is>
          <t>DESPESA</t>
        </is>
      </c>
      <c r="C85" s="220" t="n">
        <v>46052</v>
      </c>
      <c r="D85" s="220" t="n">
        <v>46096</v>
      </c>
      <c r="E85" s="335">
        <f>IF(D85="","",DATE(YEAR(D85),MONTH(D85),1))</f>
        <v>46082.0</v>
      </c>
      <c r="F85" s="218" t="inlineStr">
        <is>
          <t>LIFEIN TELECOM LTDA</t>
        </is>
      </c>
      <c r="G85" s="218" t="inlineStr">
        <is>
          <t>INTERNET OBRA</t>
        </is>
      </c>
      <c r="H85" s="218" t="inlineStr">
        <is>
          <t>175501</t>
        </is>
      </c>
      <c r="I85" s="219" t="n">
        <v>100</v>
      </c>
      <c r="J85" s="218" t="inlineStr">
        <is>
          <t>ADMINISTRATIVO</t>
        </is>
      </c>
      <c r="K85" s="218" t="inlineStr">
        <is>
          <t>ALOJAMENTO, ALIMENTACAO E UTILIDADES</t>
        </is>
      </c>
      <c r="L85" s="222" t="str">
        <f>IF(B85&lt;&gt;"DESPESA","",IFERROR(VLOOKUP(K85,$P$5:$Q$16,2,FALSE),"?"))</f>
        <v>ADM</v>
      </c>
      <c r="M85" s="218" t="inlineStr">
        <is>
          <t>REALIZADO (até 30/04)</t>
        </is>
      </c>
      <c r="N85" s="272" t="inlineStr">
        <is>
          <t>SANEAGO_MOZARLANDIA_CUSTOS 30.04.2026.xlsx / FINANCEIRO ATE 30.04 / linha 97</t>
        </is>
      </c>
    </row>
    <row r="86">
      <c r="A86" s="222" t="n">
        <v>83</v>
      </c>
      <c r="B86" s="218" t="inlineStr">
        <is>
          <t>DESPESA</t>
        </is>
      </c>
      <c r="C86" s="220" t="n">
        <v>46055</v>
      </c>
      <c r="D86" s="220" t="n">
        <v>46097</v>
      </c>
      <c r="E86" s="335">
        <f>IF(D86="","",DATE(YEAR(D86),MONTH(D86),1))</f>
        <v>46082.0</v>
      </c>
      <c r="F86" s="218" t="inlineStr">
        <is>
          <t>JM APROTETORA COMERCIO DE EPI LTDA</t>
        </is>
      </c>
      <c r="G86" s="218" t="inlineStr">
        <is>
          <t>EPIs</t>
        </is>
      </c>
      <c r="H86" s="218" t="inlineStr">
        <is>
          <t>1679</t>
        </is>
      </c>
      <c r="I86" s="219" t="n">
        <v>1000</v>
      </c>
      <c r="J86" s="218" t="inlineStr">
        <is>
          <t>ADMINISTRATIVO</t>
        </is>
      </c>
      <c r="K86" s="218" t="inlineStr">
        <is>
          <t>SEGURANCA DO TRABALHO (EPI/UNIFORMES)</t>
        </is>
      </c>
      <c r="L86" s="222" t="str">
        <f>IF(B86&lt;&gt;"DESPESA","",IFERROR(VLOOKUP(K86,$P$5:$Q$16,2,FALSE),"?"))</f>
        <v>ADM</v>
      </c>
      <c r="M86" s="218" t="inlineStr">
        <is>
          <t>REALIZADO (até 30/04)</t>
        </is>
      </c>
      <c r="N86" s="272" t="inlineStr">
        <is>
          <t>SANEAGO_MOZARLANDIA_CUSTOS 30.04.2026.xlsx / FINANCEIRO ATE 30.04 / linha 98 | REPETIDA: mesmo NF 1679, fornecedor e valor (~1000) aparece 4x (vencimentos: 2026-03-02, 2026-03-09, 2026-03-16, 2026-03-30); parcela ou duplicidade, conferir</t>
        </is>
      </c>
    </row>
    <row r="87">
      <c r="A87" s="222" t="n">
        <v>84</v>
      </c>
      <c r="B87" s="218" t="inlineStr">
        <is>
          <t>DESPESA</t>
        </is>
      </c>
      <c r="C87" s="220" t="n">
        <v>46090</v>
      </c>
      <c r="D87" s="220" t="n">
        <v>46097</v>
      </c>
      <c r="E87" s="335">
        <f>IF(D87="","",DATE(YEAR(D87),MONTH(D87),1))</f>
        <v>46082.0</v>
      </c>
      <c r="F87" s="218" t="inlineStr">
        <is>
          <t>EDIVALDO ALMEIDA</t>
        </is>
      </c>
      <c r="G87" s="218" t="inlineStr">
        <is>
          <t>RESCISÃO</t>
        </is>
      </c>
      <c r="H87" s="218" t="inlineStr">
        <is>
          <t>TRTC</t>
        </is>
      </c>
      <c r="I87" s="219" t="n">
        <v>2159.89</v>
      </c>
      <c r="J87" s="218" t="inlineStr">
        <is>
          <t>ADMINISTRATIVO</t>
        </is>
      </c>
      <c r="K87" s="218" t="inlineStr">
        <is>
          <t>PESSOAL E ENCARGOS</t>
        </is>
      </c>
      <c r="L87" s="222" t="str">
        <f>IF(B87&lt;&gt;"DESPESA","",IFERROR(VLOOKUP(K87,$P$5:$Q$16,2,FALSE),"?"))</f>
        <v>MO</v>
      </c>
      <c r="M87" s="218" t="inlineStr">
        <is>
          <t>REALIZADO (até 30/04)</t>
        </is>
      </c>
      <c r="N87" s="272" t="inlineStr">
        <is>
          <t>SANEAGO_MOZARLANDIA_CUSTOS 30.04.2026.xlsx / FINANCEIRO ATE 30.04 / linha 99</t>
        </is>
      </c>
    </row>
    <row r="88">
      <c r="A88" s="222" t="n">
        <v>85</v>
      </c>
      <c r="B88" s="218" t="inlineStr">
        <is>
          <t>DESPESA</t>
        </is>
      </c>
      <c r="C88" s="220" t="n">
        <v>46090</v>
      </c>
      <c r="D88" s="220" t="n">
        <v>46097</v>
      </c>
      <c r="E88" s="335">
        <f>IF(D88="","",DATE(YEAR(D88),MONTH(D88),1))</f>
        <v>46082.0</v>
      </c>
      <c r="F88" s="218" t="inlineStr">
        <is>
          <t>CAIXA ECONOMICA FEDERAL</t>
        </is>
      </c>
      <c r="G88" s="218" t="inlineStr">
        <is>
          <t>MULTA RESCISORIA</t>
        </is>
      </c>
      <c r="H88" s="218" t="inlineStr">
        <is>
          <t>FGTS</t>
        </is>
      </c>
      <c r="I88" s="219" t="n">
        <v>149.1</v>
      </c>
      <c r="J88" s="218" t="inlineStr">
        <is>
          <t>ADMINISTRATIVO</t>
        </is>
      </c>
      <c r="K88" s="218" t="inlineStr">
        <is>
          <t>PESSOAL E ENCARGOS</t>
        </is>
      </c>
      <c r="L88" s="222" t="str">
        <f>IF(B88&lt;&gt;"DESPESA","",IFERROR(VLOOKUP(K88,$P$5:$Q$16,2,FALSE),"?"))</f>
        <v>MO</v>
      </c>
      <c r="M88" s="218" t="inlineStr">
        <is>
          <t>REALIZADO (até 30/04)</t>
        </is>
      </c>
      <c r="N88" s="272" t="inlineStr">
        <is>
          <t>SANEAGO_MOZARLANDIA_CUSTOS 30.04.2026.xlsx / FINANCEIRO ATE 30.04 / linha 100</t>
        </is>
      </c>
    </row>
    <row r="89">
      <c r="A89" s="222" t="n">
        <v>86</v>
      </c>
      <c r="B89" s="218" t="inlineStr">
        <is>
          <t>DESPESA</t>
        </is>
      </c>
      <c r="C89" s="220" t="n">
        <v>46094</v>
      </c>
      <c r="D89" s="220" t="n">
        <v>46097</v>
      </c>
      <c r="E89" s="335">
        <f>IF(D89="","",DATE(YEAR(D89),MONTH(D89),1))</f>
        <v>46082.0</v>
      </c>
      <c r="F89" s="218" t="inlineStr">
        <is>
          <t>NELSON ROXO</t>
        </is>
      </c>
      <c r="G89" s="218" t="inlineStr">
        <is>
          <t>REEMBOLSO PASSAGENS</t>
        </is>
      </c>
      <c r="H89" s="218" t="inlineStr">
        <is>
          <t>Recibo</t>
        </is>
      </c>
      <c r="I89" s="219" t="n">
        <v>553.23</v>
      </c>
      <c r="J89" s="218" t="inlineStr">
        <is>
          <t>ADMINISTRATIVO</t>
        </is>
      </c>
      <c r="K89" s="218" t="inlineStr">
        <is>
          <t>ADMINISTRATIVO GERAL (seguros, honorarios, reembolsos, TI)</t>
        </is>
      </c>
      <c r="L89" s="222" t="str">
        <f>IF(B89&lt;&gt;"DESPESA","",IFERROR(VLOOKUP(K89,$P$5:$Q$16,2,FALSE),"?"))</f>
        <v>ADM</v>
      </c>
      <c r="M89" s="218" t="inlineStr">
        <is>
          <t>REALIZADO (até 30/04)</t>
        </is>
      </c>
      <c r="N89" s="272" t="inlineStr">
        <is>
          <t>SANEAGO_MOZARLANDIA_CUSTOS 30.04.2026.xlsx / FINANCEIRO ATE 30.04 / linha 101</t>
        </is>
      </c>
    </row>
    <row r="90">
      <c r="A90" s="222" t="n">
        <v>87</v>
      </c>
      <c r="B90" s="218" t="inlineStr">
        <is>
          <t>DESPESA</t>
        </is>
      </c>
      <c r="C90" s="220" t="n">
        <v>46092</v>
      </c>
      <c r="D90" s="220" t="n">
        <v>46097</v>
      </c>
      <c r="E90" s="335">
        <f>IF(D90="","",DATE(YEAR(D90),MONTH(D90),1))</f>
        <v>46082.0</v>
      </c>
      <c r="F90" s="218" t="inlineStr">
        <is>
          <t>SANEAGO (faturas de agua)</t>
        </is>
      </c>
      <c r="G90" s="218" t="inlineStr">
        <is>
          <t>FATURA ÁGUA ESCRITÓRIO</t>
        </is>
      </c>
      <c r="H90" s="218" t="inlineStr">
        <is>
          <t>2284265999</t>
        </is>
      </c>
      <c r="I90" s="219" t="n">
        <v>51.93</v>
      </c>
      <c r="J90" s="218" t="inlineStr">
        <is>
          <t>ADMINISTRATIVO</t>
        </is>
      </c>
      <c r="K90" s="218" t="inlineStr">
        <is>
          <t>ALOJAMENTO, ALIMENTACAO E UTILIDADES</t>
        </is>
      </c>
      <c r="L90" s="222" t="str">
        <f>IF(B90&lt;&gt;"DESPESA","",IFERROR(VLOOKUP(K90,$P$5:$Q$16,2,FALSE),"?"))</f>
        <v>ADM</v>
      </c>
      <c r="M90" s="218" t="inlineStr">
        <is>
          <t>REALIZADO (até 30/04)</t>
        </is>
      </c>
      <c r="N90" s="272" t="inlineStr">
        <is>
          <t>SANEAGO_MOZARLANDIA_CUSTOS 30.04.2026.xlsx / FINANCEIRO ATE 30.04 / linha 102</t>
        </is>
      </c>
    </row>
    <row r="91">
      <c r="A91" s="222" t="n">
        <v>88</v>
      </c>
      <c r="B91" s="218" t="inlineStr">
        <is>
          <t>DESPESA</t>
        </is>
      </c>
      <c r="C91" s="220" t="n">
        <v>46094</v>
      </c>
      <c r="D91" s="220" t="n">
        <v>46097</v>
      </c>
      <c r="E91" s="335">
        <f>IF(D91="","",DATE(YEAR(D91),MONTH(D91),1))</f>
        <v>46082.0</v>
      </c>
      <c r="F91" s="218" t="inlineStr">
        <is>
          <t>RICARLOS ALVES DE OLIVEIRA</t>
        </is>
      </c>
      <c r="G91" s="218" t="inlineStr">
        <is>
          <t>CAIXA DE OBRA</t>
        </is>
      </c>
      <c r="H91" s="218" t="inlineStr">
        <is>
          <t>RECIBO</t>
        </is>
      </c>
      <c r="I91" s="219" t="n">
        <v>2688.43</v>
      </c>
      <c r="J91" s="218" t="inlineStr">
        <is>
          <t>ADMINISTRATIVO</t>
        </is>
      </c>
      <c r="K91" s="218" t="inlineStr">
        <is>
          <t>ADMINISTRATIVO GERAL (seguros, honorarios, reembolsos, TI)</t>
        </is>
      </c>
      <c r="L91" s="222" t="str">
        <f>IF(B91&lt;&gt;"DESPESA","",IFERROR(VLOOKUP(K91,$P$5:$Q$16,2,FALSE),"?"))</f>
        <v>ADM</v>
      </c>
      <c r="M91" s="218" t="inlineStr">
        <is>
          <t>REALIZADO (até 30/04)</t>
        </is>
      </c>
      <c r="N91" s="272" t="inlineStr">
        <is>
          <t>SANEAGO_MOZARLANDIA_CUSTOS 30.04.2026.xlsx / FINANCEIRO ATE 30.04 / linha 103</t>
        </is>
      </c>
    </row>
    <row r="92">
      <c r="A92" s="222" t="n">
        <v>89</v>
      </c>
      <c r="B92" s="218" t="inlineStr">
        <is>
          <t>DESPESA</t>
        </is>
      </c>
      <c r="C92" s="220" t="n">
        <v>46073</v>
      </c>
      <c r="D92" s="220" t="n">
        <v>46098</v>
      </c>
      <c r="E92" s="335">
        <f>IF(D92="","",DATE(YEAR(D92),MONTH(D92),1))</f>
        <v>46082.0</v>
      </c>
      <c r="F92" s="218" t="inlineStr">
        <is>
          <t>POTTENCIAL SEGURADORA S.A.</t>
        </is>
      </c>
      <c r="G92" s="218" t="inlineStr">
        <is>
          <t>ENDOSSO SEGURO GARANTIA</t>
        </is>
      </c>
      <c r="H92" s="218" t="inlineStr">
        <is>
          <t>4052964</t>
        </is>
      </c>
      <c r="I92" s="219" t="n">
        <v>904.6900000000001</v>
      </c>
      <c r="J92" s="218" t="inlineStr">
        <is>
          <t>ADMINISTRATIVO</t>
        </is>
      </c>
      <c r="K92" s="218" t="inlineStr">
        <is>
          <t>ADMINISTRATIVO GERAL (seguros, honorarios, reembolsos, TI)</t>
        </is>
      </c>
      <c r="L92" s="222" t="str">
        <f>IF(B92&lt;&gt;"DESPESA","",IFERROR(VLOOKUP(K92,$P$5:$Q$16,2,FALSE),"?"))</f>
        <v>ADM</v>
      </c>
      <c r="M92" s="218" t="inlineStr">
        <is>
          <t>REALIZADO (até 30/04)</t>
        </is>
      </c>
      <c r="N92" s="272" t="inlineStr">
        <is>
          <t>SANEAGO_MOZARLANDIA_CUSTOS 30.04.2026.xlsx / FINANCEIRO ATE 30.04 / linha 104</t>
        </is>
      </c>
    </row>
    <row r="93">
      <c r="A93" s="222" t="n">
        <v>90</v>
      </c>
      <c r="B93" s="218" t="inlineStr">
        <is>
          <t>DESPESA</t>
        </is>
      </c>
      <c r="C93" s="220" t="n">
        <v>46070</v>
      </c>
      <c r="D93" s="220" t="n">
        <v>46098</v>
      </c>
      <c r="E93" s="335">
        <f>IF(D93="","",DATE(YEAR(D93),MONTH(D93),1))</f>
        <v>46082.0</v>
      </c>
      <c r="F93" s="218" t="inlineStr">
        <is>
          <t>SUZANA LOCACOES LTDA</t>
        </is>
      </c>
      <c r="G93" s="218" t="inlineStr">
        <is>
          <t>LOCAÇÃO EQUIPAMENTOS</t>
        </is>
      </c>
      <c r="H93" s="218" t="inlineStr">
        <is>
          <t>1962</t>
        </is>
      </c>
      <c r="I93" s="219" t="n">
        <v>500</v>
      </c>
      <c r="J93" s="218" t="inlineStr">
        <is>
          <t>CIVIL</t>
        </is>
      </c>
      <c r="K93" s="218" t="inlineStr">
        <is>
          <t>LOCACAO DE EQUIPAMENTOS</t>
        </is>
      </c>
      <c r="L93" s="222" t="str">
        <f>IF(B93&lt;&gt;"DESPESA","",IFERROR(VLOOKUP(K93,$P$5:$Q$16,2,FALSE),"?"))</f>
        <v>EQP</v>
      </c>
      <c r="M93" s="218" t="inlineStr">
        <is>
          <t>REALIZADO (até 30/04)</t>
        </is>
      </c>
      <c r="N93" s="272" t="inlineStr">
        <is>
          <t>SANEAGO_MOZARLANDIA_CUSTOS 30.04.2026.xlsx / FINANCEIRO ATE 30.04 / linha 105</t>
        </is>
      </c>
    </row>
    <row r="94">
      <c r="A94" s="222" t="n">
        <v>91</v>
      </c>
      <c r="B94" s="218" t="inlineStr">
        <is>
          <t>DESPESA</t>
        </is>
      </c>
      <c r="C94" s="220" t="n">
        <v>46070</v>
      </c>
      <c r="D94" s="220" t="n">
        <v>46098</v>
      </c>
      <c r="E94" s="335">
        <f>IF(D94="","",DATE(YEAR(D94),MONTH(D94),1))</f>
        <v>46082.0</v>
      </c>
      <c r="F94" s="218" t="inlineStr">
        <is>
          <t>SUZANA LOCACOES LTDA</t>
        </is>
      </c>
      <c r="G94" s="218" t="inlineStr">
        <is>
          <t>LOCAÇÃO EQUIPAMENTOS</t>
        </is>
      </c>
      <c r="H94" s="218" t="inlineStr">
        <is>
          <t>1961</t>
        </is>
      </c>
      <c r="I94" s="219" t="n">
        <v>1940</v>
      </c>
      <c r="J94" s="218" t="inlineStr">
        <is>
          <t>CIVIL</t>
        </is>
      </c>
      <c r="K94" s="218" t="inlineStr">
        <is>
          <t>LOCACAO DE EQUIPAMENTOS</t>
        </is>
      </c>
      <c r="L94" s="222" t="str">
        <f>IF(B94&lt;&gt;"DESPESA","",IFERROR(VLOOKUP(K94,$P$5:$Q$16,2,FALSE),"?"))</f>
        <v>EQP</v>
      </c>
      <c r="M94" s="218" t="inlineStr">
        <is>
          <t>REALIZADO (até 30/04)</t>
        </is>
      </c>
      <c r="N94" s="272" t="inlineStr">
        <is>
          <t>SANEAGO_MOZARLANDIA_CUSTOS 30.04.2026.xlsx / FINANCEIRO ATE 30.04 / linha 106</t>
        </is>
      </c>
    </row>
    <row r="95">
      <c r="A95" s="222" t="n">
        <v>92</v>
      </c>
      <c r="B95" s="218" t="inlineStr">
        <is>
          <t>DESPESA</t>
        </is>
      </c>
      <c r="C95" s="220" t="n">
        <v>46070</v>
      </c>
      <c r="D95" s="220" t="n">
        <v>46098</v>
      </c>
      <c r="E95" s="335">
        <f>IF(D95="","",DATE(YEAR(D95),MONTH(D95),1))</f>
        <v>46082.0</v>
      </c>
      <c r="F95" s="218" t="inlineStr">
        <is>
          <t>SUZANA LOCACOES LTDA</t>
        </is>
      </c>
      <c r="G95" s="218" t="inlineStr">
        <is>
          <t>LOCAÇÃO EQUIPAMENTOS</t>
        </is>
      </c>
      <c r="H95" s="218" t="inlineStr">
        <is>
          <t>1960</t>
        </is>
      </c>
      <c r="I95" s="219" t="n">
        <v>3120</v>
      </c>
      <c r="J95" s="218" t="inlineStr">
        <is>
          <t>CIVIL</t>
        </is>
      </c>
      <c r="K95" s="218" t="inlineStr">
        <is>
          <t>LOCACAO DE EQUIPAMENTOS</t>
        </is>
      </c>
      <c r="L95" s="222" t="str">
        <f>IF(B95&lt;&gt;"DESPESA","",IFERROR(VLOOKUP(K95,$P$5:$Q$16,2,FALSE),"?"))</f>
        <v>EQP</v>
      </c>
      <c r="M95" s="218" t="inlineStr">
        <is>
          <t>REALIZADO (até 30/04)</t>
        </is>
      </c>
      <c r="N95" s="272" t="inlineStr">
        <is>
          <t>SANEAGO_MOZARLANDIA_CUSTOS 30.04.2026.xlsx / FINANCEIRO ATE 30.04 / linha 107</t>
        </is>
      </c>
    </row>
    <row r="96">
      <c r="A96" s="222" t="n">
        <v>93</v>
      </c>
      <c r="B96" s="218" t="inlineStr">
        <is>
          <t>DESPESA</t>
        </is>
      </c>
      <c r="C96" s="220" t="n">
        <v>46070</v>
      </c>
      <c r="D96" s="220" t="n">
        <v>46098</v>
      </c>
      <c r="E96" s="335">
        <f>IF(D96="","",DATE(YEAR(D96),MONTH(D96),1))</f>
        <v>46082.0</v>
      </c>
      <c r="F96" s="218" t="inlineStr">
        <is>
          <t>SUZANA LOCACOES LTDA</t>
        </is>
      </c>
      <c r="G96" s="218" t="inlineStr">
        <is>
          <t>LOCAÇÃO EQUIPAMENTOS</t>
        </is>
      </c>
      <c r="H96" s="218" t="inlineStr">
        <is>
          <t>1959</t>
        </is>
      </c>
      <c r="I96" s="219" t="n">
        <v>76</v>
      </c>
      <c r="J96" s="218" t="inlineStr">
        <is>
          <t>CIVIL</t>
        </is>
      </c>
      <c r="K96" s="218" t="inlineStr">
        <is>
          <t>LOCACAO DE EQUIPAMENTOS</t>
        </is>
      </c>
      <c r="L96" s="222" t="str">
        <f>IF(B96&lt;&gt;"DESPESA","",IFERROR(VLOOKUP(K96,$P$5:$Q$16,2,FALSE),"?"))</f>
        <v>EQP</v>
      </c>
      <c r="M96" s="218" t="inlineStr">
        <is>
          <t>REALIZADO (até 30/04)</t>
        </is>
      </c>
      <c r="N96" s="272" t="inlineStr">
        <is>
          <t>SANEAGO_MOZARLANDIA_CUSTOS 30.04.2026.xlsx / FINANCEIRO ATE 30.04 / linha 108</t>
        </is>
      </c>
    </row>
    <row r="97">
      <c r="A97" s="222" t="n">
        <v>94</v>
      </c>
      <c r="B97" s="218" t="inlineStr">
        <is>
          <t>DESPESA</t>
        </is>
      </c>
      <c r="C97" s="220" t="n">
        <v>46084</v>
      </c>
      <c r="D97" s="220" t="n">
        <v>46098</v>
      </c>
      <c r="E97" s="335">
        <f>IF(D97="","",DATE(YEAR(D97),MONTH(D97),1))</f>
        <v>46082.0</v>
      </c>
      <c r="F97" s="218" t="inlineStr">
        <is>
          <t>ALVES E ROCHA LTDA</t>
        </is>
      </c>
      <c r="G97" s="218" t="inlineStr">
        <is>
          <t>COMBUSTÍVEIS</t>
        </is>
      </c>
      <c r="H97" s="218" t="inlineStr">
        <is>
          <t>17452</t>
        </is>
      </c>
      <c r="I97" s="219" t="n">
        <v>517.61</v>
      </c>
      <c r="J97" s="218" t="inlineStr">
        <is>
          <t>ADMINISTRATIVO</t>
        </is>
      </c>
      <c r="K97" s="218" t="inlineStr">
        <is>
          <t>COMBUSTIVEIS</t>
        </is>
      </c>
      <c r="L97" s="222" t="str">
        <f>IF(B97&lt;&gt;"DESPESA","",IFERROR(VLOOKUP(K97,$P$5:$Q$16,2,FALSE),"?"))</f>
        <v>EQP</v>
      </c>
      <c r="M97" s="218" t="inlineStr">
        <is>
          <t>REALIZADO (até 30/04)</t>
        </is>
      </c>
      <c r="N97" s="272" t="inlineStr">
        <is>
          <t>SANEAGO_MOZARLANDIA_CUSTOS 30.04.2026.xlsx / FINANCEIRO ATE 30.04 / linha 109</t>
        </is>
      </c>
    </row>
    <row r="98">
      <c r="A98" s="222" t="n">
        <v>95</v>
      </c>
      <c r="B98" s="218" t="inlineStr">
        <is>
          <t>DESPESA</t>
        </is>
      </c>
      <c r="C98" s="220" t="n">
        <v>46098</v>
      </c>
      <c r="D98" s="220" t="n">
        <v>46098</v>
      </c>
      <c r="E98" s="335">
        <f>IF(D98="","",DATE(YEAR(D98),MONTH(D98),1))</f>
        <v>46082.0</v>
      </c>
      <c r="F98" s="218" t="inlineStr">
        <is>
          <t>MERCADO PAGO</t>
        </is>
      </c>
      <c r="G98" s="218" t="inlineStr">
        <is>
          <t>KIT CÂMERA DE SEGURANÇA</t>
        </is>
      </c>
      <c r="H98" s="218" t="inlineStr">
        <is>
          <t>8046799</t>
        </is>
      </c>
      <c r="I98" s="219" t="n">
        <v>97.70999999999999</v>
      </c>
      <c r="J98" s="218" t="inlineStr">
        <is>
          <t>ADMINISTRATIVO</t>
        </is>
      </c>
      <c r="K98" s="218" t="inlineStr">
        <is>
          <t>ADMINISTRATIVO GERAL (seguros, honorarios, reembolsos, TI)</t>
        </is>
      </c>
      <c r="L98" s="222" t="str">
        <f>IF(B98&lt;&gt;"DESPESA","",IFERROR(VLOOKUP(K98,$P$5:$Q$16,2,FALSE),"?"))</f>
        <v>ADM</v>
      </c>
      <c r="M98" s="218" t="inlineStr">
        <is>
          <t>REALIZADO (até 30/04)</t>
        </is>
      </c>
      <c r="N98" s="272" t="inlineStr">
        <is>
          <t>SANEAGO_MOZARLANDIA_CUSTOS 30.04.2026.xlsx / FINANCEIRO ATE 30.04 / linha 110</t>
        </is>
      </c>
    </row>
    <row r="99">
      <c r="A99" s="222" t="n">
        <v>96</v>
      </c>
      <c r="B99" s="218" t="inlineStr">
        <is>
          <t>DESPESA</t>
        </is>
      </c>
      <c r="C99" s="220" t="n">
        <v>46097</v>
      </c>
      <c r="D99" s="220" t="n">
        <v>46098</v>
      </c>
      <c r="E99" s="335">
        <f>IF(D99="","",DATE(YEAR(D99),MONTH(D99),1))</f>
        <v>46082.0</v>
      </c>
      <c r="F99" s="218" t="inlineStr">
        <is>
          <t>PREMOLDADOS PLANALTO LTDA</t>
        </is>
      </c>
      <c r="G99" s="218" t="inlineStr">
        <is>
          <t>ELEMENTO VAZADO</t>
        </is>
      </c>
      <c r="H99" s="218" t="inlineStr">
        <is>
          <t>14183</t>
        </is>
      </c>
      <c r="I99" s="219" t="n">
        <v>2500</v>
      </c>
      <c r="J99" s="218" t="inlineStr">
        <is>
          <t>CIVIL</t>
        </is>
      </c>
      <c r="K99" s="218" t="inlineStr">
        <is>
          <t>MATERIAIS E FERRAMENTAS</t>
        </is>
      </c>
      <c r="L99" s="222" t="str">
        <f>IF(B99&lt;&gt;"DESPESA","",IFERROR(VLOOKUP(K99,$P$5:$Q$16,2,FALSE),"?"))</f>
        <v>MAT</v>
      </c>
      <c r="M99" s="218" t="inlineStr">
        <is>
          <t>REALIZADO (até 30/04)</t>
        </is>
      </c>
      <c r="N99" s="272" t="inlineStr">
        <is>
          <t>SANEAGO_MOZARLANDIA_CUSTOS 30.04.2026.xlsx / FINANCEIRO ATE 30.04 / linha 111</t>
        </is>
      </c>
    </row>
    <row r="100">
      <c r="A100" s="222" t="n">
        <v>97</v>
      </c>
      <c r="B100" s="218" t="inlineStr">
        <is>
          <t>APORTE</t>
        </is>
      </c>
      <c r="C100" s="220" t="n">
        <v>46098</v>
      </c>
      <c r="D100" s="220" t="n">
        <v>46098</v>
      </c>
      <c r="E100" s="335">
        <f>IF(D100="","",DATE(YEAR(D100),MONTH(D100),1))</f>
        <v>46082.0</v>
      </c>
      <c r="F100" s="218" t="inlineStr">
        <is>
          <t>TECNOBOMBAS</t>
        </is>
      </c>
      <c r="G100" s="218" t="inlineStr">
        <is>
          <t>APORTE DA TECNOBOMBAS</t>
        </is>
      </c>
      <c r="H100" s="218" t="inlineStr">
        <is>
          <t>PIX</t>
        </is>
      </c>
      <c r="I100" s="219" t="n">
        <v>5000</v>
      </c>
      <c r="J100" s="218" t="inlineStr">
        <is>
          <t>APORTE</t>
        </is>
      </c>
      <c r="K100" s="218" t="inlineStr">
        <is>
          <t>APORTE</t>
        </is>
      </c>
      <c r="L100" s="222">
        <f>IF(B100&lt;&gt;"DESPESA","",IFERROR(VLOOKUP(K100,$P$5:$Q$16,2,FALSE),"?"))</f>
      </c>
      <c r="M100" s="218" t="inlineStr">
        <is>
          <t>REALIZADO (até 30/04)</t>
        </is>
      </c>
      <c r="N100" s="272" t="inlineStr">
        <is>
          <t>SANEAGO_MOZARLANDIA_CUSTOS 30.04.2026.xlsx / FINANCEIRO ATE 30.04 / linha 112</t>
        </is>
      </c>
    </row>
    <row r="101">
      <c r="A101" s="222" t="n">
        <v>98</v>
      </c>
      <c r="B101" s="218" t="inlineStr">
        <is>
          <t>DESPESA</t>
        </is>
      </c>
      <c r="C101" s="220" t="n">
        <v>46084</v>
      </c>
      <c r="D101" s="220" t="n">
        <v>46099</v>
      </c>
      <c r="E101" s="335">
        <f>IF(D101="","",DATE(YEAR(D101),MONTH(D101),1))</f>
        <v>46082.0</v>
      </c>
      <c r="F101" s="218" t="inlineStr">
        <is>
          <t>ALESSANDRA DA CUNHA BRASILEIRO DE PAIVA</t>
        </is>
      </c>
      <c r="G101" s="218" t="inlineStr">
        <is>
          <t>EXAMES AUDIOMETRIA</t>
        </is>
      </c>
      <c r="H101" s="218" t="inlineStr">
        <is>
          <t>1466</t>
        </is>
      </c>
      <c r="I101" s="219" t="n">
        <v>1140</v>
      </c>
      <c r="J101" s="218" t="inlineStr">
        <is>
          <t>ADMINISTRATIVO</t>
        </is>
      </c>
      <c r="K101" s="218" t="inlineStr">
        <is>
          <t>PESSOAL E ENCARGOS</t>
        </is>
      </c>
      <c r="L101" s="222" t="str">
        <f>IF(B101&lt;&gt;"DESPESA","",IFERROR(VLOOKUP(K101,$P$5:$Q$16,2,FALSE),"?"))</f>
        <v>MO</v>
      </c>
      <c r="M101" s="218" t="inlineStr">
        <is>
          <t>REALIZADO (até 30/04)</t>
        </is>
      </c>
      <c r="N101" s="272" t="inlineStr">
        <is>
          <t>SANEAGO_MOZARLANDIA_CUSTOS 30.04.2026.xlsx / FINANCEIRO ATE 30.04 / linha 113</t>
        </is>
      </c>
    </row>
    <row r="102">
      <c r="A102" s="222" t="n">
        <v>99</v>
      </c>
      <c r="B102" s="218" t="inlineStr">
        <is>
          <t>DESPESA</t>
        </is>
      </c>
      <c r="C102" s="220" t="n">
        <v>46084</v>
      </c>
      <c r="D102" s="220" t="n">
        <v>46099</v>
      </c>
      <c r="E102" s="335">
        <f>IF(D102="","",DATE(YEAR(D102),MONTH(D102),1))</f>
        <v>46082.0</v>
      </c>
      <c r="F102" s="218" t="inlineStr">
        <is>
          <t>CENTRO CLINICO ODONTO MED LTDA</t>
        </is>
      </c>
      <c r="G102" s="218" t="inlineStr">
        <is>
          <t>EXAMES OCUPACIONAIS</t>
        </is>
      </c>
      <c r="H102" s="218" t="inlineStr">
        <is>
          <t>10913</t>
        </is>
      </c>
      <c r="I102" s="219" t="n">
        <v>6135</v>
      </c>
      <c r="J102" s="218" t="inlineStr">
        <is>
          <t>ADMINISTRATIVO</t>
        </is>
      </c>
      <c r="K102" s="218" t="inlineStr">
        <is>
          <t>PESSOAL E ENCARGOS</t>
        </is>
      </c>
      <c r="L102" s="222" t="str">
        <f>IF(B102&lt;&gt;"DESPESA","",IFERROR(VLOOKUP(K102,$P$5:$Q$16,2,FALSE),"?"))</f>
        <v>MO</v>
      </c>
      <c r="M102" s="218" t="inlineStr">
        <is>
          <t>REALIZADO (até 30/04)</t>
        </is>
      </c>
      <c r="N102" s="272" t="inlineStr">
        <is>
          <t>SANEAGO_MOZARLANDIA_CUSTOS 30.04.2026.xlsx / FINANCEIRO ATE 30.04 / linha 114</t>
        </is>
      </c>
    </row>
    <row r="103">
      <c r="A103" s="222" t="n">
        <v>100</v>
      </c>
      <c r="B103" s="218" t="inlineStr">
        <is>
          <t>APORTE</t>
        </is>
      </c>
      <c r="C103" s="220" t="n">
        <v>46099</v>
      </c>
      <c r="D103" s="220" t="n">
        <v>46099</v>
      </c>
      <c r="E103" s="335">
        <f>IF(D103="","",DATE(YEAR(D103),MONTH(D103),1))</f>
        <v>46082.0</v>
      </c>
      <c r="F103" s="218" t="inlineStr">
        <is>
          <t>TAF EQUIPAMENTOS</t>
        </is>
      </c>
      <c r="G103" s="218" t="inlineStr">
        <is>
          <t>APORTE DA TAF</t>
        </is>
      </c>
      <c r="H103" s="218" t="inlineStr">
        <is>
          <t>PIX</t>
        </is>
      </c>
      <c r="I103" s="219" t="n">
        <v>25146.92</v>
      </c>
      <c r="J103" s="218" t="inlineStr">
        <is>
          <t>APORTE</t>
        </is>
      </c>
      <c r="K103" s="218" t="inlineStr">
        <is>
          <t>APORTE</t>
        </is>
      </c>
      <c r="L103" s="222">
        <f>IF(B103&lt;&gt;"DESPESA","",IFERROR(VLOOKUP(K103,$P$5:$Q$16,2,FALSE),"?"))</f>
      </c>
      <c r="M103" s="218" t="inlineStr">
        <is>
          <t>REALIZADO (até 30/04)</t>
        </is>
      </c>
      <c r="N103" s="272" t="inlineStr">
        <is>
          <t>SANEAGO_MOZARLANDIA_CUSTOS 30.04.2026.xlsx / FINANCEIRO ATE 30.04 / linha 115</t>
        </is>
      </c>
    </row>
    <row r="104">
      <c r="A104" s="222" t="n">
        <v>101</v>
      </c>
      <c r="B104" s="218" t="inlineStr">
        <is>
          <t>DESPESA</t>
        </is>
      </c>
      <c r="C104" s="220" t="n">
        <v>46099</v>
      </c>
      <c r="D104" s="220" t="n">
        <v>46100</v>
      </c>
      <c r="E104" s="335">
        <f>IF(D104="","",DATE(YEAR(D104),MONTH(D104),1))</f>
        <v>46082.0</v>
      </c>
      <c r="F104" s="218" t="inlineStr">
        <is>
          <t>C3 ARTES E GRAFICAS LTDA</t>
        </is>
      </c>
      <c r="G104" s="218" t="inlineStr">
        <is>
          <t>SERVIÇOS GRÁFICOS</t>
        </is>
      </c>
      <c r="H104" s="218" t="inlineStr">
        <is>
          <t>893</t>
        </is>
      </c>
      <c r="I104" s="219" t="n">
        <v>298</v>
      </c>
      <c r="J104" s="218" t="inlineStr">
        <is>
          <t>ADMINISTRATIVO</t>
        </is>
      </c>
      <c r="K104" s="218" t="inlineStr">
        <is>
          <t>SERVICOS DE TERCEIROS / CANTEIRO</t>
        </is>
      </c>
      <c r="L104" s="222" t="str">
        <f>IF(B104&lt;&gt;"DESPESA","",IFERROR(VLOOKUP(K104,$P$5:$Q$16,2,FALSE),"?"))</f>
        <v>TER</v>
      </c>
      <c r="M104" s="218" t="inlineStr">
        <is>
          <t>REALIZADO (até 30/04)</t>
        </is>
      </c>
      <c r="N104" s="272" t="inlineStr">
        <is>
          <t>SANEAGO_MOZARLANDIA_CUSTOS 30.04.2026.xlsx / FINANCEIRO ATE 30.04 / linha 116</t>
        </is>
      </c>
    </row>
    <row r="105">
      <c r="A105" s="222" t="n">
        <v>102</v>
      </c>
      <c r="B105" s="218" t="inlineStr">
        <is>
          <t>DESPESA</t>
        </is>
      </c>
      <c r="C105" s="220" t="n">
        <v>46100</v>
      </c>
      <c r="D105" s="220" t="n">
        <v>46100</v>
      </c>
      <c r="E105" s="335">
        <f>IF(D105="","",DATE(YEAR(D105),MONTH(D105),1))</f>
        <v>46082.0</v>
      </c>
      <c r="F105" s="218" t="inlineStr">
        <is>
          <t>FRANKS PAULO DANTAS</t>
        </is>
      </c>
      <c r="G105" s="218" t="inlineStr">
        <is>
          <t>SERVIÇO INSTALAÇÃO CAMERA /WIFI</t>
        </is>
      </c>
      <c r="H105" s="218" t="inlineStr">
        <is>
          <t>Recibo</t>
        </is>
      </c>
      <c r="I105" s="219" t="n">
        <v>298</v>
      </c>
      <c r="J105" s="218" t="inlineStr">
        <is>
          <t>ADMINISTRATIVO</t>
        </is>
      </c>
      <c r="K105" s="218" t="inlineStr">
        <is>
          <t>SERVICOS DE TERCEIROS / CANTEIRO</t>
        </is>
      </c>
      <c r="L105" s="222" t="str">
        <f>IF(B105&lt;&gt;"DESPESA","",IFERROR(VLOOKUP(K105,$P$5:$Q$16,2,FALSE),"?"))</f>
        <v>TER</v>
      </c>
      <c r="M105" s="218" t="inlineStr">
        <is>
          <t>REALIZADO (até 30/04)</t>
        </is>
      </c>
      <c r="N105" s="272" t="inlineStr">
        <is>
          <t>SANEAGO_MOZARLANDIA_CUSTOS 30.04.2026.xlsx / FINANCEIRO ATE 30.04 / linha 117</t>
        </is>
      </c>
    </row>
    <row r="106">
      <c r="A106" s="222" t="n">
        <v>103</v>
      </c>
      <c r="B106" s="218" t="inlineStr">
        <is>
          <t>DESPESA</t>
        </is>
      </c>
      <c r="C106" s="220" t="n">
        <v>46086</v>
      </c>
      <c r="D106" s="220" t="n">
        <v>46101</v>
      </c>
      <c r="E106" s="335">
        <f>IF(D106="","",DATE(YEAR(D106),MONTH(D106),1))</f>
        <v>46082.0</v>
      </c>
      <c r="F106" s="218" t="inlineStr">
        <is>
          <t>CAIXA ECONOMICA FEDERAL</t>
        </is>
      </c>
      <c r="G106" s="218" t="inlineStr">
        <is>
          <t>FUNDO GARANTIA</t>
        </is>
      </c>
      <c r="H106" s="218" t="inlineStr">
        <is>
          <t>FGTS</t>
        </is>
      </c>
      <c r="I106" s="219" t="n">
        <v>2591.42</v>
      </c>
      <c r="J106" s="218" t="inlineStr">
        <is>
          <t>ADMINISTRATIVO</t>
        </is>
      </c>
      <c r="K106" s="218" t="inlineStr">
        <is>
          <t>PESSOAL E ENCARGOS</t>
        </is>
      </c>
      <c r="L106" s="222" t="str">
        <f>IF(B106&lt;&gt;"DESPESA","",IFERROR(VLOOKUP(K106,$P$5:$Q$16,2,FALSE),"?"))</f>
        <v>MO</v>
      </c>
      <c r="M106" s="218" t="inlineStr">
        <is>
          <t>REALIZADO (até 30/04)</t>
        </is>
      </c>
      <c r="N106" s="272" t="inlineStr">
        <is>
          <t>SANEAGO_MOZARLANDIA_CUSTOS 30.04.2026.xlsx / FINANCEIRO ATE 30.04 / linha 118</t>
        </is>
      </c>
    </row>
    <row r="107">
      <c r="A107" s="222" t="n">
        <v>104</v>
      </c>
      <c r="B107" s="218" t="inlineStr">
        <is>
          <t>DESPESA</t>
        </is>
      </c>
      <c r="C107" s="220" t="n">
        <v>46084</v>
      </c>
      <c r="D107" s="220" t="n">
        <v>46101</v>
      </c>
      <c r="E107" s="335">
        <f>IF(D107="","",DATE(YEAR(D107),MONTH(D107),1))</f>
        <v>46082.0</v>
      </c>
      <c r="F107" s="218" t="inlineStr">
        <is>
          <t>ENGETEC CONSTRUTORA</t>
        </is>
      </c>
      <c r="G107" s="218" t="inlineStr">
        <is>
          <t>LOCAÇÃO RETROESCAVADEIRA</t>
        </is>
      </c>
      <c r="H107" s="218" t="inlineStr">
        <is>
          <t>155</t>
        </is>
      </c>
      <c r="I107" s="219" t="n">
        <v>5500</v>
      </c>
      <c r="J107" s="218" t="inlineStr">
        <is>
          <t>CIVIL</t>
        </is>
      </c>
      <c r="K107" s="218" t="inlineStr">
        <is>
          <t>LOCACAO DE EQUIPAMENTOS</t>
        </is>
      </c>
      <c r="L107" s="222" t="str">
        <f>IF(B107&lt;&gt;"DESPESA","",IFERROR(VLOOKUP(K107,$P$5:$Q$16,2,FALSE),"?"))</f>
        <v>EQP</v>
      </c>
      <c r="M107" s="218" t="inlineStr">
        <is>
          <t>REALIZADO (até 30/04)</t>
        </is>
      </c>
      <c r="N107" s="272" t="inlineStr">
        <is>
          <t>SANEAGO_MOZARLANDIA_CUSTOS 30.04.2026.xlsx / FINANCEIRO ATE 30.04 / linha 119</t>
        </is>
      </c>
    </row>
    <row r="108">
      <c r="A108" s="222" t="n">
        <v>105</v>
      </c>
      <c r="B108" s="218" t="inlineStr">
        <is>
          <t>DESPESA</t>
        </is>
      </c>
      <c r="C108" s="220" t="n">
        <v>46080</v>
      </c>
      <c r="D108" s="220" t="n">
        <v>46101</v>
      </c>
      <c r="E108" s="335">
        <f>IF(D108="","",DATE(YEAR(D108),MONTH(D108),1))</f>
        <v>46082.0</v>
      </c>
      <c r="F108" s="218" t="inlineStr">
        <is>
          <t>IMPERCIA QUIMICA LTDA</t>
        </is>
      </c>
      <c r="G108" s="218" t="inlineStr">
        <is>
          <t>MATERIAL APLICADO</t>
        </is>
      </c>
      <c r="H108" s="218" t="inlineStr">
        <is>
          <t>154180</t>
        </is>
      </c>
      <c r="I108" s="219" t="n">
        <v>109.78</v>
      </c>
      <c r="J108" s="218" t="inlineStr">
        <is>
          <t>CIVIL</t>
        </is>
      </c>
      <c r="K108" s="218" t="inlineStr">
        <is>
          <t>MATERIAIS E FERRAMENTAS</t>
        </is>
      </c>
      <c r="L108" s="222" t="str">
        <f>IF(B108&lt;&gt;"DESPESA","",IFERROR(VLOOKUP(K108,$P$5:$Q$16,2,FALSE),"?"))</f>
        <v>MAT</v>
      </c>
      <c r="M108" s="218" t="inlineStr">
        <is>
          <t>REALIZADO (até 30/04)</t>
        </is>
      </c>
      <c r="N108" s="272" t="inlineStr">
        <is>
          <t>SANEAGO_MOZARLANDIA_CUSTOS 30.04.2026.xlsx / FINANCEIRO ATE 30.04 / linha 120</t>
        </is>
      </c>
    </row>
    <row r="109">
      <c r="A109" s="222" t="n">
        <v>106</v>
      </c>
      <c r="B109" s="218" t="inlineStr">
        <is>
          <t>DESPESA</t>
        </is>
      </c>
      <c r="C109" s="220" t="n">
        <v>46071</v>
      </c>
      <c r="D109" s="220" t="n">
        <v>46101</v>
      </c>
      <c r="E109" s="335">
        <f>IF(D109="","",DATE(YEAR(D109),MONTH(D109),1))</f>
        <v>46082.0</v>
      </c>
      <c r="F109" s="218" t="inlineStr">
        <is>
          <t>MADEIMANAS MADEIREIRA MANAS LTDA</t>
        </is>
      </c>
      <c r="G109" s="218" t="inlineStr">
        <is>
          <t>FERRAMENTAL / CONSUMO</t>
        </is>
      </c>
      <c r="H109" s="218" t="inlineStr">
        <is>
          <t>177710/3</t>
        </is>
      </c>
      <c r="I109" s="219" t="n">
        <v>732.88</v>
      </c>
      <c r="J109" s="218" t="inlineStr">
        <is>
          <t>CIVIL</t>
        </is>
      </c>
      <c r="K109" s="218" t="inlineStr">
        <is>
          <t>MATERIAIS E FERRAMENTAS</t>
        </is>
      </c>
      <c r="L109" s="222" t="str">
        <f>IF(B109&lt;&gt;"DESPESA","",IFERROR(VLOOKUP(K109,$P$5:$Q$16,2,FALSE),"?"))</f>
        <v>MAT</v>
      </c>
      <c r="M109" s="218" t="inlineStr">
        <is>
          <t>REALIZADO (até 30/04)</t>
        </is>
      </c>
      <c r="N109" s="272" t="inlineStr">
        <is>
          <t>SANEAGO_MOZARLANDIA_CUSTOS 30.04.2026.xlsx / FINANCEIRO ATE 30.04 / linha 121</t>
        </is>
      </c>
    </row>
    <row r="110">
      <c r="A110" s="222" t="n">
        <v>107</v>
      </c>
      <c r="B110" s="218" t="inlineStr">
        <is>
          <t>DESPESA</t>
        </is>
      </c>
      <c r="C110" s="220" t="n">
        <v>46091</v>
      </c>
      <c r="D110" s="220" t="n">
        <v>46101</v>
      </c>
      <c r="E110" s="335">
        <f>IF(D110="","",DATE(YEAR(D110),MONTH(D110),1))</f>
        <v>46082.0</v>
      </c>
      <c r="F110" s="218" t="inlineStr">
        <is>
          <t>PRATICA UNIFORMES LTDA</t>
        </is>
      </c>
      <c r="G110" s="218" t="inlineStr">
        <is>
          <t>UNIFORMES</t>
        </is>
      </c>
      <c r="H110" s="218" t="inlineStr">
        <is>
          <t>1194</t>
        </is>
      </c>
      <c r="I110" s="219" t="n">
        <v>4549.6</v>
      </c>
      <c r="J110" s="218" t="inlineStr">
        <is>
          <t>ADMINISTRATIVO</t>
        </is>
      </c>
      <c r="K110" s="218" t="inlineStr">
        <is>
          <t>SEGURANCA DO TRABALHO (EPI/UNIFORMES)</t>
        </is>
      </c>
      <c r="L110" s="222" t="str">
        <f>IF(B110&lt;&gt;"DESPESA","",IFERROR(VLOOKUP(K110,$P$5:$Q$16,2,FALSE),"?"))</f>
        <v>ADM</v>
      </c>
      <c r="M110" s="218" t="inlineStr">
        <is>
          <t>REALIZADO (até 30/04)</t>
        </is>
      </c>
      <c r="N110" s="272" t="inlineStr">
        <is>
          <t>SANEAGO_MOZARLANDIA_CUSTOS 30.04.2026.xlsx / FINANCEIRO ATE 30.04 / linha 122 | REPETIDA: mesmo NF 1194, fornecedor e valor (~4550) aparece 2x (vencimentos: 2026-03-20, 2026-05-11); parcela ou duplicidade, conferir</t>
        </is>
      </c>
    </row>
    <row r="111">
      <c r="A111" s="222" t="n">
        <v>108</v>
      </c>
      <c r="B111" s="218" t="inlineStr">
        <is>
          <t>DESPESA</t>
        </is>
      </c>
      <c r="C111" s="220" t="n">
        <v>46098</v>
      </c>
      <c r="D111" s="220" t="n">
        <v>46101</v>
      </c>
      <c r="E111" s="335">
        <f>IF(D111="","",DATE(YEAR(D111),MONTH(D111),1))</f>
        <v>46082.0</v>
      </c>
      <c r="F111" s="218" t="inlineStr">
        <is>
          <t>RECEITA FEDERAL (DARF/INSS)</t>
        </is>
      </c>
      <c r="G111" s="218" t="inlineStr">
        <is>
          <t>INSS FOLHA 02/26</t>
        </is>
      </c>
      <c r="H111" s="218" t="inlineStr">
        <is>
          <t>DARF</t>
        </is>
      </c>
      <c r="I111" s="219" t="n">
        <v>8843.370000000001</v>
      </c>
      <c r="J111" s="218" t="inlineStr">
        <is>
          <t>ADMINISTRATIVO</t>
        </is>
      </c>
      <c r="K111" s="218" t="inlineStr">
        <is>
          <t>PESSOAL E ENCARGOS</t>
        </is>
      </c>
      <c r="L111" s="222" t="str">
        <f>IF(B111&lt;&gt;"DESPESA","",IFERROR(VLOOKUP(K111,$P$5:$Q$16,2,FALSE),"?"))</f>
        <v>MO</v>
      </c>
      <c r="M111" s="218" t="inlineStr">
        <is>
          <t>REALIZADO (até 30/04)</t>
        </is>
      </c>
      <c r="N111" s="272" t="inlineStr">
        <is>
          <t>SANEAGO_MOZARLANDIA_CUSTOS 30.04.2026.xlsx / FINANCEIRO ATE 30.04 / linha 123</t>
        </is>
      </c>
    </row>
    <row r="112">
      <c r="A112" s="222" t="n">
        <v>109</v>
      </c>
      <c r="B112" s="218" t="inlineStr">
        <is>
          <t>DESPESA</t>
        </is>
      </c>
      <c r="C112" s="220" t="n">
        <v>46099</v>
      </c>
      <c r="D112" s="220" t="n">
        <v>46101</v>
      </c>
      <c r="E112" s="335">
        <f>IF(D112="","",DATE(YEAR(D112),MONTH(D112),1))</f>
        <v>46082.0</v>
      </c>
      <c r="F112" s="218" t="inlineStr">
        <is>
          <t>TECNOBOMBAS</t>
        </is>
      </c>
      <c r="G112" s="218" t="inlineStr">
        <is>
          <t>ADIANTAMENTO SALARIAL 03/26</t>
        </is>
      </c>
      <c r="H112" s="218" t="inlineStr">
        <is>
          <t>RECIBO</t>
        </is>
      </c>
      <c r="I112" s="219" t="n">
        <v>17235</v>
      </c>
      <c r="J112" s="218" t="inlineStr">
        <is>
          <t>ADMINISTRATIVO</t>
        </is>
      </c>
      <c r="K112" s="218" t="inlineStr">
        <is>
          <t>PESSOAL E ENCARGOS</t>
        </is>
      </c>
      <c r="L112" s="222" t="str">
        <f>IF(B112&lt;&gt;"DESPESA","",IFERROR(VLOOKUP(K112,$P$5:$Q$16,2,FALSE),"?"))</f>
        <v>MO</v>
      </c>
      <c r="M112" s="218" t="inlineStr">
        <is>
          <t>REALIZADO (até 30/04)</t>
        </is>
      </c>
      <c r="N112" s="272" t="inlineStr">
        <is>
          <t>SANEAGO_MOZARLANDIA_CUSTOS 30.04.2026.xlsx / FINANCEIRO ATE 30.04 / linha 124</t>
        </is>
      </c>
    </row>
    <row r="113">
      <c r="A113" s="222" t="n">
        <v>110</v>
      </c>
      <c r="B113" s="218" t="inlineStr">
        <is>
          <t>DESPESA</t>
        </is>
      </c>
      <c r="C113" s="220" t="n">
        <v>46097</v>
      </c>
      <c r="D113" s="220" t="n">
        <v>46101</v>
      </c>
      <c r="E113" s="335">
        <f>IF(D113="","",DATE(YEAR(D113),MONTH(D113),1))</f>
        <v>46082.0</v>
      </c>
      <c r="F113" s="218" t="inlineStr">
        <is>
          <t>RICARLOS ALVES DE OLIVEIRA</t>
        </is>
      </c>
      <c r="G113" s="218" t="inlineStr">
        <is>
          <t>PRESTAÇÃO SERVIÇOS - ENGª CIVIL - 03/26</t>
        </is>
      </c>
      <c r="H113" s="218" t="inlineStr">
        <is>
          <t>01290</t>
        </is>
      </c>
      <c r="I113" s="219" t="n">
        <v>5000</v>
      </c>
      <c r="J113" s="218" t="inlineStr">
        <is>
          <t>CIVIL</t>
        </is>
      </c>
      <c r="K113" s="218" t="inlineStr">
        <is>
          <t>ENGENHARIA/PRESTACAO DE SERVICOS PJ</t>
        </is>
      </c>
      <c r="L113" s="222" t="str">
        <f>IF(B113&lt;&gt;"DESPESA","",IFERROR(VLOOKUP(K113,$P$5:$Q$16,2,FALSE),"?"))</f>
        <v>ADM</v>
      </c>
      <c r="M113" s="218" t="inlineStr">
        <is>
          <t>REALIZADO (até 30/04)</t>
        </is>
      </c>
      <c r="N113" s="272" t="inlineStr">
        <is>
          <t>SANEAGO_MOZARLANDIA_CUSTOS 30.04.2026.xlsx / FINANCEIRO ATE 30.04 / linha 125</t>
        </is>
      </c>
    </row>
    <row r="114">
      <c r="A114" s="222" t="n">
        <v>111</v>
      </c>
      <c r="B114" s="218" t="inlineStr">
        <is>
          <t>DESPESA</t>
        </is>
      </c>
      <c r="C114" s="220" t="n">
        <v>46064</v>
      </c>
      <c r="D114" s="220" t="n">
        <v>46102</v>
      </c>
      <c r="E114" s="335">
        <f>IF(D114="","",DATE(YEAR(D114),MONTH(D114),1))</f>
        <v>46082.0</v>
      </c>
      <c r="F114" s="218" t="inlineStr">
        <is>
          <t>PARANAFERROS</t>
        </is>
      </c>
      <c r="G114" s="218" t="inlineStr">
        <is>
          <t>FERRO CA E ARAME - MATERIAL APLICADO CIVIL</t>
        </is>
      </c>
      <c r="H114" s="218" t="inlineStr">
        <is>
          <t>110284</t>
        </is>
      </c>
      <c r="I114" s="219" t="n">
        <v>26349.26</v>
      </c>
      <c r="J114" s="218" t="inlineStr">
        <is>
          <t>CIVIL</t>
        </is>
      </c>
      <c r="K114" s="218" t="inlineStr">
        <is>
          <t>MATERIAIS E FERRAMENTAS</t>
        </is>
      </c>
      <c r="L114" s="222" t="str">
        <f>IF(B114&lt;&gt;"DESPESA","",IFERROR(VLOOKUP(K114,$P$5:$Q$16,2,FALSE),"?"))</f>
        <v>MAT</v>
      </c>
      <c r="M114" s="218" t="inlineStr">
        <is>
          <t>REALIZADO (até 30/04)</t>
        </is>
      </c>
      <c r="N114" s="272" t="inlineStr">
        <is>
          <t>SANEAGO_MOZARLANDIA_CUSTOS 30.04.2026.xlsx / FINANCEIRO ATE 30.04 / linha 126 | REPETIDA: mesmo NF 110284, fornecedor e valor (~26349) aparece 4x (vencimentos: 2026-02-22, 2026-03-21, 2026-04-20, 2026-05-20); parcela ou duplicidade, conferir</t>
        </is>
      </c>
    </row>
    <row r="115">
      <c r="A115" s="222" t="n">
        <v>112</v>
      </c>
      <c r="B115" s="218" t="inlineStr">
        <is>
          <t>DESPESA</t>
        </is>
      </c>
      <c r="C115" s="220" t="n">
        <v>46083</v>
      </c>
      <c r="D115" s="220" t="n">
        <v>46102</v>
      </c>
      <c r="E115" s="335">
        <f>IF(D115="","",DATE(YEAR(D115),MONTH(D115),1))</f>
        <v>46082.0</v>
      </c>
      <c r="F115" s="218" t="inlineStr">
        <is>
          <t>PR CONSTRUTORA E ENGENHARIA LTDA (nomes variantes)</t>
        </is>
      </c>
      <c r="G115" s="218" t="inlineStr">
        <is>
          <t>SERVIÇO TOPOGRAFIA</t>
        </is>
      </c>
      <c r="H115" s="218" t="inlineStr">
        <is>
          <t>35</t>
        </is>
      </c>
      <c r="I115" s="219" t="n">
        <v>2898.9</v>
      </c>
      <c r="J115" s="218" t="inlineStr">
        <is>
          <t>CIVIL</t>
        </is>
      </c>
      <c r="K115" s="218" t="inlineStr">
        <is>
          <t>SERVICOS DE TERCEIROS / CANTEIRO</t>
        </is>
      </c>
      <c r="L115" s="222" t="str">
        <f>IF(B115&lt;&gt;"DESPESA","",IFERROR(VLOOKUP(K115,$P$5:$Q$16,2,FALSE),"?"))</f>
        <v>TER</v>
      </c>
      <c r="M115" s="218" t="inlineStr">
        <is>
          <t>REALIZADO (até 30/04)</t>
        </is>
      </c>
      <c r="N115" s="272" t="inlineStr">
        <is>
          <t>SANEAGO_MOZARLANDIA_CUSTOS 30.04.2026.xlsx / FINANCEIRO ATE 30.04 / linha 127</t>
        </is>
      </c>
    </row>
    <row r="116">
      <c r="A116" s="222" t="n">
        <v>113</v>
      </c>
      <c r="B116" s="218" t="inlineStr">
        <is>
          <t>DESPESA</t>
        </is>
      </c>
      <c r="C116" s="220" t="n">
        <v>46072</v>
      </c>
      <c r="D116" s="220" t="n">
        <v>46102</v>
      </c>
      <c r="E116" s="335">
        <f>IF(D116="","",DATE(YEAR(D116),MONTH(D116),1))</f>
        <v>46082.0</v>
      </c>
      <c r="F116" s="218" t="inlineStr">
        <is>
          <t>WM PARAFUSOS E FERRAMENTAS LTDA</t>
        </is>
      </c>
      <c r="G116" s="218" t="inlineStr">
        <is>
          <t>FERRAMENTAL</t>
        </is>
      </c>
      <c r="H116" s="218" t="inlineStr">
        <is>
          <t>91001</t>
        </is>
      </c>
      <c r="I116" s="219" t="n">
        <v>687.8</v>
      </c>
      <c r="J116" s="218" t="inlineStr">
        <is>
          <t>CIVIL</t>
        </is>
      </c>
      <c r="K116" s="218" t="inlineStr">
        <is>
          <t>MATERIAIS E FERRAMENTAS</t>
        </is>
      </c>
      <c r="L116" s="222" t="str">
        <f>IF(B116&lt;&gt;"DESPESA","",IFERROR(VLOOKUP(K116,$P$5:$Q$16,2,FALSE),"?"))</f>
        <v>MAT</v>
      </c>
      <c r="M116" s="218" t="inlineStr">
        <is>
          <t>REALIZADO (até 30/04)</t>
        </is>
      </c>
      <c r="N116" s="272" t="inlineStr">
        <is>
          <t>SANEAGO_MOZARLANDIA_CUSTOS 30.04.2026.xlsx / FINANCEIRO ATE 30.04 / linha 128</t>
        </is>
      </c>
    </row>
    <row r="117">
      <c r="A117" s="222" t="n">
        <v>114</v>
      </c>
      <c r="B117" s="218" t="inlineStr">
        <is>
          <t>DESPESA</t>
        </is>
      </c>
      <c r="C117" s="220" t="n">
        <v>46090</v>
      </c>
      <c r="D117" s="220" t="n">
        <v>46105</v>
      </c>
      <c r="E117" s="335">
        <f>IF(D117="","",DATE(YEAR(D117),MONTH(D117),1))</f>
        <v>46082.0</v>
      </c>
      <c r="F117" s="218" t="inlineStr">
        <is>
          <t>DW SERVICE LTDA</t>
        </is>
      </c>
      <c r="G117" s="218" t="inlineStr">
        <is>
          <t>LOCAÇÃO IMPRESSORA</t>
        </is>
      </c>
      <c r="H117" s="218" t="inlineStr">
        <is>
          <t>18662</t>
        </is>
      </c>
      <c r="I117" s="219" t="n">
        <v>160.71</v>
      </c>
      <c r="J117" s="218" t="inlineStr">
        <is>
          <t>CIVIL</t>
        </is>
      </c>
      <c r="K117" s="218" t="inlineStr">
        <is>
          <t>LOCACAO DE EQUIPAMENTOS</t>
        </is>
      </c>
      <c r="L117" s="222" t="str">
        <f>IF(B117&lt;&gt;"DESPESA","",IFERROR(VLOOKUP(K117,$P$5:$Q$16,2,FALSE),"?"))</f>
        <v>EQP</v>
      </c>
      <c r="M117" s="218" t="inlineStr">
        <is>
          <t>REALIZADO (até 30/04)</t>
        </is>
      </c>
      <c r="N117" s="272" t="inlineStr">
        <is>
          <t>SANEAGO_MOZARLANDIA_CUSTOS 30.04.2026.xlsx / FINANCEIRO ATE 30.04 / linha 129</t>
        </is>
      </c>
    </row>
    <row r="118">
      <c r="A118" s="222" t="n">
        <v>115</v>
      </c>
      <c r="B118" s="218" t="inlineStr">
        <is>
          <t>DESPESA</t>
        </is>
      </c>
      <c r="C118" s="220" t="n">
        <v>46105</v>
      </c>
      <c r="D118" s="220" t="n">
        <v>46105</v>
      </c>
      <c r="E118" s="335">
        <f>IF(D118="","",DATE(YEAR(D118),MONTH(D118),1))</f>
        <v>46082.0</v>
      </c>
      <c r="F118" s="218" t="inlineStr">
        <is>
          <t>SANEAGO (faturas de agua)</t>
        </is>
      </c>
      <c r="G118" s="218" t="inlineStr">
        <is>
          <t>FATURA ÁGUA - ALOJAMENTO</t>
        </is>
      </c>
      <c r="H118" s="218" t="inlineStr">
        <is>
          <t>4093226007</t>
        </is>
      </c>
      <c r="I118" s="219" t="n">
        <v>17.92</v>
      </c>
      <c r="J118" s="218" t="inlineStr">
        <is>
          <t>ADMINISTRATIVO</t>
        </is>
      </c>
      <c r="K118" s="218" t="inlineStr">
        <is>
          <t>ALOJAMENTO, ALIMENTACAO E UTILIDADES</t>
        </is>
      </c>
      <c r="L118" s="222" t="str">
        <f>IF(B118&lt;&gt;"DESPESA","",IFERROR(VLOOKUP(K118,$P$5:$Q$16,2,FALSE),"?"))</f>
        <v>ADM</v>
      </c>
      <c r="M118" s="218" t="inlineStr">
        <is>
          <t>REALIZADO (até 30/04)</t>
        </is>
      </c>
      <c r="N118" s="272" t="inlineStr">
        <is>
          <t>SANEAGO_MOZARLANDIA_CUSTOS 30.04.2026.xlsx / FINANCEIRO ATE 30.04 / linha 130</t>
        </is>
      </c>
    </row>
    <row r="119">
      <c r="A119" s="222" t="n">
        <v>116</v>
      </c>
      <c r="B119" s="218" t="inlineStr">
        <is>
          <t>DESPESA</t>
        </is>
      </c>
      <c r="C119" s="220" t="n">
        <v>46078</v>
      </c>
      <c r="D119" s="220" t="n">
        <v>46106</v>
      </c>
      <c r="E119" s="335">
        <f>IF(D119="","",DATE(YEAR(D119),MONTH(D119),1))</f>
        <v>46082.0</v>
      </c>
      <c r="F119" s="218" t="inlineStr">
        <is>
          <t>DM MATERIAIS CONSTRUCAO LTDA</t>
        </is>
      </c>
      <c r="G119" s="218" t="inlineStr">
        <is>
          <t>MATERIAL APLICADO - CIVIL</t>
        </is>
      </c>
      <c r="H119" s="218" t="inlineStr">
        <is>
          <t>2499</t>
        </is>
      </c>
      <c r="I119" s="219" t="n">
        <v>2842.8</v>
      </c>
      <c r="J119" s="218" t="inlineStr">
        <is>
          <t>CIVIL</t>
        </is>
      </c>
      <c r="K119" s="218" t="inlineStr">
        <is>
          <t>MATERIAIS E FERRAMENTAS</t>
        </is>
      </c>
      <c r="L119" s="222" t="str">
        <f>IF(B119&lt;&gt;"DESPESA","",IFERROR(VLOOKUP(K119,$P$5:$Q$16,2,FALSE),"?"))</f>
        <v>MAT</v>
      </c>
      <c r="M119" s="218" t="inlineStr">
        <is>
          <t>REALIZADO (até 30/04)</t>
        </is>
      </c>
      <c r="N119" s="272" t="inlineStr">
        <is>
          <t>SANEAGO_MOZARLANDIA_CUSTOS 30.04.2026.xlsx / FINANCEIRO ATE 30.04 / linha 131 | REPETIDA: mesmo NF 2499, fornecedor e valor (~2843) aparece 2x (vencimentos: 2026-03-25, 2026-04-25); parcela ou duplicidade, conferir</t>
        </is>
      </c>
    </row>
    <row r="120">
      <c r="A120" s="222" t="n">
        <v>117</v>
      </c>
      <c r="B120" s="218" t="inlineStr">
        <is>
          <t>DESPESA</t>
        </is>
      </c>
      <c r="C120" s="220" t="n">
        <v>46078</v>
      </c>
      <c r="D120" s="220" t="n">
        <v>46106</v>
      </c>
      <c r="E120" s="335">
        <f>IF(D120="","",DATE(YEAR(D120),MONTH(D120),1))</f>
        <v>46082.0</v>
      </c>
      <c r="F120" s="218" t="inlineStr">
        <is>
          <t>MADEIMANAS MADEIREIRA MANAS LTDA</t>
        </is>
      </c>
      <c r="G120" s="218" t="inlineStr">
        <is>
          <t>MATERIAL APLICADO CANTEIRO OBRA</t>
        </is>
      </c>
      <c r="H120" s="218" t="inlineStr">
        <is>
          <t>177993/2</t>
        </is>
      </c>
      <c r="I120" s="219" t="n">
        <v>149.44</v>
      </c>
      <c r="J120" s="218" t="inlineStr">
        <is>
          <t>CIVIL</t>
        </is>
      </c>
      <c r="K120" s="218" t="inlineStr">
        <is>
          <t>MATERIAIS E FERRAMENTAS</t>
        </is>
      </c>
      <c r="L120" s="222" t="str">
        <f>IF(B120&lt;&gt;"DESPESA","",IFERROR(VLOOKUP(K120,$P$5:$Q$16,2,FALSE),"?"))</f>
        <v>MAT</v>
      </c>
      <c r="M120" s="218" t="inlineStr">
        <is>
          <t>REALIZADO (até 30/04)</t>
        </is>
      </c>
      <c r="N120" s="272" t="inlineStr">
        <is>
          <t>SANEAGO_MOZARLANDIA_CUSTOS 30.04.2026.xlsx / FINANCEIRO ATE 30.04 / linha 132</t>
        </is>
      </c>
    </row>
    <row r="121">
      <c r="A121" s="222" t="n">
        <v>118</v>
      </c>
      <c r="B121" s="218" t="inlineStr">
        <is>
          <t>DESPESA</t>
        </is>
      </c>
      <c r="C121" s="220" t="n">
        <v>46077</v>
      </c>
      <c r="D121" s="220" t="n">
        <v>46107</v>
      </c>
      <c r="E121" s="335">
        <f>IF(D121="","",DATE(YEAR(D121),MONTH(D121),1))</f>
        <v>46082.0</v>
      </c>
      <c r="F121" s="218" t="inlineStr">
        <is>
          <t>APONTEC RELOGIOS LTDA</t>
        </is>
      </c>
      <c r="G121" s="218" t="inlineStr">
        <is>
          <t>MATERIAL ESCRITÓRIO</t>
        </is>
      </c>
      <c r="H121" s="218" t="inlineStr">
        <is>
          <t>163</t>
        </is>
      </c>
      <c r="I121" s="219" t="n">
        <v>220</v>
      </c>
      <c r="J121" s="218" t="inlineStr">
        <is>
          <t>ADMINISTRATIVO</t>
        </is>
      </c>
      <c r="K121" s="218" t="inlineStr">
        <is>
          <t>ADMINISTRATIVO GERAL (seguros, honorarios, reembolsos, TI)</t>
        </is>
      </c>
      <c r="L121" s="222" t="str">
        <f>IF(B121&lt;&gt;"DESPESA","",IFERROR(VLOOKUP(K121,$P$5:$Q$16,2,FALSE),"?"))</f>
        <v>ADM</v>
      </c>
      <c r="M121" s="218" t="inlineStr">
        <is>
          <t>REALIZADO (até 30/04)</t>
        </is>
      </c>
      <c r="N121" s="272" t="inlineStr">
        <is>
          <t>SANEAGO_MOZARLANDIA_CUSTOS 30.04.2026.xlsx / FINANCEIRO ATE 30.04 / linha 133</t>
        </is>
      </c>
    </row>
    <row r="122">
      <c r="A122" s="222" t="n">
        <v>119</v>
      </c>
      <c r="B122" s="218" t="inlineStr">
        <is>
          <t>APORTE</t>
        </is>
      </c>
      <c r="C122" s="220" t="n">
        <v>46107</v>
      </c>
      <c r="D122" s="220" t="n">
        <v>46107</v>
      </c>
      <c r="E122" s="335">
        <f>IF(D122="","",DATE(YEAR(D122),MONTH(D122),1))</f>
        <v>46082.0</v>
      </c>
      <c r="F122" s="218" t="inlineStr">
        <is>
          <t>TECNOBOMBAS</t>
        </is>
      </c>
      <c r="G122" s="218" t="inlineStr">
        <is>
          <t>APORTE DA TECNOBOMBAS</t>
        </is>
      </c>
      <c r="H122" s="218" t="inlineStr">
        <is>
          <t>PIX</t>
        </is>
      </c>
      <c r="I122" s="219" t="n">
        <v>10000</v>
      </c>
      <c r="J122" s="218" t="inlineStr">
        <is>
          <t>APORTE</t>
        </is>
      </c>
      <c r="K122" s="218" t="inlineStr">
        <is>
          <t>APORTE</t>
        </is>
      </c>
      <c r="L122" s="222">
        <f>IF(B122&lt;&gt;"DESPESA","",IFERROR(VLOOKUP(K122,$P$5:$Q$16,2,FALSE),"?"))</f>
      </c>
      <c r="M122" s="218" t="inlineStr">
        <is>
          <t>REALIZADO (até 30/04)</t>
        </is>
      </c>
      <c r="N122" s="272" t="inlineStr">
        <is>
          <t>SANEAGO_MOZARLANDIA_CUSTOS 30.04.2026.xlsx / FINANCEIRO ATE 30.04 / linha 134</t>
        </is>
      </c>
    </row>
    <row r="123">
      <c r="A123" s="222" t="n">
        <v>120</v>
      </c>
      <c r="B123" s="218" t="inlineStr">
        <is>
          <t>DESPESA</t>
        </is>
      </c>
      <c r="C123" s="220" t="n">
        <v>46086</v>
      </c>
      <c r="D123" s="220" t="n">
        <v>46107</v>
      </c>
      <c r="E123" s="335">
        <f>IF(D123="","",DATE(YEAR(D123),MONTH(D123),1))</f>
        <v>46082.0</v>
      </c>
      <c r="F123" s="218" t="inlineStr">
        <is>
          <t>RODRIGO CONSTANTINO VIANA LTDA</t>
        </is>
      </c>
      <c r="G123" s="218" t="inlineStr">
        <is>
          <t>REFEIÇÕES</t>
        </is>
      </c>
      <c r="H123" s="218" t="inlineStr">
        <is>
          <t>78</t>
        </is>
      </c>
      <c r="I123" s="219" t="n">
        <v>6343</v>
      </c>
      <c r="J123" s="218" t="inlineStr">
        <is>
          <t>ADMINISTRATIVO</t>
        </is>
      </c>
      <c r="K123" s="218" t="inlineStr">
        <is>
          <t>ALOJAMENTO, ALIMENTACAO E UTILIDADES</t>
        </is>
      </c>
      <c r="L123" s="222" t="str">
        <f>IF(B123&lt;&gt;"DESPESA","",IFERROR(VLOOKUP(K123,$P$5:$Q$16,2,FALSE),"?"))</f>
        <v>ADM</v>
      </c>
      <c r="M123" s="218" t="inlineStr">
        <is>
          <t>REALIZADO (até 30/04)</t>
        </is>
      </c>
      <c r="N123" s="272" t="inlineStr">
        <is>
          <t>SANEAGO_MOZARLANDIA_CUSTOS 30.04.2026.xlsx / FINANCEIRO ATE 30.04 / linha 135</t>
        </is>
      </c>
    </row>
    <row r="124">
      <c r="A124" s="222" t="n">
        <v>121</v>
      </c>
      <c r="B124" s="218" t="inlineStr">
        <is>
          <t>DESPESA</t>
        </is>
      </c>
      <c r="C124" s="220" t="n">
        <v>46078</v>
      </c>
      <c r="D124" s="220" t="n">
        <v>46108</v>
      </c>
      <c r="E124" s="335">
        <f>IF(D124="","",DATE(YEAR(D124),MONTH(D124),1))</f>
        <v>46082.0</v>
      </c>
      <c r="F124" s="218" t="inlineStr">
        <is>
          <t>PAPELARIA TRIBUTARIA LTDA</t>
        </is>
      </c>
      <c r="G124" s="218" t="inlineStr">
        <is>
          <t>MATERIAL ESCRITÓRIO</t>
        </is>
      </c>
      <c r="H124" s="218" t="inlineStr">
        <is>
          <t>806781</t>
        </is>
      </c>
      <c r="I124" s="219" t="n">
        <v>457</v>
      </c>
      <c r="J124" s="218" t="inlineStr">
        <is>
          <t>ADMINISTRATIVO</t>
        </is>
      </c>
      <c r="K124" s="218" t="inlineStr">
        <is>
          <t>ADMINISTRATIVO GERAL (seguros, honorarios, reembolsos, TI)</t>
        </is>
      </c>
      <c r="L124" s="222" t="str">
        <f>IF(B124&lt;&gt;"DESPESA","",IFERROR(VLOOKUP(K124,$P$5:$Q$16,2,FALSE),"?"))</f>
        <v>ADM</v>
      </c>
      <c r="M124" s="218" t="inlineStr">
        <is>
          <t>REALIZADO (até 30/04)</t>
        </is>
      </c>
      <c r="N124" s="272" t="inlineStr">
        <is>
          <t>SANEAGO_MOZARLANDIA_CUSTOS 30.04.2026.xlsx / FINANCEIRO ATE 30.04 / linha 136</t>
        </is>
      </c>
    </row>
    <row r="125">
      <c r="A125" s="222" t="n">
        <v>122</v>
      </c>
      <c r="B125" s="218" t="inlineStr">
        <is>
          <t>DESPESA</t>
        </is>
      </c>
      <c r="C125" s="220" t="n">
        <v>46093</v>
      </c>
      <c r="D125" s="220" t="n">
        <v>46108</v>
      </c>
      <c r="E125" s="335">
        <f>IF(D125="","",DATE(YEAR(D125),MONTH(D125),1))</f>
        <v>46082.0</v>
      </c>
      <c r="F125" s="218" t="inlineStr">
        <is>
          <t>PARANAFERROS</t>
        </is>
      </c>
      <c r="G125" s="218" t="inlineStr">
        <is>
          <t>MATERIAL APLICADO - ARAME RECOZIDO</t>
        </is>
      </c>
      <c r="H125" s="218" t="inlineStr">
        <is>
          <t>110681</t>
        </is>
      </c>
      <c r="I125" s="219" t="n">
        <v>480</v>
      </c>
      <c r="J125" s="218" t="inlineStr">
        <is>
          <t>CIVIL</t>
        </is>
      </c>
      <c r="K125" s="218" t="inlineStr">
        <is>
          <t>MATERIAIS E FERRAMENTAS</t>
        </is>
      </c>
      <c r="L125" s="222" t="str">
        <f>IF(B125&lt;&gt;"DESPESA","",IFERROR(VLOOKUP(K125,$P$5:$Q$16,2,FALSE),"?"))</f>
        <v>MAT</v>
      </c>
      <c r="M125" s="218" t="inlineStr">
        <is>
          <t>REALIZADO (até 30/04)</t>
        </is>
      </c>
      <c r="N125" s="272" t="inlineStr">
        <is>
          <t>SANEAGO_MOZARLANDIA_CUSTOS 30.04.2026.xlsx / FINANCEIRO ATE 30.04 / linha 137</t>
        </is>
      </c>
    </row>
    <row r="126">
      <c r="A126" s="222" t="n">
        <v>123</v>
      </c>
      <c r="B126" s="218" t="inlineStr">
        <is>
          <t>DESPESA</t>
        </is>
      </c>
      <c r="C126" s="220" t="n">
        <v>46084</v>
      </c>
      <c r="D126" s="220" t="n">
        <v>46109</v>
      </c>
      <c r="E126" s="335">
        <f>IF(D126="","",DATE(YEAR(D126),MONTH(D126),1))</f>
        <v>46082.0</v>
      </c>
      <c r="F126" s="218" t="inlineStr">
        <is>
          <t>MADEIMANAS MADEIREIRA MANAS LTDA</t>
        </is>
      </c>
      <c r="G126" s="218" t="inlineStr">
        <is>
          <t>MATERIAL CONSUMO - CIVIL</t>
        </is>
      </c>
      <c r="H126" s="218" t="inlineStr">
        <is>
          <t>BOLETO</t>
        </is>
      </c>
      <c r="I126" s="219" t="n">
        <v>491.63</v>
      </c>
      <c r="J126" s="218" t="inlineStr">
        <is>
          <t>CIVIL</t>
        </is>
      </c>
      <c r="K126" s="218" t="inlineStr">
        <is>
          <t>MATERIAIS E FERRAMENTAS</t>
        </is>
      </c>
      <c r="L126" s="222" t="str">
        <f>IF(B126&lt;&gt;"DESPESA","",IFERROR(VLOOKUP(K126,$P$5:$Q$16,2,FALSE),"?"))</f>
        <v>MAT</v>
      </c>
      <c r="M126" s="218" t="inlineStr">
        <is>
          <t>REALIZADO (até 30/04)</t>
        </is>
      </c>
      <c r="N126" s="272" t="inlineStr">
        <is>
          <t>SANEAGO_MOZARLANDIA_CUSTOS 30.04.2026.xlsx / FINANCEIRO ATE 30.04 / linha 138</t>
        </is>
      </c>
    </row>
    <row r="127">
      <c r="A127" s="222" t="n">
        <v>124</v>
      </c>
      <c r="B127" s="218" t="inlineStr">
        <is>
          <t>DESPESA</t>
        </is>
      </c>
      <c r="C127" s="220" t="n">
        <v>46085</v>
      </c>
      <c r="D127" s="220" t="n">
        <v>46110</v>
      </c>
      <c r="E127" s="335">
        <f>IF(D127="","",DATE(YEAR(D127),MONTH(D127),1))</f>
        <v>46082.0</v>
      </c>
      <c r="F127" s="218" t="inlineStr">
        <is>
          <t>IMPERCIA QUIMICA LTDA</t>
        </is>
      </c>
      <c r="G127" s="218" t="inlineStr">
        <is>
          <t>MATERIAL APLICADO - CIVIL</t>
        </is>
      </c>
      <c r="H127" s="218" t="inlineStr">
        <is>
          <t>154276</t>
        </is>
      </c>
      <c r="I127" s="219" t="n">
        <v>1344.74</v>
      </c>
      <c r="J127" s="218" t="inlineStr">
        <is>
          <t>CIVIL</t>
        </is>
      </c>
      <c r="K127" s="218" t="inlineStr">
        <is>
          <t>MATERIAIS E FERRAMENTAS</t>
        </is>
      </c>
      <c r="L127" s="222" t="str">
        <f>IF(B127&lt;&gt;"DESPESA","",IFERROR(VLOOKUP(K127,$P$5:$Q$16,2,FALSE),"?"))</f>
        <v>MAT</v>
      </c>
      <c r="M127" s="218" t="inlineStr">
        <is>
          <t>REALIZADO (até 30/04)</t>
        </is>
      </c>
      <c r="N127" s="272" t="inlineStr">
        <is>
          <t>SANEAGO_MOZARLANDIA_CUSTOS 30.04.2026.xlsx / FINANCEIRO ATE 30.04 / linha 139 | REPETIDA: mesmo NF 154276, fornecedor e valor (~1345) aparece 2x (vencimentos: 2026-03-29, 2026-04-28); parcela ou duplicidade, conferir</t>
        </is>
      </c>
    </row>
    <row r="128">
      <c r="A128" s="222" t="n">
        <v>125</v>
      </c>
      <c r="B128" s="218" t="inlineStr">
        <is>
          <t>DESPESA</t>
        </is>
      </c>
      <c r="C128" s="220" t="n">
        <v>46085</v>
      </c>
      <c r="D128" s="220" t="n">
        <v>46110</v>
      </c>
      <c r="E128" s="335">
        <f>IF(D128="","",DATE(YEAR(D128),MONTH(D128),1))</f>
        <v>46082.0</v>
      </c>
      <c r="F128" s="218" t="inlineStr">
        <is>
          <t>IMPERCIA QUIMICA LTDA</t>
        </is>
      </c>
      <c r="G128" s="218" t="inlineStr">
        <is>
          <t>MATERIAL APLICADO - CIVIL</t>
        </is>
      </c>
      <c r="H128" s="218" t="inlineStr">
        <is>
          <t>154308</t>
        </is>
      </c>
      <c r="I128" s="219" t="n">
        <v>1372.25</v>
      </c>
      <c r="J128" s="218" t="inlineStr">
        <is>
          <t>CIVIL</t>
        </is>
      </c>
      <c r="K128" s="218" t="inlineStr">
        <is>
          <t>MATERIAIS E FERRAMENTAS</t>
        </is>
      </c>
      <c r="L128" s="222" t="str">
        <f>IF(B128&lt;&gt;"DESPESA","",IFERROR(VLOOKUP(K128,$P$5:$Q$16,2,FALSE),"?"))</f>
        <v>MAT</v>
      </c>
      <c r="M128" s="218" t="inlineStr">
        <is>
          <t>REALIZADO (até 30/04)</t>
        </is>
      </c>
      <c r="N128" s="272" t="inlineStr">
        <is>
          <t>SANEAGO_MOZARLANDIA_CUSTOS 30.04.2026.xlsx / FINANCEIRO ATE 30.04 / linha 140 | REPETIDA: mesmo NF 154308, fornecedor e valor (~1372) aparece 2x (vencimentos: 2026-03-29, 2026-04-28); parcela ou duplicidade, conferir</t>
        </is>
      </c>
    </row>
    <row r="129">
      <c r="A129" s="222" t="n">
        <v>126</v>
      </c>
      <c r="B129" s="218" t="inlineStr">
        <is>
          <t>DESPESA</t>
        </is>
      </c>
      <c r="C129" s="220" t="n">
        <v>46098</v>
      </c>
      <c r="D129" s="220" t="n">
        <v>46111</v>
      </c>
      <c r="E129" s="335">
        <f>IF(D129="","",DATE(YEAR(D129),MONTH(D129),1))</f>
        <v>46082.0</v>
      </c>
      <c r="F129" s="218" t="inlineStr">
        <is>
          <t>COMERCIO DE COMBUSTIVEIS EBENEZER LTDA</t>
        </is>
      </c>
      <c r="G129" s="218" t="inlineStr">
        <is>
          <t>COMBUSTÍVEIS</t>
        </is>
      </c>
      <c r="H129" s="218" t="inlineStr">
        <is>
          <t>15644</t>
        </is>
      </c>
      <c r="I129" s="219" t="n">
        <v>1306.45</v>
      </c>
      <c r="J129" s="218" t="inlineStr">
        <is>
          <t>ADMINISTRATIVO</t>
        </is>
      </c>
      <c r="K129" s="218" t="inlineStr">
        <is>
          <t>COMBUSTIVEIS</t>
        </is>
      </c>
      <c r="L129" s="222" t="str">
        <f>IF(B129&lt;&gt;"DESPESA","",IFERROR(VLOOKUP(K129,$P$5:$Q$16,2,FALSE),"?"))</f>
        <v>EQP</v>
      </c>
      <c r="M129" s="218" t="inlineStr">
        <is>
          <t>REALIZADO (até 30/04)</t>
        </is>
      </c>
      <c r="N129" s="272" t="inlineStr">
        <is>
          <t>SANEAGO_MOZARLANDIA_CUSTOS 30.04.2026.xlsx / FINANCEIRO ATE 30.04 / linha 141</t>
        </is>
      </c>
    </row>
    <row r="130">
      <c r="A130" s="222" t="n">
        <v>127</v>
      </c>
      <c r="B130" s="218" t="inlineStr">
        <is>
          <t>DESPESA</t>
        </is>
      </c>
      <c r="C130" s="220" t="n">
        <v>46055</v>
      </c>
      <c r="D130" s="220" t="n">
        <v>46111</v>
      </c>
      <c r="E130" s="335">
        <f>IF(D130="","",DATE(YEAR(D130),MONTH(D130),1))</f>
        <v>46082.0</v>
      </c>
      <c r="F130" s="218" t="inlineStr">
        <is>
          <t>JM APROTETORA COMERCIO DE EPI LTDA</t>
        </is>
      </c>
      <c r="G130" s="218" t="inlineStr">
        <is>
          <t>EPIs</t>
        </is>
      </c>
      <c r="H130" s="218" t="inlineStr">
        <is>
          <t>1679</t>
        </is>
      </c>
      <c r="I130" s="219" t="n">
        <v>1000</v>
      </c>
      <c r="J130" s="218" t="inlineStr">
        <is>
          <t>ADMINISTRATIVO</t>
        </is>
      </c>
      <c r="K130" s="218" t="inlineStr">
        <is>
          <t>SEGURANCA DO TRABALHO (EPI/UNIFORMES)</t>
        </is>
      </c>
      <c r="L130" s="222" t="str">
        <f>IF(B130&lt;&gt;"DESPESA","",IFERROR(VLOOKUP(K130,$P$5:$Q$16,2,FALSE),"?"))</f>
        <v>ADM</v>
      </c>
      <c r="M130" s="218" t="inlineStr">
        <is>
          <t>REALIZADO (até 30/04)</t>
        </is>
      </c>
      <c r="N130" s="272" t="inlineStr">
        <is>
          <t>SANEAGO_MOZARLANDIA_CUSTOS 30.04.2026.xlsx / FINANCEIRO ATE 30.04 / linha 142 | REPETIDA: mesmo NF 1679, fornecedor e valor (~1000) aparece 4x (vencimentos: 2026-03-02, 2026-03-09, 2026-03-16, 2026-03-30); parcela ou duplicidade, conferir</t>
        </is>
      </c>
    </row>
    <row r="131">
      <c r="A131" s="222" t="n">
        <v>128</v>
      </c>
      <c r="B131" s="218" t="inlineStr">
        <is>
          <t>DESPESA</t>
        </is>
      </c>
      <c r="C131" s="220" t="n">
        <v>46112</v>
      </c>
      <c r="D131" s="220" t="n">
        <v>46112</v>
      </c>
      <c r="E131" s="335">
        <f>IF(D131="","",DATE(YEAR(D131),MONTH(D131),1))</f>
        <v>46082.0</v>
      </c>
      <c r="F131" s="218" t="inlineStr">
        <is>
          <t>AF DE OLIVEIRA</t>
        </is>
      </c>
      <c r="G131" s="218" t="inlineStr">
        <is>
          <t>UTENSILIOS OBRA MOZARLÃNDIA - MESA/CADEIRAS</t>
        </is>
      </c>
      <c r="H131" s="218" t="inlineStr">
        <is>
          <t>16552</t>
        </is>
      </c>
      <c r="I131" s="219" t="n">
        <v>320</v>
      </c>
      <c r="J131" s="218" t="inlineStr">
        <is>
          <t>ADMINISTRATIVO</t>
        </is>
      </c>
      <c r="K131" s="218" t="inlineStr">
        <is>
          <t>ALOJAMENTO, ALIMENTACAO E UTILIDADES</t>
        </is>
      </c>
      <c r="L131" s="222" t="str">
        <f>IF(B131&lt;&gt;"DESPESA","",IFERROR(VLOOKUP(K131,$P$5:$Q$16,2,FALSE),"?"))</f>
        <v>ADM</v>
      </c>
      <c r="M131" s="218" t="inlineStr">
        <is>
          <t>REALIZADO (até 30/04)</t>
        </is>
      </c>
      <c r="N131" s="272" t="inlineStr">
        <is>
          <t>SANEAGO_MOZARLANDIA_CUSTOS 30.04.2026.xlsx / FINANCEIRO ATE 30.04 / linha 143</t>
        </is>
      </c>
    </row>
    <row r="132">
      <c r="A132" s="222" t="n">
        <v>129</v>
      </c>
      <c r="B132" s="218" t="inlineStr">
        <is>
          <t>APORTE</t>
        </is>
      </c>
      <c r="C132" s="220" t="n">
        <v>46112</v>
      </c>
      <c r="D132" s="220" t="n">
        <v>46112</v>
      </c>
      <c r="E132" s="335">
        <f>IF(D132="","",DATE(YEAR(D132),MONTH(D132),1))</f>
        <v>46082.0</v>
      </c>
      <c r="F132" s="218" t="inlineStr">
        <is>
          <t>TECNOBOMBAS</t>
        </is>
      </c>
      <c r="G132" s="218" t="inlineStr">
        <is>
          <t>APORTE DA TECNOBOMBAS</t>
        </is>
      </c>
      <c r="H132" s="218" t="inlineStr">
        <is>
          <t>PIX</t>
        </is>
      </c>
      <c r="I132" s="219" t="n">
        <v>18000</v>
      </c>
      <c r="J132" s="218" t="inlineStr">
        <is>
          <t>APORTE</t>
        </is>
      </c>
      <c r="K132" s="218" t="inlineStr">
        <is>
          <t>APORTE</t>
        </is>
      </c>
      <c r="L132" s="222">
        <f>IF(B132&lt;&gt;"DESPESA","",IFERROR(VLOOKUP(K132,$P$5:$Q$16,2,FALSE),"?"))</f>
      </c>
      <c r="M132" s="218" t="inlineStr">
        <is>
          <t>REALIZADO (até 30/04)</t>
        </is>
      </c>
      <c r="N132" s="272" t="inlineStr">
        <is>
          <t>SANEAGO_MOZARLANDIA_CUSTOS 30.04.2026.xlsx / FINANCEIRO ATE 30.04 / linha 144</t>
        </is>
      </c>
    </row>
    <row r="133">
      <c r="A133" s="222" t="n">
        <v>130</v>
      </c>
      <c r="B133" s="218" t="inlineStr">
        <is>
          <t>DESPESA</t>
        </is>
      </c>
      <c r="C133" s="220" t="n">
        <v>46097</v>
      </c>
      <c r="D133" s="220" t="n">
        <v>46112</v>
      </c>
      <c r="E133" s="335">
        <f>IF(D133="","",DATE(YEAR(D133),MONTH(D133),1))</f>
        <v>46082.0</v>
      </c>
      <c r="F133" s="218" t="inlineStr">
        <is>
          <t>RICARLOS ALVES DE OLIVEIRA</t>
        </is>
      </c>
      <c r="G133" s="218" t="inlineStr">
        <is>
          <t>PRESTAÇÃO SERVIÇOS - ENGª CIVIL - 03/26</t>
        </is>
      </c>
      <c r="H133" s="218" t="inlineStr">
        <is>
          <t>01390</t>
        </is>
      </c>
      <c r="I133" s="219" t="n">
        <v>15000</v>
      </c>
      <c r="J133" s="218" t="inlineStr">
        <is>
          <t>CIVIL</t>
        </is>
      </c>
      <c r="K133" s="218" t="inlineStr">
        <is>
          <t>ENGENHARIA/PRESTACAO DE SERVICOS PJ</t>
        </is>
      </c>
      <c r="L133" s="222" t="str">
        <f>IF(B133&lt;&gt;"DESPESA","",IFERROR(VLOOKUP(K133,$P$5:$Q$16,2,FALSE),"?"))</f>
        <v>ADM</v>
      </c>
      <c r="M133" s="218" t="inlineStr">
        <is>
          <t>REALIZADO (até 30/04)</t>
        </is>
      </c>
      <c r="N133" s="272" t="inlineStr">
        <is>
          <t>SANEAGO_MOZARLANDIA_CUSTOS 30.04.2026.xlsx / FINANCEIRO ATE 30.04 / linha 145</t>
        </is>
      </c>
    </row>
    <row r="134">
      <c r="A134" s="222" t="n">
        <v>131</v>
      </c>
      <c r="B134" s="218" t="inlineStr">
        <is>
          <t>DESPESA</t>
        </is>
      </c>
      <c r="C134" s="220" t="n">
        <v>46083</v>
      </c>
      <c r="D134" s="220" t="n">
        <v>46113</v>
      </c>
      <c r="E134" s="335">
        <f>IF(D134="","",DATE(YEAR(D134),MONTH(D134),1))</f>
        <v>46113.0</v>
      </c>
      <c r="F134" s="218" t="inlineStr">
        <is>
          <t>KAPITAO AMERICA EQUIPAMENTOS SEGURANCA</t>
        </is>
      </c>
      <c r="G134" s="218" t="inlineStr">
        <is>
          <t>EPIS</t>
        </is>
      </c>
      <c r="H134" s="218" t="inlineStr">
        <is>
          <t>236359</t>
        </is>
      </c>
      <c r="I134" s="219" t="n">
        <v>290</v>
      </c>
      <c r="J134" s="218" t="inlineStr">
        <is>
          <t>ADMINISTRATIVO</t>
        </is>
      </c>
      <c r="K134" s="218" t="inlineStr">
        <is>
          <t>SEGURANCA DO TRABALHO (EPI/UNIFORMES)</t>
        </is>
      </c>
      <c r="L134" s="222" t="str">
        <f>IF(B134&lt;&gt;"DESPESA","",IFERROR(VLOOKUP(K134,$P$5:$Q$16,2,FALSE),"?"))</f>
        <v>ADM</v>
      </c>
      <c r="M134" s="218" t="inlineStr">
        <is>
          <t>REALIZADO (até 30/04)</t>
        </is>
      </c>
      <c r="N134" s="272" t="inlineStr">
        <is>
          <t>SANEAGO_MOZARLANDIA_CUSTOS 30.04.2026.xlsx / FINANCEIRO ATE 30.04 / linha 146</t>
        </is>
      </c>
    </row>
    <row r="135">
      <c r="A135" s="222" t="n">
        <v>132</v>
      </c>
      <c r="B135" s="218" t="inlineStr">
        <is>
          <t>DESPESA</t>
        </is>
      </c>
      <c r="C135" s="220" t="n">
        <v>46083</v>
      </c>
      <c r="D135" s="220" t="n">
        <v>46113</v>
      </c>
      <c r="E135" s="335">
        <f>IF(D135="","",DATE(YEAR(D135),MONTH(D135),1))</f>
        <v>46113.0</v>
      </c>
      <c r="F135" s="218" t="inlineStr">
        <is>
          <t>KAPITAO AMERICA EQUIPAMENTOS SEGURANCA</t>
        </is>
      </c>
      <c r="G135" s="218" t="inlineStr">
        <is>
          <t>EPIS</t>
        </is>
      </c>
      <c r="H135" s="218" t="inlineStr">
        <is>
          <t>236367</t>
        </is>
      </c>
      <c r="I135" s="219" t="n">
        <v>315</v>
      </c>
      <c r="J135" s="218" t="inlineStr">
        <is>
          <t>ADMINISTRATIVO</t>
        </is>
      </c>
      <c r="K135" s="218" t="inlineStr">
        <is>
          <t>SEGURANCA DO TRABALHO (EPI/UNIFORMES)</t>
        </is>
      </c>
      <c r="L135" s="222" t="str">
        <f>IF(B135&lt;&gt;"DESPESA","",IFERROR(VLOOKUP(K135,$P$5:$Q$16,2,FALSE),"?"))</f>
        <v>ADM</v>
      </c>
      <c r="M135" s="218" t="inlineStr">
        <is>
          <t>REALIZADO (até 30/04)</t>
        </is>
      </c>
      <c r="N135" s="272" t="inlineStr">
        <is>
          <t>SANEAGO_MOZARLANDIA_CUSTOS 30.04.2026.xlsx / FINANCEIRO ATE 30.04 / linha 147 | REPETIDA: mesmo NF 236367, fornecedor e valor (~315) aparece 2x (vencimentos: 2026-04-01, 2026-05-01); parcela ou duplicidade, conferir</t>
        </is>
      </c>
    </row>
    <row r="136">
      <c r="A136" s="222" t="n">
        <v>133</v>
      </c>
      <c r="B136" s="218" t="inlineStr">
        <is>
          <t>DESPESA</t>
        </is>
      </c>
      <c r="C136" s="220" t="n">
        <v>46083</v>
      </c>
      <c r="D136" s="220" t="n">
        <v>46113</v>
      </c>
      <c r="E136" s="335">
        <f>IF(D136="","",DATE(YEAR(D136),MONTH(D136),1))</f>
        <v>46113.0</v>
      </c>
      <c r="F136" s="218" t="inlineStr">
        <is>
          <t>KAPITAO AMERICA EQUIPAMENTOS SEGURANCA</t>
        </is>
      </c>
      <c r="G136" s="218" t="inlineStr">
        <is>
          <t>EPIS</t>
        </is>
      </c>
      <c r="H136" s="218" t="inlineStr">
        <is>
          <t>236361</t>
        </is>
      </c>
      <c r="I136" s="219" t="n">
        <v>190</v>
      </c>
      <c r="J136" s="218" t="inlineStr">
        <is>
          <t>ADMINISTRATIVO</t>
        </is>
      </c>
      <c r="K136" s="218" t="inlineStr">
        <is>
          <t>SEGURANCA DO TRABALHO (EPI/UNIFORMES)</t>
        </is>
      </c>
      <c r="L136" s="222" t="str">
        <f>IF(B136&lt;&gt;"DESPESA","",IFERROR(VLOOKUP(K136,$P$5:$Q$16,2,FALSE),"?"))</f>
        <v>ADM</v>
      </c>
      <c r="M136" s="218" t="inlineStr">
        <is>
          <t>REALIZADO (até 30/04)</t>
        </is>
      </c>
      <c r="N136" s="272" t="inlineStr">
        <is>
          <t>SANEAGO_MOZARLANDIA_CUSTOS 30.04.2026.xlsx / FINANCEIRO ATE 30.04 / linha 148</t>
        </is>
      </c>
    </row>
    <row r="137">
      <c r="A137" s="222" t="n">
        <v>134</v>
      </c>
      <c r="B137" s="218" t="inlineStr">
        <is>
          <t>DESPESA</t>
        </is>
      </c>
      <c r="C137" s="220" t="n">
        <v>46083</v>
      </c>
      <c r="D137" s="220" t="n">
        <v>46113</v>
      </c>
      <c r="E137" s="335">
        <f>IF(D137="","",DATE(YEAR(D137),MONTH(D137),1))</f>
        <v>46113.0</v>
      </c>
      <c r="F137" s="218" t="inlineStr">
        <is>
          <t>PENTAGONO EQUIP PROTECAO INDIVIDUAL</t>
        </is>
      </c>
      <c r="G137" s="218" t="inlineStr">
        <is>
          <t>EPIS</t>
        </is>
      </c>
      <c r="H137" s="218" t="inlineStr">
        <is>
          <t>91130</t>
        </is>
      </c>
      <c r="I137" s="219" t="n">
        <v>170</v>
      </c>
      <c r="J137" s="218" t="inlineStr">
        <is>
          <t>ADMINISTRATIVO</t>
        </is>
      </c>
      <c r="K137" s="218" t="inlineStr">
        <is>
          <t>SEGURANCA DO TRABALHO (EPI/UNIFORMES)</t>
        </is>
      </c>
      <c r="L137" s="222" t="str">
        <f>IF(B137&lt;&gt;"DESPESA","",IFERROR(VLOOKUP(K137,$P$5:$Q$16,2,FALSE),"?"))</f>
        <v>ADM</v>
      </c>
      <c r="M137" s="218" t="inlineStr">
        <is>
          <t>REALIZADO (até 30/04)</t>
        </is>
      </c>
      <c r="N137" s="272" t="inlineStr">
        <is>
          <t>SANEAGO_MOZARLANDIA_CUSTOS 30.04.2026.xlsx / FINANCEIRO ATE 30.04 / linha 149</t>
        </is>
      </c>
    </row>
    <row r="138">
      <c r="A138" s="222" t="n">
        <v>135</v>
      </c>
      <c r="B138" s="218" t="inlineStr">
        <is>
          <t>DESPESA</t>
        </is>
      </c>
      <c r="C138" s="220" t="n">
        <v>46084</v>
      </c>
      <c r="D138" s="220" t="n">
        <v>46113</v>
      </c>
      <c r="E138" s="335">
        <f>IF(D138="","",DATE(YEAR(D138),MONTH(D138),1))</f>
        <v>46113.0</v>
      </c>
      <c r="F138" s="218" t="inlineStr">
        <is>
          <t>MADEIMANAS MADEIREIRA MANAS LTDA</t>
        </is>
      </c>
      <c r="G138" s="218" t="inlineStr">
        <is>
          <t>CONSUMO - CIVIL</t>
        </is>
      </c>
      <c r="H138" s="218" t="inlineStr">
        <is>
          <t>Boleto</t>
        </is>
      </c>
      <c r="I138" s="219" t="n">
        <v>579.75</v>
      </c>
      <c r="J138" s="218" t="inlineStr">
        <is>
          <t>ADMINISTRATIVO</t>
        </is>
      </c>
      <c r="K138" s="218" t="inlineStr">
        <is>
          <t>MATERIAIS E FERRAMENTAS</t>
        </is>
      </c>
      <c r="L138" s="222" t="str">
        <f>IF(B138&lt;&gt;"DESPESA","",IFERROR(VLOOKUP(K138,$P$5:$Q$16,2,FALSE),"?"))</f>
        <v>MAT</v>
      </c>
      <c r="M138" s="218" t="inlineStr">
        <is>
          <t>REALIZADO (até 30/04)</t>
        </is>
      </c>
      <c r="N138" s="272" t="inlineStr">
        <is>
          <t>SANEAGO_MOZARLANDIA_CUSTOS 30.04.2026.xlsx / FINANCEIRO ATE 30.04 / linha 150</t>
        </is>
      </c>
    </row>
    <row r="139">
      <c r="A139" s="222" t="n">
        <v>136</v>
      </c>
      <c r="B139" s="218" t="inlineStr">
        <is>
          <t>DESPESA</t>
        </is>
      </c>
      <c r="C139" s="220" t="n">
        <v>46105</v>
      </c>
      <c r="D139" s="220" t="n">
        <v>46113</v>
      </c>
      <c r="E139" s="335">
        <f>IF(D139="","",DATE(YEAR(D139),MONTH(D139),1))</f>
        <v>46113.0</v>
      </c>
      <c r="F139" s="218" t="inlineStr">
        <is>
          <t>SANEAGO (faturas de agua)</t>
        </is>
      </c>
      <c r="G139" s="218" t="inlineStr">
        <is>
          <t>FATURA ÁGUA - ALOJAMENTO</t>
        </is>
      </c>
      <c r="H139" s="218" t="inlineStr">
        <is>
          <t>4093225953</t>
        </is>
      </c>
      <c r="I139" s="219" t="n">
        <v>55.15</v>
      </c>
      <c r="J139" s="218" t="inlineStr">
        <is>
          <t>ADMINISTRATIVO</t>
        </is>
      </c>
      <c r="K139" s="218" t="inlineStr">
        <is>
          <t>ALOJAMENTO, ALIMENTACAO E UTILIDADES</t>
        </is>
      </c>
      <c r="L139" s="222" t="str">
        <f>IF(B139&lt;&gt;"DESPESA","",IFERROR(VLOOKUP(K139,$P$5:$Q$16,2,FALSE),"?"))</f>
        <v>ADM</v>
      </c>
      <c r="M139" s="218" t="inlineStr">
        <is>
          <t>REALIZADO (até 30/04)</t>
        </is>
      </c>
      <c r="N139" s="272" t="inlineStr">
        <is>
          <t>SANEAGO_MOZARLANDIA_CUSTOS 30.04.2026.xlsx / FINANCEIRO ATE 30.04 / linha 151</t>
        </is>
      </c>
    </row>
    <row r="140">
      <c r="A140" s="222" t="n">
        <v>137</v>
      </c>
      <c r="B140" s="218" t="inlineStr">
        <is>
          <t>DESPESA</t>
        </is>
      </c>
      <c r="C140" s="220" t="n">
        <v>45993</v>
      </c>
      <c r="D140" s="220" t="n">
        <v>46114</v>
      </c>
      <c r="E140" s="335">
        <f>IF(D140="","",DATE(YEAR(D140),MONTH(D140),1))</f>
        <v>46113.0</v>
      </c>
      <c r="F140" s="218" t="inlineStr">
        <is>
          <t>POTTENCIAL SEGURADORA S.A.</t>
        </is>
      </c>
      <c r="G140" s="218" t="inlineStr">
        <is>
          <t>APÓLICE SEGURO GARANTIA</t>
        </is>
      </c>
      <c r="H140" s="218" t="inlineStr">
        <is>
          <t>Boleto</t>
        </is>
      </c>
      <c r="I140" s="219" t="n">
        <v>2172.66</v>
      </c>
      <c r="J140" s="218" t="inlineStr">
        <is>
          <t>ADMINISTRATIVO</t>
        </is>
      </c>
      <c r="K140" s="218" t="inlineStr">
        <is>
          <t>ADMINISTRATIVO GERAL (seguros, honorarios, reembolsos, TI)</t>
        </is>
      </c>
      <c r="L140" s="222" t="str">
        <f>IF(B140&lt;&gt;"DESPESA","",IFERROR(VLOOKUP(K140,$P$5:$Q$16,2,FALSE),"?"))</f>
        <v>ADM</v>
      </c>
      <c r="M140" s="218" t="inlineStr">
        <is>
          <t>REALIZADO (até 30/04)</t>
        </is>
      </c>
      <c r="N140" s="272" t="inlineStr">
        <is>
          <t>SANEAGO_MOZARLANDIA_CUSTOS 30.04.2026.xlsx / FINANCEIRO ATE 30.04 / linha 152</t>
        </is>
      </c>
    </row>
    <row r="141">
      <c r="A141" s="222" t="n">
        <v>138</v>
      </c>
      <c r="B141" s="218" t="inlineStr">
        <is>
          <t>DESPESA</t>
        </is>
      </c>
      <c r="C141" s="220" t="n">
        <v>46084</v>
      </c>
      <c r="D141" s="220" t="n">
        <v>46114</v>
      </c>
      <c r="E141" s="335">
        <f>IF(D141="","",DATE(YEAR(D141),MONTH(D141),1))</f>
        <v>46113.0</v>
      </c>
      <c r="F141" s="218" t="inlineStr">
        <is>
          <t>CRS COMERCIO E REPRESENTACAO LTDA</t>
        </is>
      </c>
      <c r="G141" s="218" t="inlineStr">
        <is>
          <t>MATERIAL APLICADO</t>
        </is>
      </c>
      <c r="H141" s="218" t="inlineStr">
        <is>
          <t>630501</t>
        </is>
      </c>
      <c r="I141" s="219" t="n">
        <v>545.1</v>
      </c>
      <c r="J141" s="218" t="inlineStr">
        <is>
          <t>CIVIL</t>
        </is>
      </c>
      <c r="K141" s="218" t="inlineStr">
        <is>
          <t>MATERIAIS E FERRAMENTAS</t>
        </is>
      </c>
      <c r="L141" s="222" t="str">
        <f>IF(B141&lt;&gt;"DESPESA","",IFERROR(VLOOKUP(K141,$P$5:$Q$16,2,FALSE),"?"))</f>
        <v>MAT</v>
      </c>
      <c r="M141" s="218" t="inlineStr">
        <is>
          <t>REALIZADO (até 30/04)</t>
        </is>
      </c>
      <c r="N141" s="272" t="inlineStr">
        <is>
          <t>SANEAGO_MOZARLANDIA_CUSTOS 30.04.2026.xlsx / FINANCEIRO ATE 30.04 / linha 153</t>
        </is>
      </c>
    </row>
    <row r="142">
      <c r="A142" s="222" t="n">
        <v>139</v>
      </c>
      <c r="B142" s="218" t="inlineStr">
        <is>
          <t>DESPESA</t>
        </is>
      </c>
      <c r="C142" s="220" t="n">
        <v>46098</v>
      </c>
      <c r="D142" s="220" t="n">
        <v>46114</v>
      </c>
      <c r="E142" s="335">
        <f>IF(D142="","",DATE(YEAR(D142),MONTH(D142),1))</f>
        <v>46113.0</v>
      </c>
      <c r="F142" s="218" t="inlineStr">
        <is>
          <t>ALVES E ROCHA LTDA</t>
        </is>
      </c>
      <c r="G142" s="218" t="inlineStr">
        <is>
          <t>COMBUSTÍVEIS</t>
        </is>
      </c>
      <c r="H142" s="218" t="inlineStr">
        <is>
          <t>17520</t>
        </is>
      </c>
      <c r="I142" s="219" t="n">
        <v>748.6799999999999</v>
      </c>
      <c r="J142" s="218" t="inlineStr">
        <is>
          <t>ADMINISTRATIVO</t>
        </is>
      </c>
      <c r="K142" s="218" t="inlineStr">
        <is>
          <t>COMBUSTIVEIS</t>
        </is>
      </c>
      <c r="L142" s="222" t="str">
        <f>IF(B142&lt;&gt;"DESPESA","",IFERROR(VLOOKUP(K142,$P$5:$Q$16,2,FALSE),"?"))</f>
        <v>EQP</v>
      </c>
      <c r="M142" s="218" t="inlineStr">
        <is>
          <t>REALIZADO (até 30/04)</t>
        </is>
      </c>
      <c r="N142" s="272" t="inlineStr">
        <is>
          <t>SANEAGO_MOZARLANDIA_CUSTOS 30.04.2026.xlsx / FINANCEIRO ATE 30.04 / linha 154</t>
        </is>
      </c>
    </row>
    <row r="143">
      <c r="A143" s="222" t="n">
        <v>140</v>
      </c>
      <c r="B143" s="218" t="inlineStr">
        <is>
          <t>DESPESA</t>
        </is>
      </c>
      <c r="C143" s="220" t="n">
        <v>46105</v>
      </c>
      <c r="D143" s="220" t="n">
        <v>46114</v>
      </c>
      <c r="E143" s="335">
        <f>IF(D143="","",DATE(YEAR(D143),MONTH(D143),1))</f>
        <v>46113.0</v>
      </c>
      <c r="F143" s="218" t="inlineStr">
        <is>
          <t>ISMAEL SANSAO DE SOUSA SANTOS</t>
        </is>
      </c>
      <c r="G143" s="218" t="inlineStr">
        <is>
          <t>RESCISÃO</t>
        </is>
      </c>
      <c r="H143" s="218" t="inlineStr">
        <is>
          <t>TRCT</t>
        </is>
      </c>
      <c r="I143" s="219" t="n">
        <v>1029.7</v>
      </c>
      <c r="J143" s="218" t="inlineStr">
        <is>
          <t>ADMINISTRATIVO</t>
        </is>
      </c>
      <c r="K143" s="218" t="inlineStr">
        <is>
          <t>PESSOAL E ENCARGOS</t>
        </is>
      </c>
      <c r="L143" s="222" t="str">
        <f>IF(B143&lt;&gt;"DESPESA","",IFERROR(VLOOKUP(K143,$P$5:$Q$16,2,FALSE),"?"))</f>
        <v>MO</v>
      </c>
      <c r="M143" s="218" t="inlineStr">
        <is>
          <t>REALIZADO (até 30/04)</t>
        </is>
      </c>
      <c r="N143" s="272" t="inlineStr">
        <is>
          <t>SANEAGO_MOZARLANDIA_CUSTOS 30.04.2026.xlsx / FINANCEIRO ATE 30.04 / linha 155</t>
        </is>
      </c>
    </row>
    <row r="144">
      <c r="A144" s="222" t="n">
        <v>141</v>
      </c>
      <c r="B144" s="218" t="inlineStr">
        <is>
          <t>DESPESA</t>
        </is>
      </c>
      <c r="C144" s="220" t="n">
        <v>46114</v>
      </c>
      <c r="D144" s="220" t="n">
        <v>46114</v>
      </c>
      <c r="E144" s="335">
        <f>IF(D144="","",DATE(YEAR(D144),MONTH(D144),1))</f>
        <v>46113.0</v>
      </c>
      <c r="F144" s="218" t="inlineStr">
        <is>
          <t>CLAUDIO MOREIRA AGAPITO</t>
        </is>
      </c>
      <c r="G144" s="218" t="inlineStr">
        <is>
          <t>REEMBOLSO PASSAGENS</t>
        </is>
      </c>
      <c r="H144" s="218" t="inlineStr">
        <is>
          <t>Recibo</t>
        </is>
      </c>
      <c r="I144" s="219" t="n">
        <v>261.26</v>
      </c>
      <c r="J144" s="218" t="inlineStr">
        <is>
          <t>ADMINISTRATIVO</t>
        </is>
      </c>
      <c r="K144" s="218" t="inlineStr">
        <is>
          <t>ADMINISTRATIVO GERAL (seguros, honorarios, reembolsos, TI)</t>
        </is>
      </c>
      <c r="L144" s="222" t="str">
        <f>IF(B144&lt;&gt;"DESPESA","",IFERROR(VLOOKUP(K144,$P$5:$Q$16,2,FALSE),"?"))</f>
        <v>ADM</v>
      </c>
      <c r="M144" s="218" t="inlineStr">
        <is>
          <t>REALIZADO (até 30/04)</t>
        </is>
      </c>
      <c r="N144" s="272" t="inlineStr">
        <is>
          <t>SANEAGO_MOZARLANDIA_CUSTOS 30.04.2026.xlsx / FINANCEIRO ATE 30.04 / linha 156</t>
        </is>
      </c>
    </row>
    <row r="145">
      <c r="A145" s="222" t="n">
        <v>142</v>
      </c>
      <c r="B145" s="218" t="inlineStr">
        <is>
          <t>DESPESA</t>
        </is>
      </c>
      <c r="C145" s="220" t="n">
        <v>46114</v>
      </c>
      <c r="D145" s="220" t="n">
        <v>46114</v>
      </c>
      <c r="E145" s="335">
        <f>IF(D145="","",DATE(YEAR(D145),MONTH(D145),1))</f>
        <v>46113.0</v>
      </c>
      <c r="F145" s="218" t="inlineStr">
        <is>
          <t>PEDREIRA BANDEIRANTES LTDA</t>
        </is>
      </c>
      <c r="G145" s="218" t="inlineStr">
        <is>
          <t>MATERIAL APLICADO - BICA CORRIDA</t>
        </is>
      </c>
      <c r="H145" s="218" t="inlineStr">
        <is>
          <t>12520</t>
        </is>
      </c>
      <c r="I145" s="219" t="n">
        <v>2400</v>
      </c>
      <c r="J145" s="218" t="inlineStr">
        <is>
          <t>CIVIL</t>
        </is>
      </c>
      <c r="K145" s="218" t="inlineStr">
        <is>
          <t>MATERIAIS E FERRAMENTAS</t>
        </is>
      </c>
      <c r="L145" s="222" t="str">
        <f>IF(B145&lt;&gt;"DESPESA","",IFERROR(VLOOKUP(K145,$P$5:$Q$16,2,FALSE),"?"))</f>
        <v>MAT</v>
      </c>
      <c r="M145" s="218" t="inlineStr">
        <is>
          <t>REALIZADO (até 30/04)</t>
        </is>
      </c>
      <c r="N145" s="272" t="inlineStr">
        <is>
          <t>SANEAGO_MOZARLANDIA_CUSTOS 30.04.2026.xlsx / FINANCEIRO ATE 30.04 / linha 157</t>
        </is>
      </c>
    </row>
    <row r="146">
      <c r="A146" s="222" t="n">
        <v>143</v>
      </c>
      <c r="B146" s="218" t="inlineStr">
        <is>
          <t>DESPESA</t>
        </is>
      </c>
      <c r="C146" s="220" t="n">
        <v>46085</v>
      </c>
      <c r="D146" s="220" t="n">
        <v>46115</v>
      </c>
      <c r="E146" s="335">
        <f>IF(D146="","",DATE(YEAR(D146),MONTH(D146),1))</f>
        <v>46113.0</v>
      </c>
      <c r="F146" s="218" t="inlineStr">
        <is>
          <t>AGNOS COMERCIO DE PARAFUSOS</t>
        </is>
      </c>
      <c r="G146" s="218" t="inlineStr">
        <is>
          <t>FERRAMENTAL</t>
        </is>
      </c>
      <c r="H146" s="218" t="inlineStr">
        <is>
          <t>233893</t>
        </is>
      </c>
      <c r="I146" s="219" t="n">
        <v>350</v>
      </c>
      <c r="J146" s="218" t="inlineStr">
        <is>
          <t>CIVIL</t>
        </is>
      </c>
      <c r="K146" s="218" t="inlineStr">
        <is>
          <t>MATERIAIS E FERRAMENTAS</t>
        </is>
      </c>
      <c r="L146" s="222" t="str">
        <f>IF(B146&lt;&gt;"DESPESA","",IFERROR(VLOOKUP(K146,$P$5:$Q$16,2,FALSE),"?"))</f>
        <v>MAT</v>
      </c>
      <c r="M146" s="218" t="inlineStr">
        <is>
          <t>REALIZADO (até 30/04)</t>
        </is>
      </c>
      <c r="N146" s="272" t="inlineStr">
        <is>
          <t>SANEAGO_MOZARLANDIA_CUSTOS 30.04.2026.xlsx / FINANCEIRO ATE 30.04 / linha 158 | REPETIDA: mesmo NF 233893, fornecedor e valor (~350) aparece 2x (vencimentos: 2026-04-03, 2026-05-03); parcela ou duplicidade, conferir</t>
        </is>
      </c>
    </row>
    <row r="147">
      <c r="A147" s="222" t="n">
        <v>144</v>
      </c>
      <c r="B147" s="218" t="inlineStr">
        <is>
          <t>DESPESA</t>
        </is>
      </c>
      <c r="C147" s="220" t="n">
        <v>46093</v>
      </c>
      <c r="D147" s="220" t="n">
        <v>46115</v>
      </c>
      <c r="E147" s="335">
        <f>IF(D147="","",DATE(YEAR(D147),MONTH(D147),1))</f>
        <v>46113.0</v>
      </c>
      <c r="F147" s="218" t="inlineStr">
        <is>
          <t>MADEIMANAS MADEIREIRA MANAS LTDA</t>
        </is>
      </c>
      <c r="G147" s="218" t="inlineStr">
        <is>
          <t>MATERIAL APLICADO / CONSUMO</t>
        </is>
      </c>
      <c r="H147" s="218" t="inlineStr">
        <is>
          <t>Boleto</t>
        </is>
      </c>
      <c r="I147" s="219" t="n">
        <v>831.48</v>
      </c>
      <c r="J147" s="218" t="inlineStr">
        <is>
          <t>CIVIL</t>
        </is>
      </c>
      <c r="K147" s="218" t="inlineStr">
        <is>
          <t>MATERIAIS E FERRAMENTAS</t>
        </is>
      </c>
      <c r="L147" s="222" t="str">
        <f>IF(B147&lt;&gt;"DESPESA","",IFERROR(VLOOKUP(K147,$P$5:$Q$16,2,FALSE),"?"))</f>
        <v>MAT</v>
      </c>
      <c r="M147" s="218" t="inlineStr">
        <is>
          <t>REALIZADO (até 30/04)</t>
        </is>
      </c>
      <c r="N147" s="272" t="inlineStr">
        <is>
          <t>SANEAGO_MOZARLANDIA_CUSTOS 30.04.2026.xlsx / FINANCEIRO ATE 30.04 / linha 159</t>
        </is>
      </c>
    </row>
    <row r="148">
      <c r="A148" s="222" t="n">
        <v>145</v>
      </c>
      <c r="B148" s="218" t="inlineStr">
        <is>
          <t>DESPESA</t>
        </is>
      </c>
      <c r="C148" s="220" t="n">
        <v>46079</v>
      </c>
      <c r="D148" s="220" t="n">
        <v>46118</v>
      </c>
      <c r="E148" s="335">
        <f>IF(D148="","",DATE(YEAR(D148),MONTH(D148),1))</f>
        <v>46113.0</v>
      </c>
      <c r="F148" s="218" t="inlineStr">
        <is>
          <t>MADEIMANAS MADEIREIRA MANAS LTDA</t>
        </is>
      </c>
      <c r="G148" s="218" t="inlineStr">
        <is>
          <t>MATERIAL APLICADO</t>
        </is>
      </c>
      <c r="H148" s="218" t="inlineStr">
        <is>
          <t>3486</t>
        </is>
      </c>
      <c r="I148" s="219" t="n">
        <v>1013.15</v>
      </c>
      <c r="J148" s="218" t="inlineStr">
        <is>
          <t>CIVIL</t>
        </is>
      </c>
      <c r="K148" s="218" t="inlineStr">
        <is>
          <t>MATERIAIS E FERRAMENTAS</t>
        </is>
      </c>
      <c r="L148" s="222" t="str">
        <f>IF(B148&lt;&gt;"DESPESA","",IFERROR(VLOOKUP(K148,$P$5:$Q$16,2,FALSE),"?"))</f>
        <v>MAT</v>
      </c>
      <c r="M148" s="218" t="inlineStr">
        <is>
          <t>REALIZADO (até 30/04)</t>
        </is>
      </c>
      <c r="N148" s="272" t="inlineStr">
        <is>
          <t>SANEAGO_MOZARLANDIA_CUSTOS 30.04.2026.xlsx / FINANCEIRO ATE 30.04 / linha 160</t>
        </is>
      </c>
    </row>
    <row r="149">
      <c r="A149" s="222" t="n">
        <v>146</v>
      </c>
      <c r="B149" s="218" t="inlineStr">
        <is>
          <t>DESPESA</t>
        </is>
      </c>
      <c r="C149" s="220" t="n">
        <v>46079</v>
      </c>
      <c r="D149" s="220" t="n">
        <v>46118</v>
      </c>
      <c r="E149" s="335">
        <f>IF(D149="","",DATE(YEAR(D149),MONTH(D149),1))</f>
        <v>46113.0</v>
      </c>
      <c r="F149" s="218" t="inlineStr">
        <is>
          <t>MADEIMANAS MADEIREIRA MANAS LTDA</t>
        </is>
      </c>
      <c r="G149" s="218" t="inlineStr">
        <is>
          <t>MATERIAL APLICADO</t>
        </is>
      </c>
      <c r="H149" s="218" t="inlineStr">
        <is>
          <t>3485</t>
        </is>
      </c>
      <c r="I149" s="219" t="n">
        <v>376.4</v>
      </c>
      <c r="J149" s="218" t="inlineStr">
        <is>
          <t>CIVIL</t>
        </is>
      </c>
      <c r="K149" s="218" t="inlineStr">
        <is>
          <t>MATERIAIS E FERRAMENTAS</t>
        </is>
      </c>
      <c r="L149" s="222" t="str">
        <f>IF(B149&lt;&gt;"DESPESA","",IFERROR(VLOOKUP(K149,$P$5:$Q$16,2,FALSE),"?"))</f>
        <v>MAT</v>
      </c>
      <c r="M149" s="218" t="inlineStr">
        <is>
          <t>REALIZADO (até 30/04)</t>
        </is>
      </c>
      <c r="N149" s="272" t="inlineStr">
        <is>
          <t>SANEAGO_MOZARLANDIA_CUSTOS 30.04.2026.xlsx / FINANCEIRO ATE 30.04 / linha 161</t>
        </is>
      </c>
    </row>
    <row r="150">
      <c r="A150" s="222" t="n">
        <v>147</v>
      </c>
      <c r="B150" s="218" t="inlineStr">
        <is>
          <t>DESPESA</t>
        </is>
      </c>
      <c r="C150" s="220" t="n">
        <v>46079</v>
      </c>
      <c r="D150" s="220" t="n">
        <v>46118</v>
      </c>
      <c r="E150" s="335">
        <f>IF(D150="","",DATE(YEAR(D150),MONTH(D150),1))</f>
        <v>46113.0</v>
      </c>
      <c r="F150" s="218" t="inlineStr">
        <is>
          <t>MADEIMANAS MADEIREIRA MANAS LTDA</t>
        </is>
      </c>
      <c r="G150" s="218" t="inlineStr">
        <is>
          <t>MATERIAL APLICADO</t>
        </is>
      </c>
      <c r="H150" s="218" t="inlineStr">
        <is>
          <t>3484</t>
        </is>
      </c>
      <c r="I150" s="219" t="n">
        <v>674.65</v>
      </c>
      <c r="J150" s="218" t="inlineStr">
        <is>
          <t>CIVIL</t>
        </is>
      </c>
      <c r="K150" s="218" t="inlineStr">
        <is>
          <t>MATERIAIS E FERRAMENTAS</t>
        </is>
      </c>
      <c r="L150" s="222" t="str">
        <f>IF(B150&lt;&gt;"DESPESA","",IFERROR(VLOOKUP(K150,$P$5:$Q$16,2,FALSE),"?"))</f>
        <v>MAT</v>
      </c>
      <c r="M150" s="218" t="inlineStr">
        <is>
          <t>REALIZADO (até 30/04)</t>
        </is>
      </c>
      <c r="N150" s="272" t="inlineStr">
        <is>
          <t>SANEAGO_MOZARLANDIA_CUSTOS 30.04.2026.xlsx / FINANCEIRO ATE 30.04 / linha 162</t>
        </is>
      </c>
    </row>
    <row r="151">
      <c r="A151" s="222" t="n">
        <v>148</v>
      </c>
      <c r="B151" s="218" t="inlineStr">
        <is>
          <t>DESPESA</t>
        </is>
      </c>
      <c r="C151" s="220" t="n">
        <v>46087</v>
      </c>
      <c r="D151" s="220" t="n">
        <v>46118</v>
      </c>
      <c r="E151" s="335">
        <f>IF(D151="","",DATE(YEAR(D151),MONTH(D151),1))</f>
        <v>46113.0</v>
      </c>
      <c r="F151" s="218" t="inlineStr">
        <is>
          <t>MADEIMANAS MADEIREIRA MANAS LTDA</t>
        </is>
      </c>
      <c r="G151" s="218" t="inlineStr">
        <is>
          <t>MATERIAL APLICADO</t>
        </is>
      </c>
      <c r="H151" s="218" t="inlineStr">
        <is>
          <t>3499</t>
        </is>
      </c>
      <c r="I151" s="219" t="n">
        <v>1316.68</v>
      </c>
      <c r="J151" s="218" t="inlineStr">
        <is>
          <t>CIVIL</t>
        </is>
      </c>
      <c r="K151" s="218" t="inlineStr">
        <is>
          <t>MATERIAIS E FERRAMENTAS</t>
        </is>
      </c>
      <c r="L151" s="222" t="str">
        <f>IF(B151&lt;&gt;"DESPESA","",IFERROR(VLOOKUP(K151,$P$5:$Q$16,2,FALSE),"?"))</f>
        <v>MAT</v>
      </c>
      <c r="M151" s="218" t="inlineStr">
        <is>
          <t>REALIZADO (até 30/04)</t>
        </is>
      </c>
      <c r="N151" s="272" t="inlineStr">
        <is>
          <t>SANEAGO_MOZARLANDIA_CUSTOS 30.04.2026.xlsx / FINANCEIRO ATE 30.04 / linha 163</t>
        </is>
      </c>
    </row>
    <row r="152">
      <c r="A152" s="222" t="n">
        <v>149</v>
      </c>
      <c r="B152" s="218" t="inlineStr">
        <is>
          <t>DESPESA</t>
        </is>
      </c>
      <c r="C152" s="220" t="n">
        <v>46087</v>
      </c>
      <c r="D152" s="220" t="n">
        <v>46118</v>
      </c>
      <c r="E152" s="335">
        <f>IF(D152="","",DATE(YEAR(D152),MONTH(D152),1))</f>
        <v>46113.0</v>
      </c>
      <c r="F152" s="218" t="inlineStr">
        <is>
          <t>MADEIMANAS MADEIREIRA MANAS LTDA</t>
        </is>
      </c>
      <c r="G152" s="218" t="inlineStr">
        <is>
          <t>MATERIAL APLICADO</t>
        </is>
      </c>
      <c r="H152" s="218" t="inlineStr">
        <is>
          <t>3500</t>
        </is>
      </c>
      <c r="I152" s="219" t="n">
        <v>111.2</v>
      </c>
      <c r="J152" s="218" t="inlineStr">
        <is>
          <t>CIVIL</t>
        </is>
      </c>
      <c r="K152" s="218" t="inlineStr">
        <is>
          <t>MATERIAIS E FERRAMENTAS</t>
        </is>
      </c>
      <c r="L152" s="222" t="str">
        <f>IF(B152&lt;&gt;"DESPESA","",IFERROR(VLOOKUP(K152,$P$5:$Q$16,2,FALSE),"?"))</f>
        <v>MAT</v>
      </c>
      <c r="M152" s="218" t="inlineStr">
        <is>
          <t>REALIZADO (até 30/04)</t>
        </is>
      </c>
      <c r="N152" s="272" t="inlineStr">
        <is>
          <t>SANEAGO_MOZARLANDIA_CUSTOS 30.04.2026.xlsx / FINANCEIRO ATE 30.04 / linha 164</t>
        </is>
      </c>
    </row>
    <row r="153">
      <c r="A153" s="222" t="n">
        <v>150</v>
      </c>
      <c r="B153" s="218" t="inlineStr">
        <is>
          <t>DESPESA</t>
        </is>
      </c>
      <c r="C153" s="220" t="n">
        <v>46087</v>
      </c>
      <c r="D153" s="220" t="n">
        <v>46118</v>
      </c>
      <c r="E153" s="335">
        <f>IF(D153="","",DATE(YEAR(D153),MONTH(D153),1))</f>
        <v>46113.0</v>
      </c>
      <c r="F153" s="218" t="inlineStr">
        <is>
          <t>MADEIMANAS MADEIREIRA MANAS LTDA</t>
        </is>
      </c>
      <c r="G153" s="218" t="inlineStr">
        <is>
          <t>MATERIAL APLICADO</t>
        </is>
      </c>
      <c r="H153" s="218" t="inlineStr">
        <is>
          <t>3501</t>
        </is>
      </c>
      <c r="I153" s="219" t="n">
        <v>877.79</v>
      </c>
      <c r="J153" s="218" t="inlineStr">
        <is>
          <t>CIVIL</t>
        </is>
      </c>
      <c r="K153" s="218" t="inlineStr">
        <is>
          <t>MATERIAIS E FERRAMENTAS</t>
        </is>
      </c>
      <c r="L153" s="222" t="str">
        <f>IF(B153&lt;&gt;"DESPESA","",IFERROR(VLOOKUP(K153,$P$5:$Q$16,2,FALSE),"?"))</f>
        <v>MAT</v>
      </c>
      <c r="M153" s="218" t="inlineStr">
        <is>
          <t>REALIZADO (até 30/04)</t>
        </is>
      </c>
      <c r="N153" s="272" t="inlineStr">
        <is>
          <t>SANEAGO_MOZARLANDIA_CUSTOS 30.04.2026.xlsx / FINANCEIRO ATE 30.04 / linha 165</t>
        </is>
      </c>
    </row>
    <row r="154">
      <c r="A154" s="222" t="n">
        <v>151</v>
      </c>
      <c r="B154" s="218" t="inlineStr">
        <is>
          <t>DESPESA</t>
        </is>
      </c>
      <c r="C154" s="220" t="n">
        <v>46087</v>
      </c>
      <c r="D154" s="220" t="n">
        <v>46118</v>
      </c>
      <c r="E154" s="335">
        <f>IF(D154="","",DATE(YEAR(D154),MONTH(D154),1))</f>
        <v>46113.0</v>
      </c>
      <c r="F154" s="218" t="inlineStr">
        <is>
          <t>MADEIMANAS MADEIREIRA MANAS LTDA</t>
        </is>
      </c>
      <c r="G154" s="218" t="inlineStr">
        <is>
          <t>MATERIAL APLICADO</t>
        </is>
      </c>
      <c r="H154" s="218" t="inlineStr">
        <is>
          <t>3502</t>
        </is>
      </c>
      <c r="I154" s="219" t="n">
        <v>600.6</v>
      </c>
      <c r="J154" s="218" t="inlineStr">
        <is>
          <t>CIVIL</t>
        </is>
      </c>
      <c r="K154" s="218" t="inlineStr">
        <is>
          <t>MATERIAIS E FERRAMENTAS</t>
        </is>
      </c>
      <c r="L154" s="222" t="str">
        <f>IF(B154&lt;&gt;"DESPESA","",IFERROR(VLOOKUP(K154,$P$5:$Q$16,2,FALSE),"?"))</f>
        <v>MAT</v>
      </c>
      <c r="M154" s="218" t="inlineStr">
        <is>
          <t>REALIZADO (até 30/04)</t>
        </is>
      </c>
      <c r="N154" s="272" t="inlineStr">
        <is>
          <t>SANEAGO_MOZARLANDIA_CUSTOS 30.04.2026.xlsx / FINANCEIRO ATE 30.04 / linha 166</t>
        </is>
      </c>
    </row>
    <row r="155">
      <c r="A155" s="222" t="n">
        <v>152</v>
      </c>
      <c r="B155" s="218" t="inlineStr">
        <is>
          <t>DESPESA</t>
        </is>
      </c>
      <c r="C155" s="220" t="n">
        <v>46119</v>
      </c>
      <c r="D155" s="220" t="n">
        <v>46119</v>
      </c>
      <c r="E155" s="335">
        <f>IF(D155="","",DATE(YEAR(D155),MONTH(D155),1))</f>
        <v>46113.0</v>
      </c>
      <c r="F155" s="218" t="inlineStr">
        <is>
          <t>J R BANHEIROS QUIMICOS E SERVICOS</t>
        </is>
      </c>
      <c r="G155" s="218" t="inlineStr">
        <is>
          <t>LOCAÇÃO BANHEIRO</t>
        </is>
      </c>
      <c r="H155" s="218" t="inlineStr">
        <is>
          <t>347</t>
        </is>
      </c>
      <c r="I155" s="219" t="n">
        <v>1621</v>
      </c>
      <c r="J155" s="218" t="inlineStr">
        <is>
          <t>ADMINISTRATIVO</t>
        </is>
      </c>
      <c r="K155" s="218" t="inlineStr">
        <is>
          <t>LOCACAO DE EQUIPAMENTOS</t>
        </is>
      </c>
      <c r="L155" s="222" t="str">
        <f>IF(B155&lt;&gt;"DESPESA","",IFERROR(VLOOKUP(K155,$P$5:$Q$16,2,FALSE),"?"))</f>
        <v>EQP</v>
      </c>
      <c r="M155" s="218" t="inlineStr">
        <is>
          <t>REALIZADO (até 30/04)</t>
        </is>
      </c>
      <c r="N155" s="272" t="inlineStr">
        <is>
          <t>SANEAGO_MOZARLANDIA_CUSTOS 30.04.2026.xlsx / FINANCEIRO ATE 30.04 / linha 167</t>
        </is>
      </c>
    </row>
    <row r="156">
      <c r="A156" s="222" t="n">
        <v>153</v>
      </c>
      <c r="B156" s="218" t="inlineStr">
        <is>
          <t>DESPESA</t>
        </is>
      </c>
      <c r="C156" s="220" t="n">
        <v>46111</v>
      </c>
      <c r="D156" s="220" t="n">
        <v>46119</v>
      </c>
      <c r="E156" s="335">
        <f>IF(D156="","",DATE(YEAR(D156),MONTH(D156),1))</f>
        <v>46113.0</v>
      </c>
      <c r="F156" s="218" t="inlineStr">
        <is>
          <t>MARLENE SILVA</t>
        </is>
      </c>
      <c r="G156" s="218" t="inlineStr">
        <is>
          <t>SERVIÇO AR CONDICIONADO</t>
        </is>
      </c>
      <c r="H156" s="218" t="inlineStr">
        <is>
          <t>11</t>
        </is>
      </c>
      <c r="I156" s="219" t="n">
        <v>880</v>
      </c>
      <c r="J156" s="218" t="inlineStr">
        <is>
          <t>ADMINISTRATIVO</t>
        </is>
      </c>
      <c r="K156" s="218" t="inlineStr">
        <is>
          <t>SERVICOS DE TERCEIROS / CANTEIRO</t>
        </is>
      </c>
      <c r="L156" s="222" t="str">
        <f>IF(B156&lt;&gt;"DESPESA","",IFERROR(VLOOKUP(K156,$P$5:$Q$16,2,FALSE),"?"))</f>
        <v>TER</v>
      </c>
      <c r="M156" s="218" t="inlineStr">
        <is>
          <t>REALIZADO (até 30/04)</t>
        </is>
      </c>
      <c r="N156" s="272" t="inlineStr">
        <is>
          <t>SANEAGO_MOZARLANDIA_CUSTOS 30.04.2026.xlsx / FINANCEIRO ATE 30.04 / linha 168</t>
        </is>
      </c>
    </row>
    <row r="157">
      <c r="A157" s="222" t="n">
        <v>154</v>
      </c>
      <c r="B157" s="218" t="inlineStr">
        <is>
          <t>DESPESA</t>
        </is>
      </c>
      <c r="C157" s="220" t="n">
        <v>46119</v>
      </c>
      <c r="D157" s="220" t="n">
        <v>46119</v>
      </c>
      <c r="E157" s="335">
        <f>IF(D157="","",DATE(YEAR(D157),MONTH(D157),1))</f>
        <v>46113.0</v>
      </c>
      <c r="F157" s="218" t="inlineStr">
        <is>
          <t>TECNOBOMBAS</t>
        </is>
      </c>
      <c r="G157" s="218" t="inlineStr">
        <is>
          <t>SALÁRIOS - 03/26</t>
        </is>
      </c>
      <c r="H157" s="218" t="inlineStr">
        <is>
          <t>FOLHA</t>
        </is>
      </c>
      <c r="I157" s="219" t="n">
        <v>23465</v>
      </c>
      <c r="J157" s="218" t="inlineStr">
        <is>
          <t>ADMINISTRATIVO</t>
        </is>
      </c>
      <c r="K157" s="218" t="inlineStr">
        <is>
          <t>PESSOAL E ENCARGOS</t>
        </is>
      </c>
      <c r="L157" s="222" t="str">
        <f>IF(B157&lt;&gt;"DESPESA","",IFERROR(VLOOKUP(K157,$P$5:$Q$16,2,FALSE),"?"))</f>
        <v>MO</v>
      </c>
      <c r="M157" s="218" t="inlineStr">
        <is>
          <t>REALIZADO (até 30/04)</t>
        </is>
      </c>
      <c r="N157" s="272" t="inlineStr">
        <is>
          <t>SANEAGO_MOZARLANDIA_CUSTOS 30.04.2026.xlsx / FINANCEIRO ATE 30.04 / linha 169</t>
        </is>
      </c>
    </row>
    <row r="158">
      <c r="A158" s="222" t="n">
        <v>155</v>
      </c>
      <c r="B158" s="218" t="inlineStr">
        <is>
          <t>DESPESA</t>
        </is>
      </c>
      <c r="C158" s="220" t="n">
        <v>46090</v>
      </c>
      <c r="D158" s="220" t="n">
        <v>46120</v>
      </c>
      <c r="E158" s="335">
        <f>IF(D158="","",DATE(YEAR(D158),MONTH(D158),1))</f>
        <v>46113.0</v>
      </c>
      <c r="F158" s="218" t="inlineStr">
        <is>
          <t>KAPITAO AMERICA EQUIPAMENTOS SEGURANCA</t>
        </is>
      </c>
      <c r="G158" s="218" t="inlineStr">
        <is>
          <t>EPIS</t>
        </is>
      </c>
      <c r="H158" s="218" t="inlineStr">
        <is>
          <t>236833</t>
        </is>
      </c>
      <c r="I158" s="219" t="n">
        <v>385</v>
      </c>
      <c r="J158" s="218" t="inlineStr">
        <is>
          <t>ADMINISTRATIVO</t>
        </is>
      </c>
      <c r="K158" s="218" t="inlineStr">
        <is>
          <t>SEGURANCA DO TRABALHO (EPI/UNIFORMES)</t>
        </is>
      </c>
      <c r="L158" s="222" t="str">
        <f>IF(B158&lt;&gt;"DESPESA","",IFERROR(VLOOKUP(K158,$P$5:$Q$16,2,FALSE),"?"))</f>
        <v>ADM</v>
      </c>
      <c r="M158" s="218" t="inlineStr">
        <is>
          <t>REALIZADO (até 30/04)</t>
        </is>
      </c>
      <c r="N158" s="272" t="inlineStr">
        <is>
          <t>SANEAGO_MOZARLANDIA_CUSTOS 30.04.2026.xlsx / FINANCEIRO ATE 30.04 / linha 170</t>
        </is>
      </c>
    </row>
    <row r="159">
      <c r="A159" s="222" t="n">
        <v>156</v>
      </c>
      <c r="B159" s="218" t="inlineStr">
        <is>
          <t>DESPESA</t>
        </is>
      </c>
      <c r="C159" s="220" t="n">
        <v>46105</v>
      </c>
      <c r="D159" s="220" t="n">
        <v>46120</v>
      </c>
      <c r="E159" s="335">
        <f>IF(D159="","",DATE(YEAR(D159),MONTH(D159),1))</f>
        <v>46113.0</v>
      </c>
      <c r="F159" s="218" t="inlineStr">
        <is>
          <t>NAIR ALVES DE ASSIS</t>
        </is>
      </c>
      <c r="G159" s="218" t="inlineStr">
        <is>
          <t>HOSPEDAGENS</t>
        </is>
      </c>
      <c r="H159" s="218" t="inlineStr">
        <is>
          <t>9740</t>
        </is>
      </c>
      <c r="I159" s="219" t="n">
        <v>2270</v>
      </c>
      <c r="J159" s="218" t="inlineStr">
        <is>
          <t>ADMINISTRATIVO</t>
        </is>
      </c>
      <c r="K159" s="218" t="inlineStr">
        <is>
          <t>ALOJAMENTO, ALIMENTACAO E UTILIDADES</t>
        </is>
      </c>
      <c r="L159" s="222" t="str">
        <f>IF(B159&lt;&gt;"DESPESA","",IFERROR(VLOOKUP(K159,$P$5:$Q$16,2,FALSE),"?"))</f>
        <v>ADM</v>
      </c>
      <c r="M159" s="218" t="inlineStr">
        <is>
          <t>REALIZADO (até 30/04)</t>
        </is>
      </c>
      <c r="N159" s="272" t="inlineStr">
        <is>
          <t>SANEAGO_MOZARLANDIA_CUSTOS 30.04.2026.xlsx / FINANCEIRO ATE 30.04 / linha 171</t>
        </is>
      </c>
    </row>
    <row r="160">
      <c r="A160" s="222" t="n">
        <v>157</v>
      </c>
      <c r="B160" s="218" t="inlineStr">
        <is>
          <t>DESPESA</t>
        </is>
      </c>
      <c r="C160" s="220" t="n">
        <v>46062</v>
      </c>
      <c r="D160" s="220" t="n">
        <v>46121</v>
      </c>
      <c r="E160" s="335">
        <f>IF(D160="","",DATE(YEAR(D160),MONTH(D160),1))</f>
        <v>46113.0</v>
      </c>
      <c r="F160" s="218" t="inlineStr">
        <is>
          <t>MADEIMANAS MADEIREIRA MANAS LTDA</t>
        </is>
      </c>
      <c r="G160" s="218" t="inlineStr">
        <is>
          <t>MATERIAL APLICADO COM FERRAMENTAS</t>
        </is>
      </c>
      <c r="H160" s="218" t="inlineStr">
        <is>
          <t>177241</t>
        </is>
      </c>
      <c r="I160" s="219" t="n">
        <v>3617.87</v>
      </c>
      <c r="J160" s="218" t="inlineStr">
        <is>
          <t>CIVIL</t>
        </is>
      </c>
      <c r="K160" s="218" t="inlineStr">
        <is>
          <t>MATERIAIS E FERRAMENTAS</t>
        </is>
      </c>
      <c r="L160" s="222" t="str">
        <f>IF(B160&lt;&gt;"DESPESA","",IFERROR(VLOOKUP(K160,$P$5:$Q$16,2,FALSE),"?"))</f>
        <v>MAT</v>
      </c>
      <c r="M160" s="218" t="inlineStr">
        <is>
          <t>REALIZADO (até 30/04)</t>
        </is>
      </c>
      <c r="N160" s="272" t="inlineStr">
        <is>
          <t>SANEAGO_MOZARLANDIA_CUSTOS 30.04.2026.xlsx / FINANCEIRO ATE 30.04 / linha 172 | REPETIDA: mesmo NF 177241, fornecedor e valor (~3618) aparece 3x (vencimentos: 2026-02-19, 2026-03-09, 2026-04-09); parcela ou duplicidade, conferir</t>
        </is>
      </c>
    </row>
    <row r="161">
      <c r="A161" s="222" t="n">
        <v>158</v>
      </c>
      <c r="B161" s="218" t="inlineStr">
        <is>
          <t>DESPESA</t>
        </is>
      </c>
      <c r="C161" s="220" t="n">
        <v>46063</v>
      </c>
      <c r="D161" s="220" t="n">
        <v>46121</v>
      </c>
      <c r="E161" s="335">
        <f>IF(D161="","",DATE(YEAR(D161),MONTH(D161),1))</f>
        <v>46113.0</v>
      </c>
      <c r="F161" s="218" t="inlineStr">
        <is>
          <t>ART AREIAS RIO TESOURO LTDA</t>
        </is>
      </c>
      <c r="G161" s="218" t="inlineStr">
        <is>
          <t>MATERIAL APLICADO</t>
        </is>
      </c>
      <c r="H161" s="218" t="inlineStr">
        <is>
          <t>8983</t>
        </is>
      </c>
      <c r="I161" s="219" t="n">
        <v>510.62</v>
      </c>
      <c r="J161" s="218" t="inlineStr">
        <is>
          <t>CIVIL</t>
        </is>
      </c>
      <c r="K161" s="218" t="inlineStr">
        <is>
          <t>MATERIAIS E FERRAMENTAS</t>
        </is>
      </c>
      <c r="L161" s="222" t="str">
        <f>IF(B161&lt;&gt;"DESPESA","",IFERROR(VLOOKUP(K161,$P$5:$Q$16,2,FALSE),"?"))</f>
        <v>MAT</v>
      </c>
      <c r="M161" s="218" t="inlineStr">
        <is>
          <t>REALIZADO (até 30/04)</t>
        </is>
      </c>
      <c r="N161" s="272" t="inlineStr">
        <is>
          <t>SANEAGO_MOZARLANDIA_CUSTOS 30.04.2026.xlsx / FINANCEIRO ATE 30.04 / linha 173 | REPETIDA: mesmo NF 8983, fornecedor e valor (~511) aparece 2x (vencimentos: 2026-03-09, 2026-04-09); parcela ou duplicidade, conferir</t>
        </is>
      </c>
    </row>
    <row r="162">
      <c r="A162" s="222" t="n">
        <v>159</v>
      </c>
      <c r="B162" s="218" t="inlineStr">
        <is>
          <t>DESPESA</t>
        </is>
      </c>
      <c r="C162" s="220" t="n">
        <v>46062</v>
      </c>
      <c r="D162" s="220" t="n">
        <v>46121</v>
      </c>
      <c r="E162" s="335">
        <f>IF(D162="","",DATE(YEAR(D162),MONTH(D162),1))</f>
        <v>46113.0</v>
      </c>
      <c r="F162" s="218" t="inlineStr">
        <is>
          <t>MADEIMANAS MADEIREIRA MANAS LTDA</t>
        </is>
      </c>
      <c r="G162" s="218" t="inlineStr">
        <is>
          <t>MATERIAL APLICADO</t>
        </is>
      </c>
      <c r="H162" s="218" t="inlineStr">
        <is>
          <t>177240</t>
        </is>
      </c>
      <c r="I162" s="219" t="n">
        <v>4877.71</v>
      </c>
      <c r="J162" s="218" t="inlineStr">
        <is>
          <t>CIVIL</t>
        </is>
      </c>
      <c r="K162" s="218" t="inlineStr">
        <is>
          <t>MATERIAIS E FERRAMENTAS</t>
        </is>
      </c>
      <c r="L162" s="222" t="str">
        <f>IF(B162&lt;&gt;"DESPESA","",IFERROR(VLOOKUP(K162,$P$5:$Q$16,2,FALSE),"?"))</f>
        <v>MAT</v>
      </c>
      <c r="M162" s="218" t="inlineStr">
        <is>
          <t>REALIZADO (até 30/04)</t>
        </is>
      </c>
      <c r="N162" s="272" t="inlineStr">
        <is>
          <t>SANEAGO_MOZARLANDIA_CUSTOS 30.04.2026.xlsx / FINANCEIRO ATE 30.04 / linha 174 | REPETIDA: mesmo NF 177240, fornecedor e valor (~4878) aparece 3x (vencimentos: 2026-02-19, 2026-03-09, 2026-04-09); parcela ou duplicidade, conferir</t>
        </is>
      </c>
    </row>
    <row r="163">
      <c r="A163" s="222" t="n">
        <v>160</v>
      </c>
      <c r="B163" s="218" t="inlineStr">
        <is>
          <t>APORTE</t>
        </is>
      </c>
      <c r="C163" s="220" t="n">
        <v>46121</v>
      </c>
      <c r="D163" s="220" t="n">
        <v>46121</v>
      </c>
      <c r="E163" s="335">
        <f>IF(D163="","",DATE(YEAR(D163),MONTH(D163),1))</f>
        <v>46113.0</v>
      </c>
      <c r="F163" s="218" t="inlineStr">
        <is>
          <t>TECNOBOMBAS</t>
        </is>
      </c>
      <c r="G163" s="218" t="inlineStr">
        <is>
          <t>APORTE DA TECNOBOMBAS</t>
        </is>
      </c>
      <c r="H163" s="218" t="inlineStr">
        <is>
          <t>PIX</t>
        </is>
      </c>
      <c r="I163" s="219" t="n">
        <v>10000</v>
      </c>
      <c r="J163" s="218" t="inlineStr">
        <is>
          <t>APORTE</t>
        </is>
      </c>
      <c r="K163" s="218" t="inlineStr">
        <is>
          <t>APORTE</t>
        </is>
      </c>
      <c r="L163" s="222">
        <f>IF(B163&lt;&gt;"DESPESA","",IFERROR(VLOOKUP(K163,$P$5:$Q$16,2,FALSE),"?"))</f>
      </c>
      <c r="M163" s="218" t="inlineStr">
        <is>
          <t>REALIZADO (até 30/04)</t>
        </is>
      </c>
      <c r="N163" s="272" t="inlineStr">
        <is>
          <t>SANEAGO_MOZARLANDIA_CUSTOS 30.04.2026.xlsx / FINANCEIRO ATE 30.04 / linha 175</t>
        </is>
      </c>
    </row>
    <row r="164">
      <c r="A164" s="222" t="n">
        <v>161</v>
      </c>
      <c r="B164" s="218" t="inlineStr">
        <is>
          <t>DESPESA</t>
        </is>
      </c>
      <c r="C164" s="220" t="n">
        <v>46093</v>
      </c>
      <c r="D164" s="220" t="n">
        <v>46121</v>
      </c>
      <c r="E164" s="335">
        <f>IF(D164="","",DATE(YEAR(D164),MONTH(D164),1))</f>
        <v>46113.0</v>
      </c>
      <c r="F164" s="218" t="inlineStr">
        <is>
          <t>CIPLAN CIMENTO PLANALTO S.A.</t>
        </is>
      </c>
      <c r="G164" s="218" t="inlineStr">
        <is>
          <t>MATERIAL APLICADO</t>
        </is>
      </c>
      <c r="H164" s="218" t="inlineStr">
        <is>
          <t>1868447</t>
        </is>
      </c>
      <c r="I164" s="219" t="n">
        <v>17680</v>
      </c>
      <c r="J164" s="218" t="inlineStr">
        <is>
          <t>CIVIL</t>
        </is>
      </c>
      <c r="K164" s="218" t="inlineStr">
        <is>
          <t>MATERIAIS E FERRAMENTAS</t>
        </is>
      </c>
      <c r="L164" s="222" t="str">
        <f>IF(B164&lt;&gt;"DESPESA","",IFERROR(VLOOKUP(K164,$P$5:$Q$16,2,FALSE),"?"))</f>
        <v>MAT</v>
      </c>
      <c r="M164" s="218" t="inlineStr">
        <is>
          <t>REALIZADO (até 30/04)</t>
        </is>
      </c>
      <c r="N164" s="272" t="inlineStr">
        <is>
          <t>SANEAGO_MOZARLANDIA_CUSTOS 30.04.2026.xlsx / FINANCEIRO ATE 30.04 / linha 176</t>
        </is>
      </c>
    </row>
    <row r="165">
      <c r="A165" s="222" t="n">
        <v>162</v>
      </c>
      <c r="B165" s="218" t="inlineStr">
        <is>
          <t>DESPESA</t>
        </is>
      </c>
      <c r="C165" s="220" t="n">
        <v>46121</v>
      </c>
      <c r="D165" s="220" t="n">
        <v>46121</v>
      </c>
      <c r="E165" s="335">
        <f>IF(D165="","",DATE(YEAR(D165),MONTH(D165),1))</f>
        <v>46113.0</v>
      </c>
      <c r="F165" s="218" t="inlineStr">
        <is>
          <t>NELSON ROXO</t>
        </is>
      </c>
      <c r="G165" s="218" t="inlineStr">
        <is>
          <t>DIFERENÇA SALÁRIO</t>
        </is>
      </c>
      <c r="H165" s="218" t="inlineStr">
        <is>
          <t>Recibo</t>
        </is>
      </c>
      <c r="I165" s="219" t="n">
        <v>246</v>
      </c>
      <c r="J165" s="218" t="inlineStr">
        <is>
          <t>ADMINISTRATIVO</t>
        </is>
      </c>
      <c r="K165" s="218" t="inlineStr">
        <is>
          <t>PESSOAL E ENCARGOS</t>
        </is>
      </c>
      <c r="L165" s="222" t="str">
        <f>IF(B165&lt;&gt;"DESPESA","",IFERROR(VLOOKUP(K165,$P$5:$Q$16,2,FALSE),"?"))</f>
        <v>MO</v>
      </c>
      <c r="M165" s="218" t="inlineStr">
        <is>
          <t>REALIZADO (até 30/04)</t>
        </is>
      </c>
      <c r="N165" s="272" t="inlineStr">
        <is>
          <t>SANEAGO_MOZARLANDIA_CUSTOS 30.04.2026.xlsx / FINANCEIRO ATE 30.04 / linha 177</t>
        </is>
      </c>
    </row>
    <row r="166">
      <c r="A166" s="222" t="n">
        <v>163</v>
      </c>
      <c r="B166" s="218" t="inlineStr">
        <is>
          <t>DESPESA</t>
        </is>
      </c>
      <c r="C166" s="220" t="n">
        <v>46091</v>
      </c>
      <c r="D166" s="220" t="n">
        <v>46122</v>
      </c>
      <c r="E166" s="335">
        <f>IF(D166="","",DATE(YEAR(D166),MONTH(D166),1))</f>
        <v>46113.0</v>
      </c>
      <c r="F166" s="218" t="inlineStr">
        <is>
          <t>PRATICA UNIFORMES LTDA</t>
        </is>
      </c>
      <c r="G166" s="218" t="inlineStr">
        <is>
          <t>UNIFORMES</t>
        </is>
      </c>
      <c r="H166" s="218" t="inlineStr">
        <is>
          <t>1194</t>
        </is>
      </c>
      <c r="I166" s="219" t="n">
        <v>4549</v>
      </c>
      <c r="J166" s="218" t="inlineStr">
        <is>
          <t>ADMINISTRATIVO</t>
        </is>
      </c>
      <c r="K166" s="218" t="inlineStr">
        <is>
          <t>SEGURANCA DO TRABALHO (EPI/UNIFORMES)</t>
        </is>
      </c>
      <c r="L166" s="222" t="str">
        <f>IF(B166&lt;&gt;"DESPESA","",IFERROR(VLOOKUP(K166,$P$5:$Q$16,2,FALSE),"?"))</f>
        <v>ADM</v>
      </c>
      <c r="M166" s="218" t="inlineStr">
        <is>
          <t>REALIZADO (até 30/04)</t>
        </is>
      </c>
      <c r="N166" s="272" t="inlineStr">
        <is>
          <t>SANEAGO_MOZARLANDIA_CUSTOS 30.04.2026.xlsx / FINANCEIRO ATE 30.04 / linha 178</t>
        </is>
      </c>
    </row>
    <row r="167">
      <c r="A167" s="222" t="n">
        <v>164</v>
      </c>
      <c r="B167" s="218" t="inlineStr">
        <is>
          <t>APORTE</t>
        </is>
      </c>
      <c r="C167" s="220" t="n">
        <v>46122</v>
      </c>
      <c r="D167" s="220" t="n">
        <v>46122</v>
      </c>
      <c r="E167" s="335">
        <f>IF(D167="","",DATE(YEAR(D167),MONTH(D167),1))</f>
        <v>46113.0</v>
      </c>
      <c r="F167" s="218" t="inlineStr">
        <is>
          <t>TECNOBOMBAS</t>
        </is>
      </c>
      <c r="G167" s="218" t="inlineStr">
        <is>
          <t>APORTE DA TECNOBOMBAS</t>
        </is>
      </c>
      <c r="H167" s="218" t="inlineStr">
        <is>
          <t>PIX</t>
        </is>
      </c>
      <c r="I167" s="219" t="n">
        <v>15000</v>
      </c>
      <c r="J167" s="218" t="inlineStr">
        <is>
          <t>APORTE</t>
        </is>
      </c>
      <c r="K167" s="218" t="inlineStr">
        <is>
          <t>APORTE</t>
        </is>
      </c>
      <c r="L167" s="222">
        <f>IF(B167&lt;&gt;"DESPESA","",IFERROR(VLOOKUP(K167,$P$5:$Q$16,2,FALSE),"?"))</f>
      </c>
      <c r="M167" s="218" t="inlineStr">
        <is>
          <t>REALIZADO (até 30/04)</t>
        </is>
      </c>
      <c r="N167" s="272" t="inlineStr">
        <is>
          <t>SANEAGO_MOZARLANDIA_CUSTOS 30.04.2026.xlsx / FINANCEIRO ATE 30.04 / linha 179</t>
        </is>
      </c>
    </row>
    <row r="168">
      <c r="A168" s="222" t="n">
        <v>165</v>
      </c>
      <c r="B168" s="218" t="inlineStr">
        <is>
          <t>DESPESA</t>
        </is>
      </c>
      <c r="C168" s="220" t="n">
        <v>46092</v>
      </c>
      <c r="D168" s="220" t="n">
        <v>46122</v>
      </c>
      <c r="E168" s="335">
        <f>IF(D168="","",DATE(YEAR(D168),MONTH(D168),1))</f>
        <v>46113.0</v>
      </c>
      <c r="F168" s="218" t="inlineStr">
        <is>
          <t>AJEL MONTAGEM E AUTOMACAO INDUSTRIAL</t>
        </is>
      </c>
      <c r="G168" s="218" t="inlineStr">
        <is>
          <t>MATERIAL APLICADO</t>
        </is>
      </c>
      <c r="H168" s="218" t="inlineStr">
        <is>
          <t>347123</t>
        </is>
      </c>
      <c r="I168" s="219" t="n">
        <v>246.25</v>
      </c>
      <c r="J168" s="218" t="inlineStr">
        <is>
          <t>CIVIL</t>
        </is>
      </c>
      <c r="K168" s="218" t="inlineStr">
        <is>
          <t>MATERIAIS E FERRAMENTAS</t>
        </is>
      </c>
      <c r="L168" s="222" t="str">
        <f>IF(B168&lt;&gt;"DESPESA","",IFERROR(VLOOKUP(K168,$P$5:$Q$16,2,FALSE),"?"))</f>
        <v>MAT</v>
      </c>
      <c r="M168" s="218" t="inlineStr">
        <is>
          <t>REALIZADO (até 30/04)</t>
        </is>
      </c>
      <c r="N168" s="272" t="inlineStr">
        <is>
          <t>SANEAGO_MOZARLANDIA_CUSTOS 30.04.2026.xlsx / FINANCEIRO ATE 30.04 / linha 180 | REPETIDA: mesmo NF 347123, fornecedor e valor (~246) aparece 2x (vencimentos: 2026-04-10, 2026-05-10); parcela ou duplicidade, conferir</t>
        </is>
      </c>
    </row>
    <row r="169">
      <c r="A169" s="222" t="n">
        <v>166</v>
      </c>
      <c r="B169" s="218" t="inlineStr">
        <is>
          <t>DESPESA</t>
        </is>
      </c>
      <c r="C169" s="220" t="n">
        <v>46092</v>
      </c>
      <c r="D169" s="220" t="n">
        <v>46122</v>
      </c>
      <c r="E169" s="335">
        <f>IF(D169="","",DATE(YEAR(D169),MONTH(D169),1))</f>
        <v>46113.0</v>
      </c>
      <c r="F169" s="218" t="inlineStr">
        <is>
          <t>AJEL MATERIAIS ELETRICOS LTDA</t>
        </is>
      </c>
      <c r="G169" s="218" t="inlineStr">
        <is>
          <t>MATERIAL APLICADO</t>
        </is>
      </c>
      <c r="H169" s="218" t="inlineStr">
        <is>
          <t>1057739</t>
        </is>
      </c>
      <c r="I169" s="219" t="n">
        <v>1653.74</v>
      </c>
      <c r="J169" s="218" t="inlineStr">
        <is>
          <t>CIVIL</t>
        </is>
      </c>
      <c r="K169" s="218" t="inlineStr">
        <is>
          <t>MATERIAIS E FERRAMENTAS</t>
        </is>
      </c>
      <c r="L169" s="222" t="str">
        <f>IF(B169&lt;&gt;"DESPESA","",IFERROR(VLOOKUP(K169,$P$5:$Q$16,2,FALSE),"?"))</f>
        <v>MAT</v>
      </c>
      <c r="M169" s="218" t="inlineStr">
        <is>
          <t>REALIZADO (até 30/04)</t>
        </is>
      </c>
      <c r="N169" s="272" t="inlineStr">
        <is>
          <t>SANEAGO_MOZARLANDIA_CUSTOS 30.04.2026.xlsx / FINANCEIRO ATE 30.04 / linha 181 | REPETIDA: mesmo NF 1057739, fornecedor e valor (~1654) aparece 2x (vencimentos: 2026-04-10, 2026-05-10); parcela ou duplicidade, conferir</t>
        </is>
      </c>
    </row>
    <row r="170">
      <c r="A170" s="222" t="n">
        <v>167</v>
      </c>
      <c r="B170" s="218" t="inlineStr">
        <is>
          <t>DESPESA</t>
        </is>
      </c>
      <c r="C170" s="220" t="n">
        <v>46101</v>
      </c>
      <c r="D170" s="220" t="n">
        <v>46122</v>
      </c>
      <c r="E170" s="335">
        <f>IF(D170="","",DATE(YEAR(D170),MONTH(D170),1))</f>
        <v>46113.0</v>
      </c>
      <c r="F170" s="218" t="inlineStr">
        <is>
          <t>MADEIMANAS MADEIREIRA MANAS LTDA</t>
        </is>
      </c>
      <c r="G170" s="218" t="inlineStr">
        <is>
          <t>MATERIAL APLICADO</t>
        </is>
      </c>
      <c r="H170" s="218" t="inlineStr">
        <is>
          <t>3520</t>
        </is>
      </c>
      <c r="I170" s="219" t="n">
        <v>4987.58</v>
      </c>
      <c r="J170" s="218" t="inlineStr">
        <is>
          <t>CIVIL</t>
        </is>
      </c>
      <c r="K170" s="218" t="inlineStr">
        <is>
          <t>MATERIAIS E FERRAMENTAS</t>
        </is>
      </c>
      <c r="L170" s="222" t="str">
        <f>IF(B170&lt;&gt;"DESPESA","",IFERROR(VLOOKUP(K170,$P$5:$Q$16,2,FALSE),"?"))</f>
        <v>MAT</v>
      </c>
      <c r="M170" s="218" t="inlineStr">
        <is>
          <t>REALIZADO (até 30/04)</t>
        </is>
      </c>
      <c r="N170" s="272" t="inlineStr">
        <is>
          <t>SANEAGO_MOZARLANDIA_CUSTOS 30.04.2026.xlsx / FINANCEIRO ATE 30.04 / linha 182</t>
        </is>
      </c>
    </row>
    <row r="171">
      <c r="A171" s="222" t="n">
        <v>168</v>
      </c>
      <c r="B171" s="218" t="inlineStr">
        <is>
          <t>DESPESA</t>
        </is>
      </c>
      <c r="C171" s="220" t="n">
        <v>46111</v>
      </c>
      <c r="D171" s="220" t="n">
        <v>46122</v>
      </c>
      <c r="E171" s="335">
        <f>IF(D171="","",DATE(YEAR(D171),MONTH(D171),1))</f>
        <v>46113.0</v>
      </c>
      <c r="F171" s="218" t="inlineStr">
        <is>
          <t>RONALDO DIAS DA SILVA</t>
        </is>
      </c>
      <c r="G171" s="218" t="inlineStr">
        <is>
          <t>RESCISÃO</t>
        </is>
      </c>
      <c r="H171" s="218" t="inlineStr">
        <is>
          <t>TRCT</t>
        </is>
      </c>
      <c r="I171" s="219" t="n">
        <v>1429.91</v>
      </c>
      <c r="J171" s="218" t="inlineStr">
        <is>
          <t>ADMINISTRATIVO</t>
        </is>
      </c>
      <c r="K171" s="218" t="inlineStr">
        <is>
          <t>PESSOAL E ENCARGOS</t>
        </is>
      </c>
      <c r="L171" s="222" t="str">
        <f>IF(B171&lt;&gt;"DESPESA","",IFERROR(VLOOKUP(K171,$P$5:$Q$16,2,FALSE),"?"))</f>
        <v>MO</v>
      </c>
      <c r="M171" s="218" t="inlineStr">
        <is>
          <t>REALIZADO (até 30/04)</t>
        </is>
      </c>
      <c r="N171" s="272" t="inlineStr">
        <is>
          <t>SANEAGO_MOZARLANDIA_CUSTOS 30.04.2026.xlsx / FINANCEIRO ATE 30.04 / linha 183</t>
        </is>
      </c>
    </row>
    <row r="172">
      <c r="A172" s="222" t="n">
        <v>169</v>
      </c>
      <c r="B172" s="218" t="inlineStr">
        <is>
          <t>DESPESA</t>
        </is>
      </c>
      <c r="C172" s="220" t="n">
        <v>46112</v>
      </c>
      <c r="D172" s="220" t="n">
        <v>46122</v>
      </c>
      <c r="E172" s="335">
        <f>IF(D172="","",DATE(YEAR(D172),MONTH(D172),1))</f>
        <v>46113.0</v>
      </c>
      <c r="F172" s="218" t="inlineStr">
        <is>
          <t>RODRIGO CONSTANTINO VIANA LTDA</t>
        </is>
      </c>
      <c r="G172" s="218" t="inlineStr">
        <is>
          <t>REFEIÇÕES FUNCIONÁRIOS</t>
        </is>
      </c>
      <c r="H172" s="218" t="inlineStr">
        <is>
          <t>85</t>
        </is>
      </c>
      <c r="I172" s="219" t="n">
        <v>12693</v>
      </c>
      <c r="J172" s="218" t="inlineStr">
        <is>
          <t>ADMINISTRATIVO</t>
        </is>
      </c>
      <c r="K172" s="218" t="inlineStr">
        <is>
          <t>ALOJAMENTO, ALIMENTACAO E UTILIDADES</t>
        </is>
      </c>
      <c r="L172" s="222" t="str">
        <f>IF(B172&lt;&gt;"DESPESA","",IFERROR(VLOOKUP(K172,$P$5:$Q$16,2,FALSE),"?"))</f>
        <v>ADM</v>
      </c>
      <c r="M172" s="218" t="inlineStr">
        <is>
          <t>REALIZADO (até 30/04)</t>
        </is>
      </c>
      <c r="N172" s="272" t="inlineStr">
        <is>
          <t>SANEAGO_MOZARLANDIA_CUSTOS 30.04.2026.xlsx / FINANCEIRO ATE 30.04 / linha 184</t>
        </is>
      </c>
    </row>
    <row r="173">
      <c r="A173" s="222" t="n">
        <v>170</v>
      </c>
      <c r="B173" s="218" t="inlineStr">
        <is>
          <t>DESPESA</t>
        </is>
      </c>
      <c r="C173" s="220" t="n">
        <v>46104</v>
      </c>
      <c r="D173" s="220" t="n">
        <v>46122</v>
      </c>
      <c r="E173" s="335">
        <f>IF(D173="","",DATE(YEAR(D173),MONTH(D173),1))</f>
        <v>46113.0</v>
      </c>
      <c r="F173" s="218" t="inlineStr">
        <is>
          <t>EQUATORIAL GOIAS DISTRIBUIDORA</t>
        </is>
      </c>
      <c r="G173" s="218" t="inlineStr">
        <is>
          <t>FATURA ENERGIA - OBRA</t>
        </is>
      </c>
      <c r="H173" s="218" t="inlineStr">
        <is>
          <t>184289964</t>
        </is>
      </c>
      <c r="I173" s="219" t="n">
        <v>368.03</v>
      </c>
      <c r="J173" s="218" t="inlineStr">
        <is>
          <t>ADMINISTRATIVO</t>
        </is>
      </c>
      <c r="K173" s="218" t="inlineStr">
        <is>
          <t>ALOJAMENTO, ALIMENTACAO E UTILIDADES</t>
        </is>
      </c>
      <c r="L173" s="222" t="str">
        <f>IF(B173&lt;&gt;"DESPESA","",IFERROR(VLOOKUP(K173,$P$5:$Q$16,2,FALSE),"?"))</f>
        <v>ADM</v>
      </c>
      <c r="M173" s="218" t="inlineStr">
        <is>
          <t>REALIZADO (até 30/04)</t>
        </is>
      </c>
      <c r="N173" s="272" t="inlineStr">
        <is>
          <t>SANEAGO_MOZARLANDIA_CUSTOS 30.04.2026.xlsx / FINANCEIRO ATE 30.04 / linha 185</t>
        </is>
      </c>
    </row>
    <row r="174">
      <c r="A174" s="222" t="n">
        <v>171</v>
      </c>
      <c r="B174" s="218" t="inlineStr">
        <is>
          <t>DESPESA</t>
        </is>
      </c>
      <c r="C174" s="220" t="n">
        <v>46122</v>
      </c>
      <c r="D174" s="220" t="n">
        <v>46122</v>
      </c>
      <c r="E174" s="335">
        <f>IF(D174="","",DATE(YEAR(D174),MONTH(D174),1))</f>
        <v>46113.0</v>
      </c>
      <c r="F174" s="218" t="inlineStr">
        <is>
          <t>MARIA DE FATIMA OLIVEIRA</t>
        </is>
      </c>
      <c r="G174" s="218" t="inlineStr">
        <is>
          <t>ALUGUEL RESIDÊNCIA</t>
        </is>
      </c>
      <c r="H174" s="218" t="inlineStr">
        <is>
          <t>Recibo</t>
        </is>
      </c>
      <c r="I174" s="219" t="n">
        <v>1500</v>
      </c>
      <c r="J174" s="218" t="inlineStr">
        <is>
          <t>ADMINISTRATIVO</t>
        </is>
      </c>
      <c r="K174" s="218" t="inlineStr">
        <is>
          <t>ALOJAMENTO, ALIMENTACAO E UTILIDADES</t>
        </is>
      </c>
      <c r="L174" s="222" t="str">
        <f>IF(B174&lt;&gt;"DESPESA","",IFERROR(VLOOKUP(K174,$P$5:$Q$16,2,FALSE),"?"))</f>
        <v>ADM</v>
      </c>
      <c r="M174" s="218" t="inlineStr">
        <is>
          <t>REALIZADO (até 30/04)</t>
        </is>
      </c>
      <c r="N174" s="272" t="inlineStr">
        <is>
          <t>SANEAGO_MOZARLANDIA_CUSTOS 30.04.2026.xlsx / FINANCEIRO ATE 30.04 / linha 186</t>
        </is>
      </c>
    </row>
    <row r="175">
      <c r="A175" s="222" t="n">
        <v>172</v>
      </c>
      <c r="B175" s="218" t="inlineStr">
        <is>
          <t>DESPESA</t>
        </is>
      </c>
      <c r="C175" s="220" t="n">
        <v>46122</v>
      </c>
      <c r="D175" s="220" t="n">
        <v>46122</v>
      </c>
      <c r="E175" s="335">
        <f>IF(D175="","",DATE(YEAR(D175),MONTH(D175),1))</f>
        <v>46113.0</v>
      </c>
      <c r="F175" s="218" t="inlineStr">
        <is>
          <t>JOSILENE MARIA SALES</t>
        </is>
      </c>
      <c r="G175" s="218" t="inlineStr">
        <is>
          <t>ALUGUEL RESIDÊNCIA</t>
        </is>
      </c>
      <c r="H175" s="218" t="inlineStr">
        <is>
          <t>Recibo</t>
        </is>
      </c>
      <c r="I175" s="219" t="n">
        <v>800</v>
      </c>
      <c r="J175" s="218" t="inlineStr">
        <is>
          <t>ADMINISTRATIVO</t>
        </is>
      </c>
      <c r="K175" s="218" t="inlineStr">
        <is>
          <t>ALOJAMENTO, ALIMENTACAO E UTILIDADES</t>
        </is>
      </c>
      <c r="L175" s="222" t="str">
        <f>IF(B175&lt;&gt;"DESPESA","",IFERROR(VLOOKUP(K175,$P$5:$Q$16,2,FALSE),"?"))</f>
        <v>ADM</v>
      </c>
      <c r="M175" s="218" t="inlineStr">
        <is>
          <t>REALIZADO (até 30/04)</t>
        </is>
      </c>
      <c r="N175" s="272" t="inlineStr">
        <is>
          <t>SANEAGO_MOZARLANDIA_CUSTOS 30.04.2026.xlsx / FINANCEIRO ATE 30.04 / linha 187</t>
        </is>
      </c>
    </row>
    <row r="176">
      <c r="A176" s="222" t="n">
        <v>173</v>
      </c>
      <c r="B176" s="218" t="inlineStr">
        <is>
          <t>DESPESA</t>
        </is>
      </c>
      <c r="C176" s="220" t="n">
        <v>46122</v>
      </c>
      <c r="D176" s="220" t="n">
        <v>46122</v>
      </c>
      <c r="E176" s="335">
        <f>IF(D176="","",DATE(YEAR(D176),MONTH(D176),1))</f>
        <v>46113.0</v>
      </c>
      <c r="F176" s="218" t="inlineStr">
        <is>
          <t>SANEAGO (faturas de agua)</t>
        </is>
      </c>
      <c r="G176" s="218" t="inlineStr">
        <is>
          <t>FATURA CONSUMO ÁGUA</t>
        </is>
      </c>
      <c r="H176" s="218" t="inlineStr">
        <is>
          <t>4093957726</t>
        </is>
      </c>
      <c r="I176" s="219" t="n">
        <v>16.65</v>
      </c>
      <c r="J176" s="218" t="inlineStr">
        <is>
          <t>ADMINISTRATIVO</t>
        </is>
      </c>
      <c r="K176" s="218" t="inlineStr">
        <is>
          <t>MATERIAIS E FERRAMENTAS</t>
        </is>
      </c>
      <c r="L176" s="222" t="str">
        <f>IF(B176&lt;&gt;"DESPESA","",IFERROR(VLOOKUP(K176,$P$5:$Q$16,2,FALSE),"?"))</f>
        <v>MAT</v>
      </c>
      <c r="M176" s="218" t="inlineStr">
        <is>
          <t>REALIZADO (até 30/04)</t>
        </is>
      </c>
      <c r="N176" s="272" t="inlineStr">
        <is>
          <t>SANEAGO_MOZARLANDIA_CUSTOS 30.04.2026.xlsx / FINANCEIRO ATE 30.04 / linha 188</t>
        </is>
      </c>
    </row>
    <row r="177">
      <c r="A177" s="222" t="n">
        <v>174</v>
      </c>
      <c r="B177" s="218" t="inlineStr">
        <is>
          <t>DESPESA</t>
        </is>
      </c>
      <c r="C177" s="220" t="n">
        <v>46122</v>
      </c>
      <c r="D177" s="220" t="n">
        <v>46122</v>
      </c>
      <c r="E177" s="335">
        <f>IF(D177="","",DATE(YEAR(D177),MONTH(D177),1))</f>
        <v>46113.0</v>
      </c>
      <c r="F177" s="218" t="inlineStr">
        <is>
          <t>SANEAGO (faturas de agua)</t>
        </is>
      </c>
      <c r="G177" s="218" t="inlineStr">
        <is>
          <t>FATURA CONSUMO ÁGUA</t>
        </is>
      </c>
      <c r="H177" s="218" t="inlineStr">
        <is>
          <t>4093957781</t>
        </is>
      </c>
      <c r="I177" s="219" t="n">
        <v>18.05</v>
      </c>
      <c r="J177" s="218" t="inlineStr">
        <is>
          <t>ADMINISTRATIVO</t>
        </is>
      </c>
      <c r="K177" s="218" t="inlineStr">
        <is>
          <t>MATERIAIS E FERRAMENTAS</t>
        </is>
      </c>
      <c r="L177" s="222" t="str">
        <f>IF(B177&lt;&gt;"DESPESA","",IFERROR(VLOOKUP(K177,$P$5:$Q$16,2,FALSE),"?"))</f>
        <v>MAT</v>
      </c>
      <c r="M177" s="218" t="inlineStr">
        <is>
          <t>REALIZADO (até 30/04)</t>
        </is>
      </c>
      <c r="N177" s="272" t="inlineStr">
        <is>
          <t>SANEAGO_MOZARLANDIA_CUSTOS 30.04.2026.xlsx / FINANCEIRO ATE 30.04 / linha 189</t>
        </is>
      </c>
    </row>
    <row r="178">
      <c r="A178" s="222" t="n">
        <v>175</v>
      </c>
      <c r="B178" s="218" t="inlineStr">
        <is>
          <t>DESPESA</t>
        </is>
      </c>
      <c r="C178" s="220" t="n">
        <v>46122</v>
      </c>
      <c r="D178" s="220" t="n">
        <v>46122</v>
      </c>
      <c r="E178" s="335">
        <f>IF(D178="","",DATE(YEAR(D178),MONTH(D178),1))</f>
        <v>46113.0</v>
      </c>
      <c r="F178" s="218" t="inlineStr">
        <is>
          <t>SANEAGO (faturas de agua)</t>
        </is>
      </c>
      <c r="G178" s="218" t="inlineStr">
        <is>
          <t>FATURA CONSUMO ÁGUA</t>
        </is>
      </c>
      <c r="H178" s="218" t="inlineStr">
        <is>
          <t>4093957797</t>
        </is>
      </c>
      <c r="I178" s="219" t="n">
        <v>33.15</v>
      </c>
      <c r="J178" s="218" t="inlineStr">
        <is>
          <t>ADMINISTRATIVO</t>
        </is>
      </c>
      <c r="K178" s="218" t="inlineStr">
        <is>
          <t>MATERIAIS E FERRAMENTAS</t>
        </is>
      </c>
      <c r="L178" s="222" t="str">
        <f>IF(B178&lt;&gt;"DESPESA","",IFERROR(VLOOKUP(K178,$P$5:$Q$16,2,FALSE),"?"))</f>
        <v>MAT</v>
      </c>
      <c r="M178" s="218" t="inlineStr">
        <is>
          <t>REALIZADO (até 30/04)</t>
        </is>
      </c>
      <c r="N178" s="272" t="inlineStr">
        <is>
          <t>SANEAGO_MOZARLANDIA_CUSTOS 30.04.2026.xlsx / FINANCEIRO ATE 30.04 / linha 190</t>
        </is>
      </c>
    </row>
    <row r="179">
      <c r="A179" s="222" t="n">
        <v>176</v>
      </c>
      <c r="B179" s="218" t="inlineStr">
        <is>
          <t>DESPESA</t>
        </is>
      </c>
      <c r="C179" s="220" t="n">
        <v>46122</v>
      </c>
      <c r="D179" s="220" t="n">
        <v>46122</v>
      </c>
      <c r="E179" s="335">
        <f>IF(D179="","",DATE(YEAR(D179),MONTH(D179),1))</f>
        <v>46113.0</v>
      </c>
      <c r="F179" s="218" t="inlineStr">
        <is>
          <t>MARCIA ANDREIA DE ARAUJO</t>
        </is>
      </c>
      <c r="G179" s="218" t="inlineStr">
        <is>
          <t>DIARISTA</t>
        </is>
      </c>
      <c r="H179" s="218" t="inlineStr">
        <is>
          <t>Recibo</t>
        </is>
      </c>
      <c r="I179" s="219" t="n">
        <v>300</v>
      </c>
      <c r="J179" s="218" t="inlineStr">
        <is>
          <t>ADMINISTRATIVO</t>
        </is>
      </c>
      <c r="K179" s="218" t="inlineStr">
        <is>
          <t>ALOJAMENTO, ALIMENTACAO E UTILIDADES</t>
        </is>
      </c>
      <c r="L179" s="222" t="str">
        <f>IF(B179&lt;&gt;"DESPESA","",IFERROR(VLOOKUP(K179,$P$5:$Q$16,2,FALSE),"?"))</f>
        <v>ADM</v>
      </c>
      <c r="M179" s="218" t="inlineStr">
        <is>
          <t>REALIZADO (até 30/04)</t>
        </is>
      </c>
      <c r="N179" s="272" t="inlineStr">
        <is>
          <t>SANEAGO_MOZARLANDIA_CUSTOS 30.04.2026.xlsx / FINANCEIRO ATE 30.04 / linha 191</t>
        </is>
      </c>
    </row>
    <row r="180">
      <c r="A180" s="222" t="n">
        <v>177</v>
      </c>
      <c r="B180" s="218" t="inlineStr">
        <is>
          <t>DESPESA</t>
        </is>
      </c>
      <c r="C180" s="220" t="n">
        <v>46064</v>
      </c>
      <c r="D180" s="220" t="n">
        <v>46123</v>
      </c>
      <c r="E180" s="335">
        <f>IF(D180="","",DATE(YEAR(D180),MONTH(D180),1))</f>
        <v>46113.0</v>
      </c>
      <c r="F180" s="218" t="inlineStr">
        <is>
          <t>MADEIMANAS MADEIREIRA MANAS LTDA</t>
        </is>
      </c>
      <c r="G180" s="218" t="inlineStr">
        <is>
          <t>FERRAMENTAL OBRA</t>
        </is>
      </c>
      <c r="H180" s="218" t="inlineStr">
        <is>
          <t>177371</t>
        </is>
      </c>
      <c r="I180" s="219" t="n">
        <v>50.64</v>
      </c>
      <c r="J180" s="218" t="inlineStr">
        <is>
          <t>CIVIL</t>
        </is>
      </c>
      <c r="K180" s="218" t="inlineStr">
        <is>
          <t>MATERIAIS E FERRAMENTAS</t>
        </is>
      </c>
      <c r="L180" s="222" t="str">
        <f>IF(B180&lt;&gt;"DESPESA","",IFERROR(VLOOKUP(K180,$P$5:$Q$16,2,FALSE),"?"))</f>
        <v>MAT</v>
      </c>
      <c r="M180" s="218" t="inlineStr">
        <is>
          <t>REALIZADO (até 30/04)</t>
        </is>
      </c>
      <c r="N180" s="272" t="inlineStr">
        <is>
          <t>SANEAGO_MOZARLANDIA_CUSTOS 30.04.2026.xlsx / FINANCEIRO ATE 30.04 / linha 192 | REPETIDA: mesmo NF 177371, fornecedor e valor (~51) aparece 2x (vencimentos: 2026-03-11, 2026-04-11); parcela ou duplicidade, conferir</t>
        </is>
      </c>
    </row>
    <row r="181">
      <c r="A181" s="222" t="n">
        <v>178</v>
      </c>
      <c r="B181" s="218" t="inlineStr">
        <is>
          <t>DESPESA</t>
        </is>
      </c>
      <c r="C181" s="220" t="n">
        <v>46065</v>
      </c>
      <c r="D181" s="220" t="n">
        <v>46123</v>
      </c>
      <c r="E181" s="335">
        <f>IF(D181="","",DATE(YEAR(D181),MONTH(D181),1))</f>
        <v>46113.0</v>
      </c>
      <c r="F181" s="218" t="inlineStr">
        <is>
          <t>ART AREIAS RIO TESOURO LTDA</t>
        </is>
      </c>
      <c r="G181" s="218" t="inlineStr">
        <is>
          <t>MATERIAL APLICADO</t>
        </is>
      </c>
      <c r="H181" s="218" t="inlineStr">
        <is>
          <t>8992</t>
        </is>
      </c>
      <c r="I181" s="219" t="n">
        <v>549.64</v>
      </c>
      <c r="J181" s="218" t="inlineStr">
        <is>
          <t>CIVIL</t>
        </is>
      </c>
      <c r="K181" s="218" t="inlineStr">
        <is>
          <t>MATERIAIS E FERRAMENTAS</t>
        </is>
      </c>
      <c r="L181" s="222" t="str">
        <f>IF(B181&lt;&gt;"DESPESA","",IFERROR(VLOOKUP(K181,$P$5:$Q$16,2,FALSE),"?"))</f>
        <v>MAT</v>
      </c>
      <c r="M181" s="218" t="inlineStr">
        <is>
          <t>REALIZADO (até 30/04)</t>
        </is>
      </c>
      <c r="N181" s="272" t="inlineStr">
        <is>
          <t>SANEAGO_MOZARLANDIA_CUSTOS 30.04.2026.xlsx / FINANCEIRO ATE 30.04 / linha 193 | REPETIDA: mesmo NF 8992, fornecedor e valor (~550) aparece 2x (vencimentos: 2026-03-11, 2026-04-11); parcela ou duplicidade, conferir</t>
        </is>
      </c>
    </row>
    <row r="182">
      <c r="A182" s="222" t="n">
        <v>179</v>
      </c>
      <c r="B182" s="218" t="inlineStr">
        <is>
          <t>DESPESA</t>
        </is>
      </c>
      <c r="C182" s="220" t="n">
        <v>46093</v>
      </c>
      <c r="D182" s="220" t="n">
        <v>46123</v>
      </c>
      <c r="E182" s="335">
        <f>IF(D182="","",DATE(YEAR(D182),MONTH(D182),1))</f>
        <v>46113.0</v>
      </c>
      <c r="F182" s="218" t="inlineStr">
        <is>
          <t>MADEIMANAS MADEIREIRA MANAS LTDA</t>
        </is>
      </c>
      <c r="G182" s="218" t="inlineStr">
        <is>
          <t>MATERIAL APLICADO - FERRO CONSTRUÇÃO</t>
        </is>
      </c>
      <c r="H182" s="218" t="inlineStr">
        <is>
          <t>178929</t>
        </is>
      </c>
      <c r="I182" s="219" t="n">
        <v>1490</v>
      </c>
      <c r="J182" s="218" t="inlineStr">
        <is>
          <t>CIVIL</t>
        </is>
      </c>
      <c r="K182" s="218" t="inlineStr">
        <is>
          <t>MATERIAIS E FERRAMENTAS</t>
        </is>
      </c>
      <c r="L182" s="222" t="str">
        <f>IF(B182&lt;&gt;"DESPESA","",IFERROR(VLOOKUP(K182,$P$5:$Q$16,2,FALSE),"?"))</f>
        <v>MAT</v>
      </c>
      <c r="M182" s="218" t="inlineStr">
        <is>
          <t>REALIZADO (até 30/04)</t>
        </is>
      </c>
      <c r="N182" s="272" t="inlineStr">
        <is>
          <t>SANEAGO_MOZARLANDIA_CUSTOS 30.04.2026.xlsx / FINANCEIRO ATE 30.04 / linha 194</t>
        </is>
      </c>
    </row>
    <row r="183">
      <c r="A183" s="222" t="n">
        <v>180</v>
      </c>
      <c r="B183" s="218" t="inlineStr">
        <is>
          <t>DESPESA</t>
        </is>
      </c>
      <c r="C183" s="220" t="n">
        <v>46094</v>
      </c>
      <c r="D183" s="220" t="n">
        <v>46124</v>
      </c>
      <c r="E183" s="335">
        <f>IF(D183="","",DATE(YEAR(D183),MONTH(D183),1))</f>
        <v>46113.0</v>
      </c>
      <c r="F183" s="218" t="inlineStr">
        <is>
          <t>MADEIMANAS MADEIREIRA MANAS LTDA</t>
        </is>
      </c>
      <c r="G183" s="218" t="inlineStr">
        <is>
          <t>MATERIAL APLICADO</t>
        </is>
      </c>
      <c r="H183" s="218" t="inlineStr">
        <is>
          <t>178971</t>
        </is>
      </c>
      <c r="I183" s="219" t="n">
        <v>364.17</v>
      </c>
      <c r="J183" s="218" t="inlineStr">
        <is>
          <t>CIVIL</t>
        </is>
      </c>
      <c r="K183" s="218" t="inlineStr">
        <is>
          <t>MATERIAIS E FERRAMENTAS</t>
        </is>
      </c>
      <c r="L183" s="222" t="str">
        <f>IF(B183&lt;&gt;"DESPESA","",IFERROR(VLOOKUP(K183,$P$5:$Q$16,2,FALSE),"?"))</f>
        <v>MAT</v>
      </c>
      <c r="M183" s="218" t="inlineStr">
        <is>
          <t>REALIZADO (até 30/04)</t>
        </is>
      </c>
      <c r="N183" s="272" t="inlineStr">
        <is>
          <t>SANEAGO_MOZARLANDIA_CUSTOS 30.04.2026.xlsx / FINANCEIRO ATE 30.04 / linha 195</t>
        </is>
      </c>
    </row>
    <row r="184">
      <c r="A184" s="222" t="n">
        <v>181</v>
      </c>
      <c r="B184" s="218" t="inlineStr">
        <is>
          <t>DESPESA</t>
        </is>
      </c>
      <c r="C184" s="220" t="n">
        <v>46104</v>
      </c>
      <c r="D184" s="220" t="n">
        <v>46124</v>
      </c>
      <c r="E184" s="335">
        <f>IF(D184="","",DATE(YEAR(D184),MONTH(D184),1))</f>
        <v>46113.0</v>
      </c>
      <c r="F184" s="218" t="inlineStr">
        <is>
          <t>PARANAFERROS</t>
        </is>
      </c>
      <c r="G184" s="218" t="inlineStr">
        <is>
          <t>MATERIAL APLICADO</t>
        </is>
      </c>
      <c r="H184" s="218" t="inlineStr">
        <is>
          <t>110862</t>
        </is>
      </c>
      <c r="I184" s="219" t="n">
        <v>2237.5</v>
      </c>
      <c r="J184" s="218" t="inlineStr">
        <is>
          <t>CIVIL</t>
        </is>
      </c>
      <c r="K184" s="218" t="inlineStr">
        <is>
          <t>MATERIAIS E FERRAMENTAS</t>
        </is>
      </c>
      <c r="L184" s="222" t="str">
        <f>IF(B184&lt;&gt;"DESPESA","",IFERROR(VLOOKUP(K184,$P$5:$Q$16,2,FALSE),"?"))</f>
        <v>MAT</v>
      </c>
      <c r="M184" s="218" t="inlineStr">
        <is>
          <t>REALIZADO (até 30/04)</t>
        </is>
      </c>
      <c r="N184" s="272" t="inlineStr">
        <is>
          <t>SANEAGO_MOZARLANDIA_CUSTOS 30.04.2026.xlsx / FINANCEIRO ATE 30.04 / linha 196 | REPETIDA: mesmo NF 110862, fornecedor e valor (~2238) aparece 2x (vencimentos: 2026-04-12, 2026-05-02); parcela ou duplicidade, conferir</t>
        </is>
      </c>
    </row>
    <row r="185">
      <c r="A185" s="222" t="n">
        <v>182</v>
      </c>
      <c r="B185" s="218" t="inlineStr">
        <is>
          <t>DESPESA</t>
        </is>
      </c>
      <c r="C185" s="220" t="n">
        <v>46094</v>
      </c>
      <c r="D185" s="220" t="n">
        <v>46125</v>
      </c>
      <c r="E185" s="335">
        <f>IF(D185="","",DATE(YEAR(D185),MONTH(D185),1))</f>
        <v>46113.0</v>
      </c>
      <c r="F185" s="218" t="inlineStr">
        <is>
          <t>CONCRETOP CONCRETO E PRE-MOLDADOS LTDA</t>
        </is>
      </c>
      <c r="G185" s="218" t="inlineStr">
        <is>
          <t>CONCRETAGEM FCK 40</t>
        </is>
      </c>
      <c r="H185" s="218" t="inlineStr">
        <is>
          <t>0020</t>
        </is>
      </c>
      <c r="I185" s="219" t="n">
        <v>11511.96</v>
      </c>
      <c r="J185" s="218" t="inlineStr">
        <is>
          <t>CIVIL</t>
        </is>
      </c>
      <c r="K185" s="218" t="inlineStr">
        <is>
          <t>SERVICOS DE TERCEIROS / CANTEIRO</t>
        </is>
      </c>
      <c r="L185" s="222" t="str">
        <f>IF(B185&lt;&gt;"DESPESA","",IFERROR(VLOOKUP(K185,$P$5:$Q$16,2,FALSE),"?"))</f>
        <v>TER</v>
      </c>
      <c r="M185" s="218" t="inlineStr">
        <is>
          <t>REALIZADO (até 30/04)</t>
        </is>
      </c>
      <c r="N185" s="272" t="inlineStr">
        <is>
          <t>SANEAGO_MOZARLANDIA_CUSTOS 30.04.2026.xlsx / FINANCEIRO ATE 30.04 / linha 197</t>
        </is>
      </c>
    </row>
    <row r="186">
      <c r="A186" s="222" t="n">
        <v>183</v>
      </c>
      <c r="B186" s="218" t="inlineStr">
        <is>
          <t>DESPESA</t>
        </is>
      </c>
      <c r="C186" s="220" t="n">
        <v>46095</v>
      </c>
      <c r="D186" s="220" t="n">
        <v>46125</v>
      </c>
      <c r="E186" s="335">
        <f>IF(D186="","",DATE(YEAR(D186),MONTH(D186),1))</f>
        <v>46113.0</v>
      </c>
      <c r="F186" s="218" t="inlineStr">
        <is>
          <t>PAPELARIA TRIBUTARIA LTDA</t>
        </is>
      </c>
      <c r="G186" s="218" t="inlineStr">
        <is>
          <t>MATERIAL ESCRITÓRIO</t>
        </is>
      </c>
      <c r="H186" s="218" t="inlineStr">
        <is>
          <t>811034</t>
        </is>
      </c>
      <c r="I186" s="219" t="n">
        <v>240.4</v>
      </c>
      <c r="J186" s="218" t="inlineStr">
        <is>
          <t>ADMINISTRATIVO</t>
        </is>
      </c>
      <c r="K186" s="218" t="inlineStr">
        <is>
          <t>ADMINISTRATIVO GERAL (seguros, honorarios, reembolsos, TI)</t>
        </is>
      </c>
      <c r="L186" s="222" t="str">
        <f>IF(B186&lt;&gt;"DESPESA","",IFERROR(VLOOKUP(K186,$P$5:$Q$16,2,FALSE),"?"))</f>
        <v>ADM</v>
      </c>
      <c r="M186" s="218" t="inlineStr">
        <is>
          <t>REALIZADO (até 30/04)</t>
        </is>
      </c>
      <c r="N186" s="272" t="inlineStr">
        <is>
          <t>SANEAGO_MOZARLANDIA_CUSTOS 30.04.2026.xlsx / FINANCEIRO ATE 30.04 / linha 198</t>
        </is>
      </c>
    </row>
    <row r="187">
      <c r="A187" s="222" t="n">
        <v>184</v>
      </c>
      <c r="B187" s="218" t="inlineStr">
        <is>
          <t>DESPESA</t>
        </is>
      </c>
      <c r="C187" s="220" t="n">
        <v>46121</v>
      </c>
      <c r="D187" s="220" t="n">
        <v>46125</v>
      </c>
      <c r="E187" s="335">
        <f>IF(D187="","",DATE(YEAR(D187),MONTH(D187),1))</f>
        <v>46113.0</v>
      </c>
      <c r="F187" s="218" t="inlineStr">
        <is>
          <t>ALCIONE ROCHA MACHADO</t>
        </is>
      </c>
      <c r="G187" s="218" t="inlineStr">
        <is>
          <t>REEMBOLSO PASSAGENS</t>
        </is>
      </c>
      <c r="H187" s="218" t="inlineStr">
        <is>
          <t>Recibo</t>
        </is>
      </c>
      <c r="I187" s="219" t="n">
        <v>133.2</v>
      </c>
      <c r="J187" s="218" t="inlineStr">
        <is>
          <t>ADMINISTRATIVO</t>
        </is>
      </c>
      <c r="K187" s="218" t="inlineStr">
        <is>
          <t>ADMINISTRATIVO GERAL (seguros, honorarios, reembolsos, TI)</t>
        </is>
      </c>
      <c r="L187" s="222" t="str">
        <f>IF(B187&lt;&gt;"DESPESA","",IFERROR(VLOOKUP(K187,$P$5:$Q$16,2,FALSE),"?"))</f>
        <v>ADM</v>
      </c>
      <c r="M187" s="218" t="inlineStr">
        <is>
          <t>REALIZADO (até 30/04)</t>
        </is>
      </c>
      <c r="N187" s="272" t="inlineStr">
        <is>
          <t>SANEAGO_MOZARLANDIA_CUSTOS 30.04.2026.xlsx / FINANCEIRO ATE 30.04 / linha 199</t>
        </is>
      </c>
    </row>
    <row r="188">
      <c r="A188" s="222" t="n">
        <v>185</v>
      </c>
      <c r="B188" s="218" t="inlineStr">
        <is>
          <t>DESPESA</t>
        </is>
      </c>
      <c r="C188" s="220" t="n">
        <v>46121</v>
      </c>
      <c r="D188" s="220" t="n">
        <v>46125</v>
      </c>
      <c r="E188" s="335">
        <f>IF(D188="","",DATE(YEAR(D188),MONTH(D188),1))</f>
        <v>46113.0</v>
      </c>
      <c r="F188" s="218" t="inlineStr">
        <is>
          <t>JOSE ODAIR DA SILVA</t>
        </is>
      </c>
      <c r="G188" s="218" t="inlineStr">
        <is>
          <t>REEMBOLSO PASSAGENS</t>
        </is>
      </c>
      <c r="H188" s="218" t="inlineStr">
        <is>
          <t>Recibo</t>
        </is>
      </c>
      <c r="I188" s="219" t="n">
        <v>757.53</v>
      </c>
      <c r="J188" s="218" t="inlineStr">
        <is>
          <t>ADMINISTRATIVO</t>
        </is>
      </c>
      <c r="K188" s="218" t="inlineStr">
        <is>
          <t>ADMINISTRATIVO GERAL (seguros, honorarios, reembolsos, TI)</t>
        </is>
      </c>
      <c r="L188" s="222" t="str">
        <f>IF(B188&lt;&gt;"DESPESA","",IFERROR(VLOOKUP(K188,$P$5:$Q$16,2,FALSE),"?"))</f>
        <v>ADM</v>
      </c>
      <c r="M188" s="218" t="inlineStr">
        <is>
          <t>REALIZADO (até 30/04)</t>
        </is>
      </c>
      <c r="N188" s="272" t="inlineStr">
        <is>
          <t>SANEAGO_MOZARLANDIA_CUSTOS 30.04.2026.xlsx / FINANCEIRO ATE 30.04 / linha 200</t>
        </is>
      </c>
    </row>
    <row r="189">
      <c r="A189" s="222" t="n">
        <v>186</v>
      </c>
      <c r="B189" s="218" t="inlineStr">
        <is>
          <t>DESPESA</t>
        </is>
      </c>
      <c r="C189" s="220" t="n">
        <v>46065</v>
      </c>
      <c r="D189" s="220" t="n">
        <v>46126</v>
      </c>
      <c r="E189" s="335">
        <f>IF(D189="","",DATE(YEAR(D189),MONTH(D189),1))</f>
        <v>46113.0</v>
      </c>
      <c r="F189" s="218" t="inlineStr">
        <is>
          <t>DISKOTEL ELETRO EIRELI</t>
        </is>
      </c>
      <c r="G189" s="218" t="inlineStr">
        <is>
          <t>MATERIAL APLICADO</t>
        </is>
      </c>
      <c r="H189" s="218" t="inlineStr">
        <is>
          <t>14345</t>
        </is>
      </c>
      <c r="I189" s="219" t="n">
        <v>899.97</v>
      </c>
      <c r="J189" s="218" t="inlineStr">
        <is>
          <t>CIVIL</t>
        </is>
      </c>
      <c r="K189" s="218" t="inlineStr">
        <is>
          <t>MATERIAIS E FERRAMENTAS</t>
        </is>
      </c>
      <c r="L189" s="222" t="str">
        <f>IF(B189&lt;&gt;"DESPESA","",IFERROR(VLOOKUP(K189,$P$5:$Q$16,2,FALSE),"?"))</f>
        <v>MAT</v>
      </c>
      <c r="M189" s="218" t="inlineStr">
        <is>
          <t>REALIZADO (até 30/04)</t>
        </is>
      </c>
      <c r="N189" s="272" t="inlineStr">
        <is>
          <t>SANEAGO_MOZARLANDIA_CUSTOS 30.04.2026.xlsx / FINANCEIRO ATE 30.04 / linha 201 | REPETIDA: mesmo NF 14345, fornecedor e valor (~900) aparece 2x (vencimentos: 2026-03-14, 2026-04-14); parcela ou duplicidade, conferir</t>
        </is>
      </c>
    </row>
    <row r="190">
      <c r="A190" s="222" t="n">
        <v>187</v>
      </c>
      <c r="B190" s="218" t="inlineStr">
        <is>
          <t>DESPESA</t>
        </is>
      </c>
      <c r="C190" s="220" t="n">
        <v>46098</v>
      </c>
      <c r="D190" s="220" t="n">
        <v>46126</v>
      </c>
      <c r="E190" s="335">
        <f>IF(D190="","",DATE(YEAR(D190),MONTH(D190),1))</f>
        <v>46113.0</v>
      </c>
      <c r="F190" s="218" t="inlineStr">
        <is>
          <t>SUZANA LOCACOES LTDA</t>
        </is>
      </c>
      <c r="G190" s="218" t="inlineStr">
        <is>
          <t>LOCAÇÃO EQUIPAMENTOS</t>
        </is>
      </c>
      <c r="H190" s="218" t="inlineStr">
        <is>
          <t>2331</t>
        </is>
      </c>
      <c r="I190" s="219" t="n">
        <v>1810</v>
      </c>
      <c r="J190" s="218" t="inlineStr">
        <is>
          <t>CIVIL</t>
        </is>
      </c>
      <c r="K190" s="218" t="inlineStr">
        <is>
          <t>LOCACAO DE EQUIPAMENTOS</t>
        </is>
      </c>
      <c r="L190" s="222" t="str">
        <f>IF(B190&lt;&gt;"DESPESA","",IFERROR(VLOOKUP(K190,$P$5:$Q$16,2,FALSE),"?"))</f>
        <v>EQP</v>
      </c>
      <c r="M190" s="218" t="inlineStr">
        <is>
          <t>REALIZADO (até 30/04)</t>
        </is>
      </c>
      <c r="N190" s="272" t="inlineStr">
        <is>
          <t>SANEAGO_MOZARLANDIA_CUSTOS 30.04.2026.xlsx / FINANCEIRO ATE 30.04 / linha 202</t>
        </is>
      </c>
    </row>
    <row r="191">
      <c r="A191" s="222" t="n">
        <v>188</v>
      </c>
      <c r="B191" s="218" t="inlineStr">
        <is>
          <t>DESPESA</t>
        </is>
      </c>
      <c r="C191" s="220" t="n">
        <v>46098</v>
      </c>
      <c r="D191" s="220" t="n">
        <v>46126</v>
      </c>
      <c r="E191" s="335">
        <f>IF(D191="","",DATE(YEAR(D191),MONTH(D191),1))</f>
        <v>46113.0</v>
      </c>
      <c r="F191" s="218" t="inlineStr">
        <is>
          <t>SUZANA LOCACOES LTDA</t>
        </is>
      </c>
      <c r="G191" s="218" t="inlineStr">
        <is>
          <t>LOCAÇÃO EQUIPAMENTOS</t>
        </is>
      </c>
      <c r="H191" s="218" t="inlineStr">
        <is>
          <t>2333</t>
        </is>
      </c>
      <c r="I191" s="219" t="n">
        <v>1380</v>
      </c>
      <c r="J191" s="218" t="inlineStr">
        <is>
          <t>CIVIL</t>
        </is>
      </c>
      <c r="K191" s="218" t="inlineStr">
        <is>
          <t>LOCACAO DE EQUIPAMENTOS</t>
        </is>
      </c>
      <c r="L191" s="222" t="str">
        <f>IF(B191&lt;&gt;"DESPESA","",IFERROR(VLOOKUP(K191,$P$5:$Q$16,2,FALSE),"?"))</f>
        <v>EQP</v>
      </c>
      <c r="M191" s="218" t="inlineStr">
        <is>
          <t>REALIZADO (até 30/04)</t>
        </is>
      </c>
      <c r="N191" s="272" t="inlineStr">
        <is>
          <t>SANEAGO_MOZARLANDIA_CUSTOS 30.04.2026.xlsx / FINANCEIRO ATE 30.04 / linha 203</t>
        </is>
      </c>
    </row>
    <row r="192">
      <c r="A192" s="222" t="n">
        <v>189</v>
      </c>
      <c r="B192" s="218" t="inlineStr">
        <is>
          <t>DESPESA</t>
        </is>
      </c>
      <c r="C192" s="220" t="n">
        <v>46098</v>
      </c>
      <c r="D192" s="220" t="n">
        <v>46126</v>
      </c>
      <c r="E192" s="335">
        <f>IF(D192="","",DATE(YEAR(D192),MONTH(D192),1))</f>
        <v>46113.0</v>
      </c>
      <c r="F192" s="218" t="inlineStr">
        <is>
          <t>SUZANA LOCACOES LTDA</t>
        </is>
      </c>
      <c r="G192" s="218" t="inlineStr">
        <is>
          <t>LOCAÇÃO EQUIPAMENTOS</t>
        </is>
      </c>
      <c r="H192" s="218" t="inlineStr">
        <is>
          <t>2334</t>
        </is>
      </c>
      <c r="I192" s="219" t="n">
        <v>76</v>
      </c>
      <c r="J192" s="218" t="inlineStr">
        <is>
          <t>CIVIL</t>
        </is>
      </c>
      <c r="K192" s="218" t="inlineStr">
        <is>
          <t>LOCACAO DE EQUIPAMENTOS</t>
        </is>
      </c>
      <c r="L192" s="222" t="str">
        <f>IF(B192&lt;&gt;"DESPESA","",IFERROR(VLOOKUP(K192,$P$5:$Q$16,2,FALSE),"?"))</f>
        <v>EQP</v>
      </c>
      <c r="M192" s="218" t="inlineStr">
        <is>
          <t>REALIZADO (até 30/04)</t>
        </is>
      </c>
      <c r="N192" s="272" t="inlineStr">
        <is>
          <t>SANEAGO_MOZARLANDIA_CUSTOS 30.04.2026.xlsx / FINANCEIRO ATE 30.04 / linha 204</t>
        </is>
      </c>
    </row>
    <row r="193">
      <c r="A193" s="222" t="n">
        <v>190</v>
      </c>
      <c r="B193" s="218" t="inlineStr">
        <is>
          <t>APORTE</t>
        </is>
      </c>
      <c r="C193" s="220" t="n">
        <v>46127</v>
      </c>
      <c r="D193" s="220" t="n">
        <v>46127</v>
      </c>
      <c r="E193" s="335">
        <f>IF(D193="","",DATE(YEAR(D193),MONTH(D193),1))</f>
        <v>46113.0</v>
      </c>
      <c r="F193" s="218" t="inlineStr">
        <is>
          <t>TECNOBOMBAS</t>
        </is>
      </c>
      <c r="G193" s="218" t="inlineStr">
        <is>
          <t>APORTE DA TECNOBOMBAS</t>
        </is>
      </c>
      <c r="H193" s="218" t="inlineStr">
        <is>
          <t>PIX</t>
        </is>
      </c>
      <c r="I193" s="219" t="n">
        <v>5000</v>
      </c>
      <c r="J193" s="218" t="inlineStr">
        <is>
          <t>APORTE</t>
        </is>
      </c>
      <c r="K193" s="218" t="inlineStr">
        <is>
          <t>APORTE</t>
        </is>
      </c>
      <c r="L193" s="222">
        <f>IF(B193&lt;&gt;"DESPESA","",IFERROR(VLOOKUP(K193,$P$5:$Q$16,2,FALSE),"?"))</f>
      </c>
      <c r="M193" s="218" t="inlineStr">
        <is>
          <t>REALIZADO (até 30/04)</t>
        </is>
      </c>
      <c r="N193" s="272" t="inlineStr">
        <is>
          <t>SANEAGO_MOZARLANDIA_CUSTOS 30.04.2026.xlsx / FINANCEIRO ATE 30.04 / linha 205</t>
        </is>
      </c>
    </row>
    <row r="194">
      <c r="A194" s="222" t="n">
        <v>191</v>
      </c>
      <c r="B194" s="218" t="inlineStr">
        <is>
          <t>DESPESA</t>
        </is>
      </c>
      <c r="C194" s="220" t="n">
        <v>46097</v>
      </c>
      <c r="D194" s="220" t="n">
        <v>46127</v>
      </c>
      <c r="E194" s="335">
        <f>IF(D194="","",DATE(YEAR(D194),MONTH(D194),1))</f>
        <v>46113.0</v>
      </c>
      <c r="F194" s="218" t="inlineStr">
        <is>
          <t>WM PARAFUSOS E FERRAMENTAS LTDA</t>
        </is>
      </c>
      <c r="G194" s="218" t="inlineStr">
        <is>
          <t>FERRAMENTAL</t>
        </is>
      </c>
      <c r="H194" s="218" t="inlineStr">
        <is>
          <t>91673</t>
        </is>
      </c>
      <c r="I194" s="219" t="n">
        <v>539</v>
      </c>
      <c r="J194" s="218" t="inlineStr">
        <is>
          <t>CIVIL</t>
        </is>
      </c>
      <c r="K194" s="218" t="inlineStr">
        <is>
          <t>MATERIAIS E FERRAMENTAS</t>
        </is>
      </c>
      <c r="L194" s="222" t="str">
        <f>IF(B194&lt;&gt;"DESPESA","",IFERROR(VLOOKUP(K194,$P$5:$Q$16,2,FALSE),"?"))</f>
        <v>MAT</v>
      </c>
      <c r="M194" s="218" t="inlineStr">
        <is>
          <t>REALIZADO (até 30/04)</t>
        </is>
      </c>
      <c r="N194" s="272" t="inlineStr">
        <is>
          <t>SANEAGO_MOZARLANDIA_CUSTOS 30.04.2026.xlsx / FINANCEIRO ATE 30.04 / linha 206</t>
        </is>
      </c>
    </row>
    <row r="195">
      <c r="A195" s="222" t="n">
        <v>192</v>
      </c>
      <c r="B195" s="218" t="inlineStr">
        <is>
          <t>DESPESA</t>
        </is>
      </c>
      <c r="C195" s="220" t="n">
        <v>46052</v>
      </c>
      <c r="D195" s="220" t="n">
        <v>46127</v>
      </c>
      <c r="E195" s="335">
        <f>IF(D195="","",DATE(YEAR(D195),MONTH(D195),1))</f>
        <v>46113.0</v>
      </c>
      <c r="F195" s="218" t="inlineStr">
        <is>
          <t>LIFEIN TELECOM LTDA</t>
        </is>
      </c>
      <c r="G195" s="218" t="inlineStr">
        <is>
          <t>INTERNET OBRA</t>
        </is>
      </c>
      <c r="H195" s="218" t="inlineStr">
        <is>
          <t>Boleto</t>
        </is>
      </c>
      <c r="I195" s="219" t="n">
        <v>100</v>
      </c>
      <c r="J195" s="218" t="inlineStr">
        <is>
          <t>ADMINISTRATIVO</t>
        </is>
      </c>
      <c r="K195" s="218" t="inlineStr">
        <is>
          <t>ALOJAMENTO, ALIMENTACAO E UTILIDADES</t>
        </is>
      </c>
      <c r="L195" s="222" t="str">
        <f>IF(B195&lt;&gt;"DESPESA","",IFERROR(VLOOKUP(K195,$P$5:$Q$16,2,FALSE),"?"))</f>
        <v>ADM</v>
      </c>
      <c r="M195" s="218" t="inlineStr">
        <is>
          <t>REALIZADO (até 30/04)</t>
        </is>
      </c>
      <c r="N195" s="272" t="inlineStr">
        <is>
          <t>SANEAGO_MOZARLANDIA_CUSTOS 30.04.2026.xlsx / FINANCEIRO ATE 30.04 / linha 207</t>
        </is>
      </c>
    </row>
    <row r="196">
      <c r="A196" s="222" t="n">
        <v>193</v>
      </c>
      <c r="B196" s="218" t="inlineStr">
        <is>
          <t>DESPESA</t>
        </is>
      </c>
      <c r="C196" s="220" t="n">
        <v>46107</v>
      </c>
      <c r="D196" s="220" t="n">
        <v>46127</v>
      </c>
      <c r="E196" s="335">
        <f>IF(D196="","",DATE(YEAR(D196),MONTH(D196),1))</f>
        <v>46113.0</v>
      </c>
      <c r="F196" s="218" t="inlineStr">
        <is>
          <t>JM APROTETORA COMERCIO DE EPI LTDA</t>
        </is>
      </c>
      <c r="G196" s="218" t="inlineStr">
        <is>
          <t>EPIS</t>
        </is>
      </c>
      <c r="H196" s="218" t="inlineStr">
        <is>
          <t>1862</t>
        </is>
      </c>
      <c r="I196" s="219" t="n">
        <v>445.62</v>
      </c>
      <c r="J196" s="218" t="inlineStr">
        <is>
          <t>ADMINISTRATIVO</t>
        </is>
      </c>
      <c r="K196" s="218" t="inlineStr">
        <is>
          <t>SEGURANCA DO TRABALHO (EPI/UNIFORMES)</t>
        </is>
      </c>
      <c r="L196" s="222" t="str">
        <f>IF(B196&lt;&gt;"DESPESA","",IFERROR(VLOOKUP(K196,$P$5:$Q$16,2,FALSE),"?"))</f>
        <v>ADM</v>
      </c>
      <c r="M196" s="218" t="inlineStr">
        <is>
          <t>REALIZADO (até 30/04)</t>
        </is>
      </c>
      <c r="N196" s="272" t="inlineStr">
        <is>
          <t>SANEAGO_MOZARLANDIA_CUSTOS 30.04.2026.xlsx / FINANCEIRO ATE 30.04 / linha 208 | REPETIDA: mesmo NF 1862, fornecedor e valor (~446) aparece 2x (vencimentos: 2026-04-15, 2026-05-05); parcela ou duplicidade, conferir</t>
        </is>
      </c>
    </row>
    <row r="197">
      <c r="A197" s="222" t="n">
        <v>194</v>
      </c>
      <c r="B197" s="218" t="inlineStr">
        <is>
          <t>DESPESA</t>
        </is>
      </c>
      <c r="C197" s="220" t="n">
        <v>46108</v>
      </c>
      <c r="D197" s="220" t="n">
        <v>46127</v>
      </c>
      <c r="E197" s="335">
        <f>IF(D197="","",DATE(YEAR(D197),MONTH(D197),1))</f>
        <v>46113.0</v>
      </c>
      <c r="F197" s="218" t="inlineStr">
        <is>
          <t>LUCAS ESTEVES DOS REIS</t>
        </is>
      </c>
      <c r="G197" s="218" t="inlineStr">
        <is>
          <t>PLACAS DE OBRA</t>
        </is>
      </c>
      <c r="H197" s="218" t="inlineStr">
        <is>
          <t>139</t>
        </is>
      </c>
      <c r="I197" s="219" t="n">
        <v>1375</v>
      </c>
      <c r="J197" s="218" t="inlineStr">
        <is>
          <t>CIVIL</t>
        </is>
      </c>
      <c r="K197" s="218" t="inlineStr">
        <is>
          <t>SERVICOS DE TERCEIROS / CANTEIRO</t>
        </is>
      </c>
      <c r="L197" s="222" t="str">
        <f>IF(B197&lt;&gt;"DESPESA","",IFERROR(VLOOKUP(K197,$P$5:$Q$16,2,FALSE),"?"))</f>
        <v>TER</v>
      </c>
      <c r="M197" s="218" t="inlineStr">
        <is>
          <t>REALIZADO (até 30/04)</t>
        </is>
      </c>
      <c r="N197" s="272" t="inlineStr">
        <is>
          <t>SANEAGO_MOZARLANDIA_CUSTOS 30.04.2026.xlsx / FINANCEIRO ATE 30.04 / linha 209 | REPETIDA: mesmo NF 139, fornecedor e valor (~1375) aparece 2x (vencimentos: 2026-04-15, 2026-04-27); parcela ou duplicidade, conferir</t>
        </is>
      </c>
    </row>
    <row r="198">
      <c r="A198" s="222" t="n">
        <v>195</v>
      </c>
      <c r="B198" s="218" t="inlineStr">
        <is>
          <t>DESPESA</t>
        </is>
      </c>
      <c r="C198" s="220" t="n">
        <v>46114</v>
      </c>
      <c r="D198" s="220" t="n">
        <v>46127</v>
      </c>
      <c r="E198" s="335">
        <f>IF(D198="","",DATE(YEAR(D198),MONTH(D198),1))</f>
        <v>46113.0</v>
      </c>
      <c r="F198" s="218" t="inlineStr">
        <is>
          <t>ALVES E ROCHA LTDA</t>
        </is>
      </c>
      <c r="G198" s="218" t="inlineStr">
        <is>
          <t>COMBUSTÍVEIS</t>
        </is>
      </c>
      <c r="H198" s="218" t="inlineStr">
        <is>
          <t>17595</t>
        </is>
      </c>
      <c r="I198" s="219" t="n">
        <v>561.64</v>
      </c>
      <c r="J198" s="218" t="inlineStr">
        <is>
          <t>ADMINISTRATIVO</t>
        </is>
      </c>
      <c r="K198" s="218" t="inlineStr">
        <is>
          <t>COMBUSTIVEIS</t>
        </is>
      </c>
      <c r="L198" s="222" t="str">
        <f>IF(B198&lt;&gt;"DESPESA","",IFERROR(VLOOKUP(K198,$P$5:$Q$16,2,FALSE),"?"))</f>
        <v>EQP</v>
      </c>
      <c r="M198" s="218" t="inlineStr">
        <is>
          <t>REALIZADO (até 30/04)</t>
        </is>
      </c>
      <c r="N198" s="272" t="inlineStr">
        <is>
          <t>SANEAGO_MOZARLANDIA_CUSTOS 30.04.2026.xlsx / FINANCEIRO ATE 30.04 / linha 210</t>
        </is>
      </c>
    </row>
    <row r="199">
      <c r="A199" s="222" t="n">
        <v>196</v>
      </c>
      <c r="B199" s="218" t="inlineStr">
        <is>
          <t>DESPESA</t>
        </is>
      </c>
      <c r="C199" s="220" t="n">
        <v>46114</v>
      </c>
      <c r="D199" s="220" t="n">
        <v>46127</v>
      </c>
      <c r="E199" s="335">
        <f>IF(D199="","",DATE(YEAR(D199),MONTH(D199),1))</f>
        <v>46113.0</v>
      </c>
      <c r="F199" s="218" t="inlineStr">
        <is>
          <t>COMERCIO DE COMBUSTIVEIS EBENEZER LTDA</t>
        </is>
      </c>
      <c r="G199" s="218" t="inlineStr">
        <is>
          <t>COMBUSTÍVEIS</t>
        </is>
      </c>
      <c r="H199" s="218" t="inlineStr">
        <is>
          <t>15731</t>
        </is>
      </c>
      <c r="I199" s="219" t="n">
        <v>3947.78</v>
      </c>
      <c r="J199" s="218" t="inlineStr">
        <is>
          <t>ADMINISTRATIVO</t>
        </is>
      </c>
      <c r="K199" s="218" t="inlineStr">
        <is>
          <t>COMBUSTIVEIS</t>
        </is>
      </c>
      <c r="L199" s="222" t="str">
        <f>IF(B199&lt;&gt;"DESPESA","",IFERROR(VLOOKUP(K199,$P$5:$Q$16,2,FALSE),"?"))</f>
        <v>EQP</v>
      </c>
      <c r="M199" s="218" t="inlineStr">
        <is>
          <t>REALIZADO (até 30/04)</t>
        </is>
      </c>
      <c r="N199" s="272" t="inlineStr">
        <is>
          <t>SANEAGO_MOZARLANDIA_CUSTOS 30.04.2026.xlsx / FINANCEIRO ATE 30.04 / linha 211</t>
        </is>
      </c>
    </row>
    <row r="200">
      <c r="A200" s="222" t="n">
        <v>197</v>
      </c>
      <c r="B200" s="218" t="inlineStr">
        <is>
          <t>APORTE</t>
        </is>
      </c>
      <c r="C200" s="220" t="n">
        <v>46128</v>
      </c>
      <c r="D200" s="220" t="n">
        <v>46128</v>
      </c>
      <c r="E200" s="335">
        <f>IF(D200="","",DATE(YEAR(D200),MONTH(D200),1))</f>
        <v>46113.0</v>
      </c>
      <c r="F200" s="218" t="inlineStr">
        <is>
          <t>TAF EQUIPAMENTOS</t>
        </is>
      </c>
      <c r="G200" s="218" t="inlineStr">
        <is>
          <t>APORTE DA TAF</t>
        </is>
      </c>
      <c r="H200" s="218" t="inlineStr">
        <is>
          <t>PIX</t>
        </is>
      </c>
      <c r="I200" s="219" t="n">
        <v>47331.29</v>
      </c>
      <c r="J200" s="218" t="inlineStr">
        <is>
          <t>APORTE</t>
        </is>
      </c>
      <c r="K200" s="218" t="inlineStr">
        <is>
          <t>APORTE</t>
        </is>
      </c>
      <c r="L200" s="222">
        <f>IF(B200&lt;&gt;"DESPESA","",IFERROR(VLOOKUP(K200,$P$5:$Q$16,2,FALSE),"?"))</f>
      </c>
      <c r="M200" s="218" t="inlineStr">
        <is>
          <t>REALIZADO (até 30/04)</t>
        </is>
      </c>
      <c r="N200" s="272" t="inlineStr">
        <is>
          <t>SANEAGO_MOZARLANDIA_CUSTOS 30.04.2026.xlsx / FINANCEIRO ATE 30.04 / linha 212</t>
        </is>
      </c>
    </row>
    <row r="201">
      <c r="A201" s="222" t="n">
        <v>198</v>
      </c>
      <c r="B201" s="218" t="inlineStr">
        <is>
          <t>DESPESA</t>
        </is>
      </c>
      <c r="C201" s="220" t="n">
        <v>46098</v>
      </c>
      <c r="D201" s="220" t="n">
        <v>46128</v>
      </c>
      <c r="E201" s="335">
        <f>IF(D201="","",DATE(YEAR(D201),MONTH(D201),1))</f>
        <v>46113.0</v>
      </c>
      <c r="F201" s="218" t="inlineStr">
        <is>
          <t>MADEIMANAS MADEIREIRA MANAS LTDA</t>
        </is>
      </c>
      <c r="G201" s="218" t="inlineStr">
        <is>
          <t>MATERIAL APLICADO</t>
        </is>
      </c>
      <c r="H201" s="218" t="inlineStr">
        <is>
          <t>179126/179174</t>
        </is>
      </c>
      <c r="I201" s="219" t="n">
        <v>636.5599999999999</v>
      </c>
      <c r="J201" s="218" t="inlineStr">
        <is>
          <t>CIVIL</t>
        </is>
      </c>
      <c r="K201" s="218" t="inlineStr">
        <is>
          <t>MATERIAIS E FERRAMENTAS</t>
        </is>
      </c>
      <c r="L201" s="222" t="str">
        <f>IF(B201&lt;&gt;"DESPESA","",IFERROR(VLOOKUP(K201,$P$5:$Q$16,2,FALSE),"?"))</f>
        <v>MAT</v>
      </c>
      <c r="M201" s="218" t="inlineStr">
        <is>
          <t>REALIZADO (até 30/04)</t>
        </is>
      </c>
      <c r="N201" s="272" t="inlineStr">
        <is>
          <t>SANEAGO_MOZARLANDIA_CUSTOS 30.04.2026.xlsx / FINANCEIRO ATE 30.04 / linha 213</t>
        </is>
      </c>
    </row>
    <row r="202">
      <c r="A202" s="222" t="n">
        <v>199</v>
      </c>
      <c r="B202" s="218" t="inlineStr">
        <is>
          <t>DESPESA</t>
        </is>
      </c>
      <c r="C202" s="220" t="n">
        <v>46100</v>
      </c>
      <c r="D202" s="220" t="n">
        <v>46128</v>
      </c>
      <c r="E202" s="335">
        <f>IF(D202="","",DATE(YEAR(D202),MONTH(D202),1))</f>
        <v>46113.0</v>
      </c>
      <c r="F202" s="218" t="inlineStr">
        <is>
          <t>MM INDUSTRIA E COMERCIO LTDA</t>
        </is>
      </c>
      <c r="G202" s="218" t="inlineStr">
        <is>
          <t>MATERIAL APLICADO</t>
        </is>
      </c>
      <c r="H202" s="218" t="inlineStr">
        <is>
          <t>152</t>
        </is>
      </c>
      <c r="I202" s="219" t="n">
        <v>1450</v>
      </c>
      <c r="J202" s="218" t="inlineStr">
        <is>
          <t>CIVIL</t>
        </is>
      </c>
      <c r="K202" s="218" t="inlineStr">
        <is>
          <t>MATERIAIS E FERRAMENTAS</t>
        </is>
      </c>
      <c r="L202" s="222" t="str">
        <f>IF(B202&lt;&gt;"DESPESA","",IFERROR(VLOOKUP(K202,$P$5:$Q$16,2,FALSE),"?"))</f>
        <v>MAT</v>
      </c>
      <c r="M202" s="218" t="inlineStr">
        <is>
          <t>REALIZADO (até 30/04)</t>
        </is>
      </c>
      <c r="N202" s="272" t="inlineStr">
        <is>
          <t>SANEAGO_MOZARLANDIA_CUSTOS 30.04.2026.xlsx / FINANCEIRO ATE 30.04 / linha 214</t>
        </is>
      </c>
    </row>
    <row r="203">
      <c r="A203" s="222" t="n">
        <v>200</v>
      </c>
      <c r="B203" s="218" t="inlineStr">
        <is>
          <t>DESPESA</t>
        </is>
      </c>
      <c r="C203" s="220" t="n">
        <v>46122</v>
      </c>
      <c r="D203" s="220" t="n">
        <v>46128</v>
      </c>
      <c r="E203" s="335">
        <f>IF(D203="","",DATE(YEAR(D203),MONTH(D203),1))</f>
        <v>46113.0</v>
      </c>
      <c r="F203" s="218" t="inlineStr">
        <is>
          <t>SANEAGO (faturas de agua)</t>
        </is>
      </c>
      <c r="G203" s="218" t="inlineStr">
        <is>
          <t>FATURA CONSUMO ÁGUA</t>
        </is>
      </c>
      <c r="H203" s="218" t="inlineStr">
        <is>
          <t>4093957810</t>
        </is>
      </c>
      <c r="I203" s="219" t="n">
        <v>29</v>
      </c>
      <c r="J203" s="218" t="inlineStr">
        <is>
          <t>ADMINISTRATIVO</t>
        </is>
      </c>
      <c r="K203" s="218" t="inlineStr">
        <is>
          <t>MATERIAIS E FERRAMENTAS</t>
        </is>
      </c>
      <c r="L203" s="222" t="str">
        <f>IF(B203&lt;&gt;"DESPESA","",IFERROR(VLOOKUP(K203,$P$5:$Q$16,2,FALSE),"?"))</f>
        <v>MAT</v>
      </c>
      <c r="M203" s="218" t="inlineStr">
        <is>
          <t>REALIZADO (até 30/04)</t>
        </is>
      </c>
      <c r="N203" s="272" t="inlineStr">
        <is>
          <t>SANEAGO_MOZARLANDIA_CUSTOS 30.04.2026.xlsx / FINANCEIRO ATE 30.04 / linha 215</t>
        </is>
      </c>
    </row>
    <row r="204">
      <c r="A204" s="222" t="n">
        <v>201</v>
      </c>
      <c r="B204" s="218" t="inlineStr">
        <is>
          <t>DESPESA</t>
        </is>
      </c>
      <c r="C204" s="220" t="n">
        <v>46127</v>
      </c>
      <c r="D204" s="220" t="n">
        <v>46128</v>
      </c>
      <c r="E204" s="335">
        <f>IF(D204="","",DATE(YEAR(D204),MONTH(D204),1))</f>
        <v>46113.0</v>
      </c>
      <c r="F204" s="218" t="inlineStr">
        <is>
          <t>MARCIA ANDREIA DE ARAUJO</t>
        </is>
      </c>
      <c r="G204" s="218" t="inlineStr">
        <is>
          <t>SERVIÇO DIARISTA</t>
        </is>
      </c>
      <c r="H204" s="218" t="inlineStr">
        <is>
          <t>Recibo</t>
        </is>
      </c>
      <c r="I204" s="219" t="n">
        <v>300</v>
      </c>
      <c r="J204" s="218" t="inlineStr">
        <is>
          <t>ADMINISTRATIVO</t>
        </is>
      </c>
      <c r="K204" s="218" t="inlineStr">
        <is>
          <t>ALOJAMENTO, ALIMENTACAO E UTILIDADES</t>
        </is>
      </c>
      <c r="L204" s="222" t="str">
        <f>IF(B204&lt;&gt;"DESPESA","",IFERROR(VLOOKUP(K204,$P$5:$Q$16,2,FALSE),"?"))</f>
        <v>ADM</v>
      </c>
      <c r="M204" s="218" t="inlineStr">
        <is>
          <t>REALIZADO (até 30/04)</t>
        </is>
      </c>
      <c r="N204" s="272" t="inlineStr">
        <is>
          <t>SANEAGO_MOZARLANDIA_CUSTOS 30.04.2026.xlsx / FINANCEIRO ATE 30.04 / linha 216</t>
        </is>
      </c>
    </row>
    <row r="205">
      <c r="A205" s="222" t="n">
        <v>202</v>
      </c>
      <c r="B205" s="218" t="inlineStr">
        <is>
          <t>DESPESA</t>
        </is>
      </c>
      <c r="C205" s="220" t="n">
        <v>46127</v>
      </c>
      <c r="D205" s="220" t="n">
        <v>46128</v>
      </c>
      <c r="E205" s="335">
        <f>IF(D205="","",DATE(YEAR(D205),MONTH(D205),1))</f>
        <v>46113.0</v>
      </c>
      <c r="F205" s="218" t="inlineStr">
        <is>
          <t>VALDIR SEBASTIAO ANJOS</t>
        </is>
      </c>
      <c r="G205" s="218" t="inlineStr">
        <is>
          <t>SERVIÇOS ELÉTRICOS</t>
        </is>
      </c>
      <c r="H205" s="218" t="inlineStr">
        <is>
          <t>Recibo</t>
        </is>
      </c>
      <c r="I205" s="219" t="n">
        <v>350</v>
      </c>
      <c r="J205" s="218" t="inlineStr">
        <is>
          <t>ADMINISTRATIVO</t>
        </is>
      </c>
      <c r="K205" s="218" t="inlineStr">
        <is>
          <t>SERVICOS DE TERCEIROS / CANTEIRO</t>
        </is>
      </c>
      <c r="L205" s="222" t="str">
        <f>IF(B205&lt;&gt;"DESPESA","",IFERROR(VLOOKUP(K205,$P$5:$Q$16,2,FALSE),"?"))</f>
        <v>TER</v>
      </c>
      <c r="M205" s="218" t="inlineStr">
        <is>
          <t>REALIZADO (até 30/04)</t>
        </is>
      </c>
      <c r="N205" s="272" t="inlineStr">
        <is>
          <t>SANEAGO_MOZARLANDIA_CUSTOS 30.04.2026.xlsx / FINANCEIRO ATE 30.04 / linha 217</t>
        </is>
      </c>
    </row>
    <row r="206">
      <c r="A206" s="222" t="n">
        <v>203</v>
      </c>
      <c r="B206" s="218" t="inlineStr">
        <is>
          <t>DESPESA</t>
        </is>
      </c>
      <c r="C206" s="220" t="n">
        <v>46128</v>
      </c>
      <c r="D206" s="220" t="n">
        <v>46128</v>
      </c>
      <c r="E206" s="335">
        <f>IF(D206="","",DATE(YEAR(D206),MONTH(D206),1))</f>
        <v>46113.0</v>
      </c>
      <c r="F206" s="218" t="inlineStr">
        <is>
          <t>TRIBUNAL JUSTICA</t>
        </is>
      </c>
      <c r="G206" s="218" t="inlineStr">
        <is>
          <t>CUSTAS DO PROCESSO ISS</t>
        </is>
      </c>
      <c r="H206" s="218" t="inlineStr">
        <is>
          <t>Boleto</t>
        </is>
      </c>
      <c r="I206" s="219" t="n">
        <v>1002.53</v>
      </c>
      <c r="J206" s="218" t="inlineStr">
        <is>
          <t>ADMINISTRATIVO</t>
        </is>
      </c>
      <c r="K206" s="218" t="inlineStr">
        <is>
          <t>ADMINISTRATIVO GERAL (seguros, honorarios, reembolsos, TI)</t>
        </is>
      </c>
      <c r="L206" s="222" t="str">
        <f>IF(B206&lt;&gt;"DESPESA","",IFERROR(VLOOKUP(K206,$P$5:$Q$16,2,FALSE),"?"))</f>
        <v>ADM</v>
      </c>
      <c r="M206" s="218" t="inlineStr">
        <is>
          <t>REALIZADO (até 30/04)</t>
        </is>
      </c>
      <c r="N206" s="272" t="inlineStr">
        <is>
          <t>SANEAGO_MOZARLANDIA_CUSTOS 30.04.2026.xlsx / FINANCEIRO ATE 30.04 / linha 218</t>
        </is>
      </c>
    </row>
    <row r="207">
      <c r="A207" s="222" t="n">
        <v>204</v>
      </c>
      <c r="B207" s="218" t="inlineStr">
        <is>
          <t>DESPESA</t>
        </is>
      </c>
      <c r="C207" s="220" t="n">
        <v>46098</v>
      </c>
      <c r="D207" s="220" t="n">
        <v>46129</v>
      </c>
      <c r="E207" s="335">
        <f>IF(D207="","",DATE(YEAR(D207),MONTH(D207),1))</f>
        <v>46113.0</v>
      </c>
      <c r="F207" s="218" t="inlineStr">
        <is>
          <t>MADEIMANAS MADEIREIRA MANAS LTDA</t>
        </is>
      </c>
      <c r="G207" s="218" t="inlineStr">
        <is>
          <t>MATERIAL APLICADO</t>
        </is>
      </c>
      <c r="H207" s="218" t="inlineStr">
        <is>
          <t>3513</t>
        </is>
      </c>
      <c r="I207" s="219" t="n">
        <v>5088.96</v>
      </c>
      <c r="J207" s="218" t="inlineStr">
        <is>
          <t>CIVIL</t>
        </is>
      </c>
      <c r="K207" s="218" t="inlineStr">
        <is>
          <t>MATERIAIS E FERRAMENTAS</t>
        </is>
      </c>
      <c r="L207" s="222" t="str">
        <f>IF(B207&lt;&gt;"DESPESA","",IFERROR(VLOOKUP(K207,$P$5:$Q$16,2,FALSE),"?"))</f>
        <v>MAT</v>
      </c>
      <c r="M207" s="218" t="inlineStr">
        <is>
          <t>REALIZADO (até 30/04)</t>
        </is>
      </c>
      <c r="N207" s="272" t="inlineStr">
        <is>
          <t>SANEAGO_MOZARLANDIA_CUSTOS 30.04.2026.xlsx / FINANCEIRO ATE 30.04 / linha 219</t>
        </is>
      </c>
    </row>
    <row r="208">
      <c r="A208" s="222" t="n">
        <v>205</v>
      </c>
      <c r="B208" s="218" t="inlineStr">
        <is>
          <t>DESPESA</t>
        </is>
      </c>
      <c r="C208" s="220" t="n">
        <v>46119</v>
      </c>
      <c r="D208" s="220" t="n">
        <v>46129</v>
      </c>
      <c r="E208" s="335">
        <f>IF(D208="","",DATE(YEAR(D208),MONTH(D208),1))</f>
        <v>46113.0</v>
      </c>
      <c r="F208" s="218" t="inlineStr">
        <is>
          <t>KAMILA DE SOUZA ARAUJO</t>
        </is>
      </c>
      <c r="G208" s="218" t="inlineStr">
        <is>
          <t>RESCISÃO</t>
        </is>
      </c>
      <c r="H208" s="218" t="inlineStr">
        <is>
          <t>TRCT</t>
        </is>
      </c>
      <c r="I208" s="219" t="n">
        <v>2917.27</v>
      </c>
      <c r="J208" s="218" t="inlineStr">
        <is>
          <t>ADMINISTRATIVO</t>
        </is>
      </c>
      <c r="K208" s="218" t="inlineStr">
        <is>
          <t>PESSOAL E ENCARGOS</t>
        </is>
      </c>
      <c r="L208" s="222" t="str">
        <f>IF(B208&lt;&gt;"DESPESA","",IFERROR(VLOOKUP(K208,$P$5:$Q$16,2,FALSE),"?"))</f>
        <v>MO</v>
      </c>
      <c r="M208" s="218" t="inlineStr">
        <is>
          <t>REALIZADO (até 30/04)</t>
        </is>
      </c>
      <c r="N208" s="272" t="inlineStr">
        <is>
          <t>SANEAGO_MOZARLANDIA_CUSTOS 30.04.2026.xlsx / FINANCEIRO ATE 30.04 / linha 220</t>
        </is>
      </c>
    </row>
    <row r="209">
      <c r="A209" s="222" t="n">
        <v>206</v>
      </c>
      <c r="B209" s="218" t="inlineStr">
        <is>
          <t>DESPESA</t>
        </is>
      </c>
      <c r="C209" s="220" t="n">
        <v>46121</v>
      </c>
      <c r="D209" s="220" t="n">
        <v>46129</v>
      </c>
      <c r="E209" s="335">
        <f>IF(D209="","",DATE(YEAR(D209),MONTH(D209),1))</f>
        <v>46113.0</v>
      </c>
      <c r="F209" s="218" t="inlineStr">
        <is>
          <t>CAIXA ECONOMICA FEDERAL</t>
        </is>
      </c>
      <c r="G209" s="218" t="inlineStr">
        <is>
          <t>MULTA RESCISÓRIA</t>
        </is>
      </c>
      <c r="H209" s="218" t="inlineStr">
        <is>
          <t>FGTS</t>
        </is>
      </c>
      <c r="I209" s="219" t="n">
        <v>245.17</v>
      </c>
      <c r="J209" s="218" t="inlineStr">
        <is>
          <t>ADMINISTRATIVO</t>
        </is>
      </c>
      <c r="K209" s="218" t="inlineStr">
        <is>
          <t>PESSOAL E ENCARGOS</t>
        </is>
      </c>
      <c r="L209" s="222" t="str">
        <f>IF(B209&lt;&gt;"DESPESA","",IFERROR(VLOOKUP(K209,$P$5:$Q$16,2,FALSE),"?"))</f>
        <v>MO</v>
      </c>
      <c r="M209" s="218" t="inlineStr">
        <is>
          <t>REALIZADO (até 30/04)</t>
        </is>
      </c>
      <c r="N209" s="272" t="inlineStr">
        <is>
          <t>SANEAGO_MOZARLANDIA_CUSTOS 30.04.2026.xlsx / FINANCEIRO ATE 30.04 / linha 221</t>
        </is>
      </c>
    </row>
    <row r="210">
      <c r="A210" s="222" t="n">
        <v>207</v>
      </c>
      <c r="B210" s="218" t="inlineStr">
        <is>
          <t>DESPESA</t>
        </is>
      </c>
      <c r="C210" s="220" t="n">
        <v>46121</v>
      </c>
      <c r="D210" s="220" t="n">
        <v>46129</v>
      </c>
      <c r="E210" s="335">
        <f>IF(D210="","",DATE(YEAR(D210),MONTH(D210),1))</f>
        <v>46113.0</v>
      </c>
      <c r="F210" s="218" t="inlineStr">
        <is>
          <t>NILTON SILVA DO CARMO</t>
        </is>
      </c>
      <c r="G210" s="218" t="inlineStr">
        <is>
          <t>RESCISÃO</t>
        </is>
      </c>
      <c r="H210" s="218" t="inlineStr">
        <is>
          <t>TRCT</t>
        </is>
      </c>
      <c r="I210" s="219" t="n">
        <v>269.64</v>
      </c>
      <c r="J210" s="218" t="inlineStr">
        <is>
          <t>ADMINISTRATIVO</t>
        </is>
      </c>
      <c r="K210" s="218" t="inlineStr">
        <is>
          <t>PESSOAL E ENCARGOS</t>
        </is>
      </c>
      <c r="L210" s="222" t="str">
        <f>IF(B210&lt;&gt;"DESPESA","",IFERROR(VLOOKUP(K210,$P$5:$Q$16,2,FALSE),"?"))</f>
        <v>MO</v>
      </c>
      <c r="M210" s="218" t="inlineStr">
        <is>
          <t>REALIZADO (até 30/04)</t>
        </is>
      </c>
      <c r="N210" s="272" t="inlineStr">
        <is>
          <t>SANEAGO_MOZARLANDIA_CUSTOS 30.04.2026.xlsx / FINANCEIRO ATE 30.04 / linha 222</t>
        </is>
      </c>
    </row>
    <row r="211">
      <c r="A211" s="222" t="n">
        <v>208</v>
      </c>
      <c r="B211" s="218" t="inlineStr">
        <is>
          <t>DESPESA</t>
        </is>
      </c>
      <c r="C211" s="220" t="n">
        <v>46121</v>
      </c>
      <c r="D211" s="220" t="n">
        <v>46129</v>
      </c>
      <c r="E211" s="335">
        <f>IF(D211="","",DATE(YEAR(D211),MONTH(D211),1))</f>
        <v>46113.0</v>
      </c>
      <c r="F211" s="218" t="inlineStr">
        <is>
          <t>WISLEY DIAS DOS SANOS</t>
        </is>
      </c>
      <c r="G211" s="218" t="inlineStr">
        <is>
          <t>RESCISÃO</t>
        </is>
      </c>
      <c r="H211" s="218" t="inlineStr">
        <is>
          <t>TRCT</t>
        </is>
      </c>
      <c r="I211" s="219" t="n">
        <v>184.14</v>
      </c>
      <c r="J211" s="218" t="inlineStr">
        <is>
          <t>ADMINISTRATIVO</t>
        </is>
      </c>
      <c r="K211" s="218" t="inlineStr">
        <is>
          <t>PESSOAL E ENCARGOS</t>
        </is>
      </c>
      <c r="L211" s="222" t="str">
        <f>IF(B211&lt;&gt;"DESPESA","",IFERROR(VLOOKUP(K211,$P$5:$Q$16,2,FALSE),"?"))</f>
        <v>MO</v>
      </c>
      <c r="M211" s="218" t="inlineStr">
        <is>
          <t>REALIZADO (até 30/04)</t>
        </is>
      </c>
      <c r="N211" s="272" t="inlineStr">
        <is>
          <t>SANEAGO_MOZARLANDIA_CUSTOS 30.04.2026.xlsx / FINANCEIRO ATE 30.04 / linha 223</t>
        </is>
      </c>
    </row>
    <row r="212">
      <c r="A212" s="222" t="n">
        <v>209</v>
      </c>
      <c r="B212" s="218" t="inlineStr">
        <is>
          <t>DESPESA</t>
        </is>
      </c>
      <c r="C212" s="220" t="n">
        <v>46124</v>
      </c>
      <c r="D212" s="220" t="n">
        <v>46129</v>
      </c>
      <c r="E212" s="335">
        <f>IF(D212="","",DATE(YEAR(D212),MONTH(D212),1))</f>
        <v>46113.0</v>
      </c>
      <c r="F212" s="218" t="inlineStr">
        <is>
          <t>ANTONIO DE CASTRO CARVALHO</t>
        </is>
      </c>
      <c r="G212" s="218" t="inlineStr">
        <is>
          <t>REEMBOLSO PASSAGENS / REFEIÇÕES</t>
        </is>
      </c>
      <c r="H212" s="218" t="inlineStr">
        <is>
          <t>Recibo</t>
        </is>
      </c>
      <c r="I212" s="219" t="n">
        <v>823.26</v>
      </c>
      <c r="J212" s="218" t="inlineStr">
        <is>
          <t>ADMINISTRATIVO</t>
        </is>
      </c>
      <c r="K212" s="218" t="inlineStr">
        <is>
          <t>ADMINISTRATIVO GERAL (seguros, honorarios, reembolsos, TI)</t>
        </is>
      </c>
      <c r="L212" s="222" t="str">
        <f>IF(B212&lt;&gt;"DESPESA","",IFERROR(VLOOKUP(K212,$P$5:$Q$16,2,FALSE),"?"))</f>
        <v>ADM</v>
      </c>
      <c r="M212" s="218" t="inlineStr">
        <is>
          <t>REALIZADO (até 30/04)</t>
        </is>
      </c>
      <c r="N212" s="272" t="inlineStr">
        <is>
          <t>SANEAGO_MOZARLANDIA_CUSTOS 30.04.2026.xlsx / FINANCEIRO ATE 30.04 / linha 224</t>
        </is>
      </c>
    </row>
    <row r="213">
      <c r="A213" s="222" t="n">
        <v>210</v>
      </c>
      <c r="B213" s="218" t="inlineStr">
        <is>
          <t>DESPESA</t>
        </is>
      </c>
      <c r="C213" s="220" t="n">
        <v>46124</v>
      </c>
      <c r="D213" s="220" t="n">
        <v>46129</v>
      </c>
      <c r="E213" s="335">
        <f>IF(D213="","",DATE(YEAR(D213),MONTH(D213),1))</f>
        <v>46113.0</v>
      </c>
      <c r="F213" s="218" t="inlineStr">
        <is>
          <t>RAIMUNDO NONATO DE ARAUJO</t>
        </is>
      </c>
      <c r="G213" s="218" t="inlineStr">
        <is>
          <t>REEMBOLSO PASSAGENS / REFEIÇÕES</t>
        </is>
      </c>
      <c r="H213" s="218" t="inlineStr">
        <is>
          <t>Recibo</t>
        </is>
      </c>
      <c r="I213" s="219" t="n">
        <v>788</v>
      </c>
      <c r="J213" s="218" t="inlineStr">
        <is>
          <t>ADMINISTRATIVO</t>
        </is>
      </c>
      <c r="K213" s="218" t="inlineStr">
        <is>
          <t>ADMINISTRATIVO GERAL (seguros, honorarios, reembolsos, TI)</t>
        </is>
      </c>
      <c r="L213" s="222" t="str">
        <f>IF(B213&lt;&gt;"DESPESA","",IFERROR(VLOOKUP(K213,$P$5:$Q$16,2,FALSE),"?"))</f>
        <v>ADM</v>
      </c>
      <c r="M213" s="218" t="inlineStr">
        <is>
          <t>REALIZADO (até 30/04)</t>
        </is>
      </c>
      <c r="N213" s="272" t="inlineStr">
        <is>
          <t>SANEAGO_MOZARLANDIA_CUSTOS 30.04.2026.xlsx / FINANCEIRO ATE 30.04 / linha 225</t>
        </is>
      </c>
    </row>
    <row r="214">
      <c r="A214" s="222" t="n">
        <v>211</v>
      </c>
      <c r="B214" s="218" t="inlineStr">
        <is>
          <t>DESPESA</t>
        </is>
      </c>
      <c r="C214" s="220" t="n">
        <v>46124</v>
      </c>
      <c r="D214" s="220" t="n">
        <v>46129</v>
      </c>
      <c r="E214" s="335">
        <f>IF(D214="","",DATE(YEAR(D214),MONTH(D214),1))</f>
        <v>46113.0</v>
      </c>
      <c r="F214" s="218" t="inlineStr">
        <is>
          <t>EQUATORIAL GOIAS DISTRIBUIDORA</t>
        </is>
      </c>
      <c r="G214" s="218" t="inlineStr">
        <is>
          <t>FATURA ENERGIA - OBRA</t>
        </is>
      </c>
      <c r="H214" s="218" t="inlineStr">
        <is>
          <t>182543659</t>
        </is>
      </c>
      <c r="I214" s="219" t="n">
        <v>80.98999999999999</v>
      </c>
      <c r="J214" s="218" t="inlineStr">
        <is>
          <t>ADMINISTRATIVO</t>
        </is>
      </c>
      <c r="K214" s="218" t="inlineStr">
        <is>
          <t>ALOJAMENTO, ALIMENTACAO E UTILIDADES</t>
        </is>
      </c>
      <c r="L214" s="222" t="str">
        <f>IF(B214&lt;&gt;"DESPESA","",IFERROR(VLOOKUP(K214,$P$5:$Q$16,2,FALSE),"?"))</f>
        <v>ADM</v>
      </c>
      <c r="M214" s="218" t="inlineStr">
        <is>
          <t>REALIZADO (até 30/04)</t>
        </is>
      </c>
      <c r="N214" s="272" t="inlineStr">
        <is>
          <t>SANEAGO_MOZARLANDIA_CUSTOS 30.04.2026.xlsx / FINANCEIRO ATE 30.04 / linha 226</t>
        </is>
      </c>
    </row>
    <row r="215">
      <c r="A215" s="222" t="n">
        <v>212</v>
      </c>
      <c r="B215" s="218" t="inlineStr">
        <is>
          <t>DESPESA</t>
        </is>
      </c>
      <c r="C215" s="220" t="n">
        <v>46124</v>
      </c>
      <c r="D215" s="220" t="n">
        <v>46129</v>
      </c>
      <c r="E215" s="335">
        <f>IF(D215="","",DATE(YEAR(D215),MONTH(D215),1))</f>
        <v>46113.0</v>
      </c>
      <c r="F215" s="218" t="inlineStr">
        <is>
          <t>EQUATORIAL GOIAS DISTRIBUIDORA</t>
        </is>
      </c>
      <c r="G215" s="218" t="inlineStr">
        <is>
          <t>FATURA ENERGIA - OBRA</t>
        </is>
      </c>
      <c r="H215" s="218" t="inlineStr">
        <is>
          <t>186276419</t>
        </is>
      </c>
      <c r="I215" s="219" t="n">
        <v>193.27</v>
      </c>
      <c r="J215" s="218" t="inlineStr">
        <is>
          <t>ADMINISTRATIVO</t>
        </is>
      </c>
      <c r="K215" s="218" t="inlineStr">
        <is>
          <t>ALOJAMENTO, ALIMENTACAO E UTILIDADES</t>
        </is>
      </c>
      <c r="L215" s="222" t="str">
        <f>IF(B215&lt;&gt;"DESPESA","",IFERROR(VLOOKUP(K215,$P$5:$Q$16,2,FALSE),"?"))</f>
        <v>ADM</v>
      </c>
      <c r="M215" s="218" t="inlineStr">
        <is>
          <t>REALIZADO (até 30/04)</t>
        </is>
      </c>
      <c r="N215" s="272" t="inlineStr">
        <is>
          <t>SANEAGO_MOZARLANDIA_CUSTOS 30.04.2026.xlsx / FINANCEIRO ATE 30.04 / linha 227</t>
        </is>
      </c>
    </row>
    <row r="216">
      <c r="A216" s="222" t="n">
        <v>213</v>
      </c>
      <c r="B216" s="218" t="inlineStr">
        <is>
          <t>DESPESA</t>
        </is>
      </c>
      <c r="C216" s="220" t="n">
        <v>46127</v>
      </c>
      <c r="D216" s="220" t="n">
        <v>46129</v>
      </c>
      <c r="E216" s="335">
        <f>IF(D216="","",DATE(YEAR(D216),MONTH(D216),1))</f>
        <v>46113.0</v>
      </c>
      <c r="F216" s="218" t="inlineStr">
        <is>
          <t>DIVINO ALVES DA CUNHA</t>
        </is>
      </c>
      <c r="G216" s="218" t="inlineStr">
        <is>
          <t>REEMBOLSO PASSAGENS</t>
        </is>
      </c>
      <c r="H216" s="218" t="inlineStr">
        <is>
          <t>Recibo</t>
        </is>
      </c>
      <c r="I216" s="219" t="n">
        <v>133</v>
      </c>
      <c r="J216" s="218" t="inlineStr">
        <is>
          <t>ADMINISTRATIVO</t>
        </is>
      </c>
      <c r="K216" s="218" t="inlineStr">
        <is>
          <t>ADMINISTRATIVO GERAL (seguros, honorarios, reembolsos, TI)</t>
        </is>
      </c>
      <c r="L216" s="222" t="str">
        <f>IF(B216&lt;&gt;"DESPESA","",IFERROR(VLOOKUP(K216,$P$5:$Q$16,2,FALSE),"?"))</f>
        <v>ADM</v>
      </c>
      <c r="M216" s="218" t="inlineStr">
        <is>
          <t>REALIZADO (até 30/04)</t>
        </is>
      </c>
      <c r="N216" s="272" t="inlineStr">
        <is>
          <t>SANEAGO_MOZARLANDIA_CUSTOS 30.04.2026.xlsx / FINANCEIRO ATE 30.04 / linha 228</t>
        </is>
      </c>
    </row>
    <row r="217">
      <c r="A217" s="222" t="n">
        <v>214</v>
      </c>
      <c r="B217" s="218" t="inlineStr">
        <is>
          <t>DESPESA</t>
        </is>
      </c>
      <c r="C217" s="220" t="n">
        <v>46129</v>
      </c>
      <c r="D217" s="220" t="n">
        <v>46129</v>
      </c>
      <c r="E217" s="335">
        <f>IF(D217="","",DATE(YEAR(D217),MONTH(D217),1))</f>
        <v>46113.0</v>
      </c>
      <c r="F217" s="218" t="inlineStr">
        <is>
          <t>JOSE ODAIR DA SILVA</t>
        </is>
      </c>
      <c r="G217" s="218" t="inlineStr">
        <is>
          <t>REEMBOLSO DESPESAS</t>
        </is>
      </c>
      <c r="H217" s="218" t="inlineStr">
        <is>
          <t>Recibo</t>
        </is>
      </c>
      <c r="I217" s="219" t="n">
        <v>1093</v>
      </c>
      <c r="J217" s="218" t="inlineStr">
        <is>
          <t>ADMINISTRATIVO</t>
        </is>
      </c>
      <c r="K217" s="218" t="inlineStr">
        <is>
          <t>ADMINISTRATIVO GERAL (seguros, honorarios, reembolsos, TI)</t>
        </is>
      </c>
      <c r="L217" s="222" t="str">
        <f>IF(B217&lt;&gt;"DESPESA","",IFERROR(VLOOKUP(K217,$P$5:$Q$16,2,FALSE),"?"))</f>
        <v>ADM</v>
      </c>
      <c r="M217" s="218" t="inlineStr">
        <is>
          <t>REALIZADO (até 30/04)</t>
        </is>
      </c>
      <c r="N217" s="272" t="inlineStr">
        <is>
          <t>SANEAGO_MOZARLANDIA_CUSTOS 30.04.2026.xlsx / FINANCEIRO ATE 30.04 / linha 229</t>
        </is>
      </c>
    </row>
    <row r="218">
      <c r="A218" s="222" t="n">
        <v>215</v>
      </c>
      <c r="B218" s="218" t="inlineStr">
        <is>
          <t>DESPESA</t>
        </is>
      </c>
      <c r="C218" s="220" t="n">
        <v>46129</v>
      </c>
      <c r="D218" s="220" t="n">
        <v>46129</v>
      </c>
      <c r="E218" s="335">
        <f>IF(D218="","",DATE(YEAR(D218),MONTH(D218),1))</f>
        <v>46113.0</v>
      </c>
      <c r="F218" s="218" t="inlineStr">
        <is>
          <t>JOAO PEDRO CICATELLI</t>
        </is>
      </c>
      <c r="G218" s="218" t="inlineStr">
        <is>
          <t>REEMBOLDO DESPESAS VIAGEM</t>
        </is>
      </c>
      <c r="H218" s="218" t="inlineStr">
        <is>
          <t>Recibo</t>
        </is>
      </c>
      <c r="I218" s="219" t="n">
        <v>399.22</v>
      </c>
      <c r="J218" s="218" t="inlineStr">
        <is>
          <t>ADMINISTRATIVO</t>
        </is>
      </c>
      <c r="K218" s="218" t="inlineStr">
        <is>
          <t>ADMINISTRATIVO GERAL (seguros, honorarios, reembolsos, TI)</t>
        </is>
      </c>
      <c r="L218" s="222" t="str">
        <f>IF(B218&lt;&gt;"DESPESA","",IFERROR(VLOOKUP(K218,$P$5:$Q$16,2,FALSE),"?"))</f>
        <v>ADM</v>
      </c>
      <c r="M218" s="218" t="inlineStr">
        <is>
          <t>REALIZADO (até 30/04)</t>
        </is>
      </c>
      <c r="N218" s="272" t="inlineStr">
        <is>
          <t>SANEAGO_MOZARLANDIA_CUSTOS 30.04.2026.xlsx / FINANCEIRO ATE 30.04 / linha 230</t>
        </is>
      </c>
    </row>
    <row r="219">
      <c r="A219" s="222" t="n">
        <v>216</v>
      </c>
      <c r="B219" s="218" t="inlineStr">
        <is>
          <t>APORTE</t>
        </is>
      </c>
      <c r="C219" s="220" t="n">
        <v>46129</v>
      </c>
      <c r="D219" s="220" t="n">
        <v>46129</v>
      </c>
      <c r="E219" s="335">
        <f>IF(D219="","",DATE(YEAR(D219),MONTH(D219),1))</f>
        <v>46113.0</v>
      </c>
      <c r="F219" s="218" t="inlineStr">
        <is>
          <t>TECNOBOMBAS</t>
        </is>
      </c>
      <c r="G219" s="218" t="inlineStr">
        <is>
          <t>APORTE DA TECNOBOMBAS</t>
        </is>
      </c>
      <c r="H219" s="218" t="inlineStr">
        <is>
          <t>PIX</t>
        </is>
      </c>
      <c r="I219" s="219" t="n">
        <v>10000</v>
      </c>
      <c r="J219" s="218" t="inlineStr">
        <is>
          <t>APORTE</t>
        </is>
      </c>
      <c r="K219" s="218" t="inlineStr">
        <is>
          <t>APORTE</t>
        </is>
      </c>
      <c r="L219" s="222">
        <f>IF(B219&lt;&gt;"DESPESA","",IFERROR(VLOOKUP(K219,$P$5:$Q$16,2,FALSE),"?"))</f>
      </c>
      <c r="M219" s="218" t="inlineStr">
        <is>
          <t>REALIZADO (até 30/04)</t>
        </is>
      </c>
      <c r="N219" s="272" t="inlineStr">
        <is>
          <t>SANEAGO_MOZARLANDIA_CUSTOS 30.04.2026.xlsx / FINANCEIRO ATE 30.04 / linha 231</t>
        </is>
      </c>
    </row>
    <row r="220">
      <c r="A220" s="222" t="n">
        <v>217</v>
      </c>
      <c r="B220" s="218" t="inlineStr">
        <is>
          <t>DESPESA</t>
        </is>
      </c>
      <c r="C220" s="220" t="n">
        <v>46099</v>
      </c>
      <c r="D220" s="220" t="n">
        <v>46130</v>
      </c>
      <c r="E220" s="335">
        <f>IF(D220="","",DATE(YEAR(D220),MONTH(D220),1))</f>
        <v>46113.0</v>
      </c>
      <c r="F220" s="218" t="inlineStr">
        <is>
          <t>MADEIMANAS MADEIREIRA MANAS LTDA</t>
        </is>
      </c>
      <c r="G220" s="218" t="inlineStr">
        <is>
          <t>MATERIAL APLICADO</t>
        </is>
      </c>
      <c r="H220" s="218" t="inlineStr">
        <is>
          <t>3517</t>
        </is>
      </c>
      <c r="I220" s="219" t="n">
        <v>404.77</v>
      </c>
      <c r="J220" s="218" t="inlineStr">
        <is>
          <t>CIVIL</t>
        </is>
      </c>
      <c r="K220" s="218" t="inlineStr">
        <is>
          <t>MATERIAIS E FERRAMENTAS</t>
        </is>
      </c>
      <c r="L220" s="222" t="str">
        <f>IF(B220&lt;&gt;"DESPESA","",IFERROR(VLOOKUP(K220,$P$5:$Q$16,2,FALSE),"?"))</f>
        <v>MAT</v>
      </c>
      <c r="M220" s="218" t="inlineStr">
        <is>
          <t>REALIZADO (até 30/04)</t>
        </is>
      </c>
      <c r="N220" s="272" t="inlineStr">
        <is>
          <t>SANEAGO_MOZARLANDIA_CUSTOS 30.04.2026.xlsx / FINANCEIRO ATE 30.04 / linha 232</t>
        </is>
      </c>
    </row>
    <row r="221">
      <c r="A221" s="222" t="n">
        <v>218</v>
      </c>
      <c r="B221" s="218" t="inlineStr">
        <is>
          <t>DESPESA</t>
        </is>
      </c>
      <c r="C221" s="220" t="n">
        <v>46131</v>
      </c>
      <c r="D221" s="220" t="n">
        <v>46131</v>
      </c>
      <c r="E221" s="335">
        <f>IF(D221="","",DATE(YEAR(D221),MONTH(D221),1))</f>
        <v>46113.0</v>
      </c>
      <c r="F221" s="218" t="inlineStr">
        <is>
          <t>MADEIMANAS MADEIREIRA MANAS LTDA</t>
        </is>
      </c>
      <c r="G221" s="218" t="inlineStr">
        <is>
          <t>MATERIAL APLICADO</t>
        </is>
      </c>
      <c r="H221" s="218" t="inlineStr">
        <is>
          <t>179375</t>
        </is>
      </c>
      <c r="I221" s="219" t="n">
        <v>218.5</v>
      </c>
      <c r="J221" s="218" t="inlineStr">
        <is>
          <t>CIVIL</t>
        </is>
      </c>
      <c r="K221" s="218" t="inlineStr">
        <is>
          <t>MATERIAIS E FERRAMENTAS</t>
        </is>
      </c>
      <c r="L221" s="222" t="str">
        <f>IF(B221&lt;&gt;"DESPESA","",IFERROR(VLOOKUP(K221,$P$5:$Q$16,2,FALSE),"?"))</f>
        <v>MAT</v>
      </c>
      <c r="M221" s="218" t="inlineStr">
        <is>
          <t>REALIZADO (até 30/04)</t>
        </is>
      </c>
      <c r="N221" s="272" t="inlineStr">
        <is>
          <t>SANEAGO_MOZARLANDIA_CUSTOS 30.04.2026.xlsx / FINANCEIRO ATE 30.04 / linha 233</t>
        </is>
      </c>
    </row>
    <row r="222">
      <c r="A222" s="222" t="n">
        <v>219</v>
      </c>
      <c r="B222" s="218" t="inlineStr">
        <is>
          <t>DESPESA</t>
        </is>
      </c>
      <c r="C222" s="220" t="n">
        <v>46064</v>
      </c>
      <c r="D222" s="220" t="n">
        <v>46132</v>
      </c>
      <c r="E222" s="335">
        <f>IF(D222="","",DATE(YEAR(D222),MONTH(D222),1))</f>
        <v>46113.0</v>
      </c>
      <c r="F222" s="218" t="inlineStr">
        <is>
          <t>PARANAFERROS</t>
        </is>
      </c>
      <c r="G222" s="218" t="inlineStr">
        <is>
          <t>FERRO CA E ARAME - MATERIAL APLICADO CIVIL</t>
        </is>
      </c>
      <c r="H222" s="218" t="inlineStr">
        <is>
          <t>110284</t>
        </is>
      </c>
      <c r="I222" s="219" t="n">
        <v>26349.26</v>
      </c>
      <c r="J222" s="218" t="inlineStr">
        <is>
          <t>CIVIL</t>
        </is>
      </c>
      <c r="K222" s="218" t="inlineStr">
        <is>
          <t>MATERIAIS E FERRAMENTAS</t>
        </is>
      </c>
      <c r="L222" s="222" t="str">
        <f>IF(B222&lt;&gt;"DESPESA","",IFERROR(VLOOKUP(K222,$P$5:$Q$16,2,FALSE),"?"))</f>
        <v>MAT</v>
      </c>
      <c r="M222" s="218" t="inlineStr">
        <is>
          <t>REALIZADO (até 30/04)</t>
        </is>
      </c>
      <c r="N222" s="272" t="inlineStr">
        <is>
          <t>SANEAGO_MOZARLANDIA_CUSTOS 30.04.2026.xlsx / FINANCEIRO ATE 30.04 / linha 234 | REPETIDA: mesmo NF 110284, fornecedor e valor (~26349) aparece 4x (vencimentos: 2026-02-22, 2026-03-21, 2026-04-20, 2026-05-20); parcela ou duplicidade, conferir</t>
        </is>
      </c>
    </row>
    <row r="223">
      <c r="A223" s="222" t="n">
        <v>220</v>
      </c>
      <c r="B223" s="218" t="inlineStr">
        <is>
          <t>DESPESA</t>
        </is>
      </c>
      <c r="C223" s="220" t="n">
        <v>46073</v>
      </c>
      <c r="D223" s="220" t="n">
        <v>46132</v>
      </c>
      <c r="E223" s="335">
        <f>IF(D223="","",DATE(YEAR(D223),MONTH(D223),1))</f>
        <v>46113.0</v>
      </c>
      <c r="F223" s="218" t="inlineStr">
        <is>
          <t>MADEIMANAS MADEIREIRA MANAS LTDA</t>
        </is>
      </c>
      <c r="G223" s="218" t="inlineStr">
        <is>
          <t>MATERIAL APLICADO</t>
        </is>
      </c>
      <c r="H223" s="218" t="inlineStr">
        <is>
          <t>Boleto</t>
        </is>
      </c>
      <c r="I223" s="219" t="n">
        <v>732.88</v>
      </c>
      <c r="J223" s="218" t="inlineStr">
        <is>
          <t>CIVIL</t>
        </is>
      </c>
      <c r="K223" s="218" t="inlineStr">
        <is>
          <t>MATERIAIS E FERRAMENTAS</t>
        </is>
      </c>
      <c r="L223" s="222" t="str">
        <f>IF(B223&lt;&gt;"DESPESA","",IFERROR(VLOOKUP(K223,$P$5:$Q$16,2,FALSE),"?"))</f>
        <v>MAT</v>
      </c>
      <c r="M223" s="218" t="inlineStr">
        <is>
          <t>REALIZADO (até 30/04)</t>
        </is>
      </c>
      <c r="N223" s="272" t="inlineStr">
        <is>
          <t>SANEAGO_MOZARLANDIA_CUSTOS 30.04.2026.xlsx / FINANCEIRO ATE 30.04 / linha 235</t>
        </is>
      </c>
    </row>
    <row r="224">
      <c r="A224" s="222" t="n">
        <v>221</v>
      </c>
      <c r="B224" s="218" t="inlineStr">
        <is>
          <t>DESPESA</t>
        </is>
      </c>
      <c r="C224" s="220" t="n">
        <v>46113</v>
      </c>
      <c r="D224" s="220" t="n">
        <v>46132</v>
      </c>
      <c r="E224" s="335">
        <f>IF(D224="","",DATE(YEAR(D224),MONTH(D224),1))</f>
        <v>46113.0</v>
      </c>
      <c r="F224" s="218" t="inlineStr">
        <is>
          <t>ENGETEC CONSTRUTORA</t>
        </is>
      </c>
      <c r="G224" s="218" t="inlineStr">
        <is>
          <t>LOCAÇÃO RETROESCAVADEIRA</t>
        </is>
      </c>
      <c r="H224" s="218" t="inlineStr">
        <is>
          <t>159</t>
        </is>
      </c>
      <c r="I224" s="219" t="n">
        <v>15000</v>
      </c>
      <c r="J224" s="218" t="inlineStr">
        <is>
          <t>CIVIL</t>
        </is>
      </c>
      <c r="K224" s="218" t="inlineStr">
        <is>
          <t>LOCACAO DE EQUIPAMENTOS</t>
        </is>
      </c>
      <c r="L224" s="222" t="str">
        <f>IF(B224&lt;&gt;"DESPESA","",IFERROR(VLOOKUP(K224,$P$5:$Q$16,2,FALSE),"?"))</f>
        <v>EQP</v>
      </c>
      <c r="M224" s="218" t="inlineStr">
        <is>
          <t>REALIZADO (até 30/04)</t>
        </is>
      </c>
      <c r="N224" s="272" t="inlineStr">
        <is>
          <t>SANEAGO_MOZARLANDIA_CUSTOS 30.04.2026.xlsx / FINANCEIRO ATE 30.04 / linha 236</t>
        </is>
      </c>
    </row>
    <row r="225">
      <c r="A225" s="222" t="n">
        <v>222</v>
      </c>
      <c r="B225" s="218" t="inlineStr">
        <is>
          <t>DESPESA</t>
        </is>
      </c>
      <c r="C225" s="220" t="n">
        <v>46112</v>
      </c>
      <c r="D225" s="220" t="n">
        <v>46132</v>
      </c>
      <c r="E225" s="335">
        <f>IF(D225="","",DATE(YEAR(D225),MONTH(D225),1))</f>
        <v>46113.0</v>
      </c>
      <c r="F225" s="218" t="inlineStr">
        <is>
          <t>FABRICA DAS TENDAS</t>
        </is>
      </c>
      <c r="G225" s="218" t="inlineStr">
        <is>
          <t>TENDA - OBRA</t>
        </is>
      </c>
      <c r="H225" s="218" t="inlineStr">
        <is>
          <t>7045</t>
        </is>
      </c>
      <c r="I225" s="219" t="n">
        <v>1150</v>
      </c>
      <c r="J225" s="218" t="inlineStr">
        <is>
          <t>CIVIL</t>
        </is>
      </c>
      <c r="K225" s="218" t="inlineStr">
        <is>
          <t>SERVICOS DE TERCEIROS / CANTEIRO</t>
        </is>
      </c>
      <c r="L225" s="222" t="str">
        <f>IF(B225&lt;&gt;"DESPESA","",IFERROR(VLOOKUP(K225,$P$5:$Q$16,2,FALSE),"?"))</f>
        <v>TER</v>
      </c>
      <c r="M225" s="218" t="inlineStr">
        <is>
          <t>REALIZADO (até 30/04)</t>
        </is>
      </c>
      <c r="N225" s="272" t="inlineStr">
        <is>
          <t>SANEAGO_MOZARLANDIA_CUSTOS 30.04.2026.xlsx / FINANCEIRO ATE 30.04 / linha 237</t>
        </is>
      </c>
    </row>
    <row r="226">
      <c r="A226" s="222" t="n">
        <v>223</v>
      </c>
      <c r="B226" s="218" t="inlineStr">
        <is>
          <t>DESPESA</t>
        </is>
      </c>
      <c r="C226" s="220" t="n">
        <v>46113</v>
      </c>
      <c r="D226" s="220" t="n">
        <v>46132</v>
      </c>
      <c r="E226" s="335">
        <f>IF(D226="","",DATE(YEAR(D226),MONTH(D226),1))</f>
        <v>46113.0</v>
      </c>
      <c r="F226" s="218" t="inlineStr">
        <is>
          <t>CAIXA ECONOMICA FEDERAL</t>
        </is>
      </c>
      <c r="G226" s="218" t="inlineStr">
        <is>
          <t>FGTS</t>
        </is>
      </c>
      <c r="H226" s="218" t="inlineStr">
        <is>
          <t>FGTS</t>
        </is>
      </c>
      <c r="I226" s="219" t="n">
        <v>3982.96</v>
      </c>
      <c r="J226" s="218" t="inlineStr">
        <is>
          <t>ADMINISTRATIVO</t>
        </is>
      </c>
      <c r="K226" s="218" t="inlineStr">
        <is>
          <t>PESSOAL E ENCARGOS</t>
        </is>
      </c>
      <c r="L226" s="222" t="str">
        <f>IF(B226&lt;&gt;"DESPESA","",IFERROR(VLOOKUP(K226,$P$5:$Q$16,2,FALSE),"?"))</f>
        <v>MO</v>
      </c>
      <c r="M226" s="218" t="inlineStr">
        <is>
          <t>REALIZADO (até 30/04)</t>
        </is>
      </c>
      <c r="N226" s="272" t="inlineStr">
        <is>
          <t>SANEAGO_MOZARLANDIA_CUSTOS 30.04.2026.xlsx / FINANCEIRO ATE 30.04 / linha 238</t>
        </is>
      </c>
    </row>
    <row r="227">
      <c r="A227" s="222" t="n">
        <v>224</v>
      </c>
      <c r="B227" s="218" t="inlineStr">
        <is>
          <t>DESPESA</t>
        </is>
      </c>
      <c r="C227" s="220" t="n">
        <v>46212</v>
      </c>
      <c r="D227" s="220" t="n">
        <v>46132</v>
      </c>
      <c r="E227" s="335">
        <f>IF(D227="","",DATE(YEAR(D227),MONTH(D227),1))</f>
        <v>46113.0</v>
      </c>
      <c r="F227" s="218" t="inlineStr">
        <is>
          <t>CAIXA ECONOMICA FEDERAL</t>
        </is>
      </c>
      <c r="G227" s="218" t="inlineStr">
        <is>
          <t>FGTS - MULTA</t>
        </is>
      </c>
      <c r="H227" s="218" t="inlineStr">
        <is>
          <t>FGTS</t>
        </is>
      </c>
      <c r="I227" s="219" t="n">
        <v>67.91</v>
      </c>
      <c r="J227" s="218" t="inlineStr">
        <is>
          <t>ADMINISTRATIVO</t>
        </is>
      </c>
      <c r="K227" s="218" t="inlineStr">
        <is>
          <t>PESSOAL E ENCARGOS</t>
        </is>
      </c>
      <c r="L227" s="222" t="str">
        <f>IF(B227&lt;&gt;"DESPESA","",IFERROR(VLOOKUP(K227,$P$5:$Q$16,2,FALSE),"?"))</f>
        <v>MO</v>
      </c>
      <c r="M227" s="218" t="inlineStr">
        <is>
          <t>REALIZADO (até 30/04)</t>
        </is>
      </c>
      <c r="N227" s="272" t="inlineStr">
        <is>
          <t>SANEAGO_MOZARLANDIA_CUSTOS 30.04.2026.xlsx / FINANCEIRO ATE 30.04 / linha 239</t>
        </is>
      </c>
    </row>
    <row r="228">
      <c r="A228" s="222" t="n">
        <v>225</v>
      </c>
      <c r="B228" s="218" t="inlineStr">
        <is>
          <t>DESPESA</t>
        </is>
      </c>
      <c r="C228" s="220" t="n">
        <v>46121</v>
      </c>
      <c r="D228" s="220" t="n">
        <v>46132</v>
      </c>
      <c r="E228" s="335">
        <f>IF(D228="","",DATE(YEAR(D228),MONTH(D228),1))</f>
        <v>46113.0</v>
      </c>
      <c r="F228" s="218" t="inlineStr">
        <is>
          <t>CAIXA ECONOMICA FEDERAL</t>
        </is>
      </c>
      <c r="G228" s="218" t="inlineStr">
        <is>
          <t>FGTS - MULTA</t>
        </is>
      </c>
      <c r="H228" s="218" t="inlineStr">
        <is>
          <t>FGTS</t>
        </is>
      </c>
      <c r="I228" s="219" t="n">
        <v>63.01</v>
      </c>
      <c r="J228" s="218" t="inlineStr">
        <is>
          <t>ADMINISTRATIVO</t>
        </is>
      </c>
      <c r="K228" s="218" t="inlineStr">
        <is>
          <t>PESSOAL E ENCARGOS</t>
        </is>
      </c>
      <c r="L228" s="222" t="str">
        <f>IF(B228&lt;&gt;"DESPESA","",IFERROR(VLOOKUP(K228,$P$5:$Q$16,2,FALSE),"?"))</f>
        <v>MO</v>
      </c>
      <c r="M228" s="218" t="inlineStr">
        <is>
          <t>REALIZADO (até 30/04)</t>
        </is>
      </c>
      <c r="N228" s="272" t="inlineStr">
        <is>
          <t>SANEAGO_MOZARLANDIA_CUSTOS 30.04.2026.xlsx / FINANCEIRO ATE 30.04 / linha 240</t>
        </is>
      </c>
    </row>
    <row r="229">
      <c r="A229" s="222" t="n">
        <v>226</v>
      </c>
      <c r="B229" s="218" t="inlineStr">
        <is>
          <t>DESPESA</t>
        </is>
      </c>
      <c r="C229" s="220" t="n">
        <v>46126</v>
      </c>
      <c r="D229" s="220" t="n">
        <v>46132</v>
      </c>
      <c r="E229" s="335">
        <f>IF(D229="","",DATE(YEAR(D229),MONTH(D229),1))</f>
        <v>46113.0</v>
      </c>
      <c r="F229" s="218" t="inlineStr">
        <is>
          <t>RICARLOS ALVES DE OLIVEIRA</t>
        </is>
      </c>
      <c r="G229" s="218" t="inlineStr">
        <is>
          <t>PRESTAÇÃO SERVIÇOS</t>
        </is>
      </c>
      <c r="H229" s="218" t="inlineStr">
        <is>
          <t>1898</t>
        </is>
      </c>
      <c r="I229" s="219" t="n">
        <v>8000</v>
      </c>
      <c r="J229" s="218" t="inlineStr">
        <is>
          <t>ADMINISTRATIVO</t>
        </is>
      </c>
      <c r="K229" s="218" t="inlineStr">
        <is>
          <t>ENGENHARIA/PRESTACAO DE SERVICOS PJ</t>
        </is>
      </c>
      <c r="L229" s="222" t="str">
        <f>IF(B229&lt;&gt;"DESPESA","",IFERROR(VLOOKUP(K229,$P$5:$Q$16,2,FALSE),"?"))</f>
        <v>ADM</v>
      </c>
      <c r="M229" s="218" t="inlineStr">
        <is>
          <t>REALIZADO (até 30/04)</t>
        </is>
      </c>
      <c r="N229" s="272" t="inlineStr">
        <is>
          <t>SANEAGO_MOZARLANDIA_CUSTOS 30.04.2026.xlsx / FINANCEIRO ATE 30.04 / linha 241</t>
        </is>
      </c>
    </row>
    <row r="230">
      <c r="A230" s="222" t="n">
        <v>227</v>
      </c>
      <c r="B230" s="218" t="inlineStr">
        <is>
          <t>DESPESA</t>
        </is>
      </c>
      <c r="C230" s="220" t="n">
        <v>46130</v>
      </c>
      <c r="D230" s="220" t="n">
        <v>46132</v>
      </c>
      <c r="E230" s="335">
        <f>IF(D230="","",DATE(YEAR(D230),MONTH(D230),1))</f>
        <v>46113.0</v>
      </c>
      <c r="F230" s="218" t="inlineStr">
        <is>
          <t>TECNOBOMBAS</t>
        </is>
      </c>
      <c r="G230" s="218" t="inlineStr">
        <is>
          <t>ADIANTAMENTO SALÁRIO</t>
        </is>
      </c>
      <c r="H230" s="218" t="inlineStr">
        <is>
          <t>Recibo</t>
        </is>
      </c>
      <c r="I230" s="219" t="n">
        <v>27762</v>
      </c>
      <c r="J230" s="218" t="inlineStr">
        <is>
          <t>ADMINISTRATIVO</t>
        </is>
      </c>
      <c r="K230" s="218" t="inlineStr">
        <is>
          <t>PESSOAL E ENCARGOS</t>
        </is>
      </c>
      <c r="L230" s="222" t="str">
        <f>IF(B230&lt;&gt;"DESPESA","",IFERROR(VLOOKUP(K230,$P$5:$Q$16,2,FALSE),"?"))</f>
        <v>MO</v>
      </c>
      <c r="M230" s="218" t="inlineStr">
        <is>
          <t>REALIZADO (até 30/04)</t>
        </is>
      </c>
      <c r="N230" s="272" t="inlineStr">
        <is>
          <t>SANEAGO_MOZARLANDIA_CUSTOS 30.04.2026.xlsx / FINANCEIRO ATE 30.04 / linha 242</t>
        </is>
      </c>
    </row>
    <row r="231">
      <c r="A231" s="222" t="n">
        <v>228</v>
      </c>
      <c r="B231" s="218" t="inlineStr">
        <is>
          <t>APORTE</t>
        </is>
      </c>
      <c r="C231" s="220" t="n">
        <v>46132</v>
      </c>
      <c r="D231" s="220" t="n">
        <v>46132</v>
      </c>
      <c r="E231" s="335">
        <f>IF(D231="","",DATE(YEAR(D231),MONTH(D231),1))</f>
        <v>46113.0</v>
      </c>
      <c r="F231" s="218" t="inlineStr">
        <is>
          <t>TECNOBOMBAS</t>
        </is>
      </c>
      <c r="G231" s="218" t="inlineStr">
        <is>
          <t>APORTE DA TECNOBOMBAS</t>
        </is>
      </c>
      <c r="H231" s="218" t="inlineStr">
        <is>
          <t>PIX</t>
        </is>
      </c>
      <c r="I231" s="219" t="n">
        <v>100000</v>
      </c>
      <c r="J231" s="218" t="inlineStr">
        <is>
          <t>APORTE</t>
        </is>
      </c>
      <c r="K231" s="218" t="inlineStr">
        <is>
          <t>APORTE</t>
        </is>
      </c>
      <c r="L231" s="222">
        <f>IF(B231&lt;&gt;"DESPESA","",IFERROR(VLOOKUP(K231,$P$5:$Q$16,2,FALSE),"?"))</f>
      </c>
      <c r="M231" s="218" t="inlineStr">
        <is>
          <t>REALIZADO (até 30/04)</t>
        </is>
      </c>
      <c r="N231" s="272" t="inlineStr">
        <is>
          <t>SANEAGO_MOZARLANDIA_CUSTOS 30.04.2026.xlsx / FINANCEIRO ATE 30.04 / linha 243</t>
        </is>
      </c>
    </row>
    <row r="232">
      <c r="A232" s="222" t="n">
        <v>229</v>
      </c>
      <c r="B232" s="218" t="inlineStr">
        <is>
          <t>DESPESA</t>
        </is>
      </c>
      <c r="C232" s="220" t="n">
        <v>46130</v>
      </c>
      <c r="D232" s="220" t="n">
        <v>46132</v>
      </c>
      <c r="E232" s="335">
        <f>IF(D232="","",DATE(YEAR(D232),MONTH(D232),1))</f>
        <v>46113.0</v>
      </c>
      <c r="F232" s="218" t="inlineStr">
        <is>
          <t>RECEITA FEDERAL (DARF/INSS)</t>
        </is>
      </c>
      <c r="G232" s="218" t="inlineStr">
        <is>
          <t>INSS FOLHA 03/26</t>
        </is>
      </c>
      <c r="H232" s="218" t="inlineStr">
        <is>
          <t>Darf</t>
        </is>
      </c>
      <c r="I232" s="219" t="n">
        <v>15287.41</v>
      </c>
      <c r="J232" s="218" t="inlineStr">
        <is>
          <t>ADMINISTRATIVO</t>
        </is>
      </c>
      <c r="K232" s="218" t="inlineStr">
        <is>
          <t>PESSOAL E ENCARGOS</t>
        </is>
      </c>
      <c r="L232" s="222" t="str">
        <f>IF(B232&lt;&gt;"DESPESA","",IFERROR(VLOOKUP(K232,$P$5:$Q$16,2,FALSE),"?"))</f>
        <v>MO</v>
      </c>
      <c r="M232" s="218" t="inlineStr">
        <is>
          <t>REALIZADO (até 30/04)</t>
        </is>
      </c>
      <c r="N232" s="272" t="inlineStr">
        <is>
          <t>SANEAGO_MOZARLANDIA_CUSTOS 30.04.2026.xlsx / FINANCEIRO ATE 30.04 / linha 244</t>
        </is>
      </c>
    </row>
    <row r="233">
      <c r="A233" s="222" t="n">
        <v>230</v>
      </c>
      <c r="B233" s="218" t="inlineStr">
        <is>
          <t>DESPESA</t>
        </is>
      </c>
      <c r="C233" s="220" t="n">
        <v>46119</v>
      </c>
      <c r="D233" s="220" t="n">
        <v>46133</v>
      </c>
      <c r="E233" s="335">
        <f>IF(D233="","",DATE(YEAR(D233),MONTH(D233),1))</f>
        <v>46113.0</v>
      </c>
      <c r="F233" s="218" t="inlineStr">
        <is>
          <t>ALESSANDRA DA CUNHA BRASILEIRO DE PAIVA</t>
        </is>
      </c>
      <c r="G233" s="218" t="inlineStr">
        <is>
          <t>EXAMES AUDIOMETRIA TONAL</t>
        </is>
      </c>
      <c r="H233" s="218" t="inlineStr">
        <is>
          <t>1507</t>
        </is>
      </c>
      <c r="I233" s="219" t="n">
        <v>445</v>
      </c>
      <c r="J233" s="218" t="inlineStr">
        <is>
          <t>ADMINISTRATIVO</t>
        </is>
      </c>
      <c r="K233" s="218" t="inlineStr">
        <is>
          <t>PESSOAL E ENCARGOS</t>
        </is>
      </c>
      <c r="L233" s="222" t="str">
        <f>IF(B233&lt;&gt;"DESPESA","",IFERROR(VLOOKUP(K233,$P$5:$Q$16,2,FALSE),"?"))</f>
        <v>MO</v>
      </c>
      <c r="M233" s="218" t="inlineStr">
        <is>
          <t>REALIZADO (até 30/04)</t>
        </is>
      </c>
      <c r="N233" s="272" t="inlineStr">
        <is>
          <t>SANEAGO_MOZARLANDIA_CUSTOS 30.04.2026.xlsx / FINANCEIRO ATE 30.04 / linha 245</t>
        </is>
      </c>
    </row>
    <row r="234">
      <c r="A234" s="222" t="n">
        <v>231</v>
      </c>
      <c r="B234" s="218" t="inlineStr">
        <is>
          <t>DESPESA</t>
        </is>
      </c>
      <c r="C234" s="220" t="n">
        <v>46119</v>
      </c>
      <c r="D234" s="220" t="n">
        <v>46133</v>
      </c>
      <c r="E234" s="335">
        <f>IF(D234="","",DATE(YEAR(D234),MONTH(D234),1))</f>
        <v>46113.0</v>
      </c>
      <c r="F234" s="218" t="inlineStr">
        <is>
          <t>CENTRO CLINICO ODONTO MED LTDA</t>
        </is>
      </c>
      <c r="G234" s="218" t="inlineStr">
        <is>
          <t>EXAMES AADMISSIONAIS</t>
        </is>
      </c>
      <c r="H234" s="218" t="inlineStr">
        <is>
          <t>11213</t>
        </is>
      </c>
      <c r="I234" s="219" t="n">
        <v>2840</v>
      </c>
      <c r="J234" s="218" t="inlineStr">
        <is>
          <t>ADMINISTRATIVO</t>
        </is>
      </c>
      <c r="K234" s="218" t="inlineStr">
        <is>
          <t>PESSOAL E ENCARGOS</t>
        </is>
      </c>
      <c r="L234" s="222" t="str">
        <f>IF(B234&lt;&gt;"DESPESA","",IFERROR(VLOOKUP(K234,$P$5:$Q$16,2,FALSE),"?"))</f>
        <v>MO</v>
      </c>
      <c r="M234" s="218" t="inlineStr">
        <is>
          <t>REALIZADO (até 30/04)</t>
        </is>
      </c>
      <c r="N234" s="272" t="inlineStr">
        <is>
          <t>SANEAGO_MOZARLANDIA_CUSTOS 30.04.2026.xlsx / FINANCEIRO ATE 30.04 / linha 246</t>
        </is>
      </c>
    </row>
    <row r="235">
      <c r="A235" s="222" t="n">
        <v>232</v>
      </c>
      <c r="B235" s="218" t="inlineStr">
        <is>
          <t>DESPESA</t>
        </is>
      </c>
      <c r="C235" s="220" t="n">
        <v>46104</v>
      </c>
      <c r="D235" s="220" t="n">
        <v>46134</v>
      </c>
      <c r="E235" s="335">
        <f>IF(D235="","",DATE(YEAR(D235),MONTH(D235),1))</f>
        <v>46113.0</v>
      </c>
      <c r="F235" s="218" t="inlineStr">
        <is>
          <t>KAPITAO AMERICA EQUIPAMENTOS SEGURANCA</t>
        </is>
      </c>
      <c r="G235" s="218" t="inlineStr">
        <is>
          <t>MATERIAL SEGURANÇA - CONES</t>
        </is>
      </c>
      <c r="H235" s="218" t="inlineStr">
        <is>
          <t>237910</t>
        </is>
      </c>
      <c r="I235" s="219" t="n">
        <v>390</v>
      </c>
      <c r="J235" s="218" t="inlineStr">
        <is>
          <t>ADMINISTRATIVO</t>
        </is>
      </c>
      <c r="K235" s="218" t="inlineStr">
        <is>
          <t>SEGURANCA DO TRABALHO (EPI/UNIFORMES)</t>
        </is>
      </c>
      <c r="L235" s="222" t="str">
        <f>IF(B235&lt;&gt;"DESPESA","",IFERROR(VLOOKUP(K235,$P$5:$Q$16,2,FALSE),"?"))</f>
        <v>ADM</v>
      </c>
      <c r="M235" s="218" t="inlineStr">
        <is>
          <t>REALIZADO (até 30/04)</t>
        </is>
      </c>
      <c r="N235" s="272" t="inlineStr">
        <is>
          <t>SANEAGO_MOZARLANDIA_CUSTOS 30.04.2026.xlsx / FINANCEIRO ATE 30.04 / linha 247</t>
        </is>
      </c>
    </row>
    <row r="236">
      <c r="A236" s="222" t="n">
        <v>233</v>
      </c>
      <c r="B236" s="218" t="inlineStr">
        <is>
          <t>DESPESA</t>
        </is>
      </c>
      <c r="C236" s="220" t="n">
        <v>46121</v>
      </c>
      <c r="D236" s="220" t="n">
        <v>46134</v>
      </c>
      <c r="E236" s="335">
        <f>IF(D236="","",DATE(YEAR(D236),MONTH(D236),1))</f>
        <v>46113.0</v>
      </c>
      <c r="F236" s="218" t="inlineStr">
        <is>
          <t>NAIR ALVES DE ASSIS</t>
        </is>
      </c>
      <c r="G236" s="218" t="inlineStr">
        <is>
          <t>HOSPEDAGENS</t>
        </is>
      </c>
      <c r="H236" s="218" t="inlineStr">
        <is>
          <t>9788</t>
        </is>
      </c>
      <c r="I236" s="219" t="n">
        <v>1440</v>
      </c>
      <c r="J236" s="218" t="inlineStr">
        <is>
          <t>ADMINISTRATIVO</t>
        </is>
      </c>
      <c r="K236" s="218" t="inlineStr">
        <is>
          <t>ALOJAMENTO, ALIMENTACAO E UTILIDADES</t>
        </is>
      </c>
      <c r="L236" s="222" t="str">
        <f>IF(B236&lt;&gt;"DESPESA","",IFERROR(VLOOKUP(K236,$P$5:$Q$16,2,FALSE),"?"))</f>
        <v>ADM</v>
      </c>
      <c r="M236" s="218" t="inlineStr">
        <is>
          <t>REALIZADO (até 30/04)</t>
        </is>
      </c>
      <c r="N236" s="272" t="inlineStr">
        <is>
          <t>SANEAGO_MOZARLANDIA_CUSTOS 30.04.2026.xlsx / FINANCEIRO ATE 30.04 / linha 248</t>
        </is>
      </c>
    </row>
    <row r="237">
      <c r="A237" s="222" t="n">
        <v>234</v>
      </c>
      <c r="B237" s="218" t="inlineStr">
        <is>
          <t>DESPESA</t>
        </is>
      </c>
      <c r="C237" s="220" t="n">
        <v>46104</v>
      </c>
      <c r="D237" s="220" t="n">
        <v>46134</v>
      </c>
      <c r="E237" s="335">
        <f>IF(D237="","",DATE(YEAR(D237),MONTH(D237),1))</f>
        <v>46113.0</v>
      </c>
      <c r="F237" s="218" t="inlineStr">
        <is>
          <t>CORR PLASTIK INDUSTRIAL LTDA</t>
        </is>
      </c>
      <c r="G237" s="218" t="inlineStr">
        <is>
          <t>MATERIAL APLICADO - TUBOS</t>
        </is>
      </c>
      <c r="H237" s="218" t="inlineStr">
        <is>
          <t>342590</t>
        </is>
      </c>
      <c r="I237" s="219" t="n">
        <v>30750</v>
      </c>
      <c r="J237" s="218" t="inlineStr">
        <is>
          <t>CIVIL</t>
        </is>
      </c>
      <c r="K237" s="218" t="inlineStr">
        <is>
          <t>MATERIAIS E FERRAMENTAS</t>
        </is>
      </c>
      <c r="L237" s="222" t="str">
        <f>IF(B237&lt;&gt;"DESPESA","",IFERROR(VLOOKUP(K237,$P$5:$Q$16,2,FALSE),"?"))</f>
        <v>MAT</v>
      </c>
      <c r="M237" s="218" t="inlineStr">
        <is>
          <t>REALIZADO (até 30/04)</t>
        </is>
      </c>
      <c r="N237" s="272" t="inlineStr">
        <is>
          <t>SANEAGO_MOZARLANDIA_CUSTOS 30.04.2026.xlsx / FINANCEIRO ATE 30.04 / linha 249 | REPETIDA: mesmo NF 342590, fornecedor e valor (~30750) aparece 2x (vencimentos: 2026-04-22, 2026-05-22); parcela ou duplicidade, conferir</t>
        </is>
      </c>
    </row>
    <row r="238">
      <c r="A238" s="222" t="n">
        <v>235</v>
      </c>
      <c r="B238" s="218" t="inlineStr">
        <is>
          <t>DESPESA</t>
        </is>
      </c>
      <c r="C238" s="220" t="n">
        <v>46104</v>
      </c>
      <c r="D238" s="220" t="n">
        <v>46134</v>
      </c>
      <c r="E238" s="335">
        <f>IF(D238="","",DATE(YEAR(D238),MONTH(D238),1))</f>
        <v>46113.0</v>
      </c>
      <c r="F238" s="218" t="inlineStr">
        <is>
          <t>CORR PLASTIK INDUSTRIAL LTDA</t>
        </is>
      </c>
      <c r="G238" s="218" t="inlineStr">
        <is>
          <t>MATERIAL APLICADO - TUBOS</t>
        </is>
      </c>
      <c r="H238" s="218" t="inlineStr">
        <is>
          <t>342588</t>
        </is>
      </c>
      <c r="I238" s="219" t="n">
        <v>51360</v>
      </c>
      <c r="J238" s="218" t="inlineStr">
        <is>
          <t>CIVIL</t>
        </is>
      </c>
      <c r="K238" s="218" t="inlineStr">
        <is>
          <t>MATERIAIS E FERRAMENTAS</t>
        </is>
      </c>
      <c r="L238" s="222" t="str">
        <f>IF(B238&lt;&gt;"DESPESA","",IFERROR(VLOOKUP(K238,$P$5:$Q$16,2,FALSE),"?"))</f>
        <v>MAT</v>
      </c>
      <c r="M238" s="218" t="inlineStr">
        <is>
          <t>REALIZADO (até 30/04)</t>
        </is>
      </c>
      <c r="N238" s="272" t="inlineStr">
        <is>
          <t>SANEAGO_MOZARLANDIA_CUSTOS 30.04.2026.xlsx / FINANCEIRO ATE 30.04 / linha 250 | REPETIDA: mesmo NF 342588, fornecedor e valor (~51360) aparece 2x (vencimentos: 2026-04-22, 2026-05-22); parcela ou duplicidade, conferir</t>
        </is>
      </c>
    </row>
    <row r="239">
      <c r="A239" s="222" t="n">
        <v>236</v>
      </c>
      <c r="B239" s="218" t="inlineStr">
        <is>
          <t>DESPESA</t>
        </is>
      </c>
      <c r="C239" s="220" t="n">
        <v>46104</v>
      </c>
      <c r="D239" s="220" t="n">
        <v>46134</v>
      </c>
      <c r="E239" s="335">
        <f>IF(D239="","",DATE(YEAR(D239),MONTH(D239),1))</f>
        <v>46113.0</v>
      </c>
      <c r="F239" s="218" t="inlineStr">
        <is>
          <t>CORR PLASTIK INDUSTRIAL LTDA</t>
        </is>
      </c>
      <c r="G239" s="218" t="inlineStr">
        <is>
          <t>MATERIAL APLICADO - TUBOS</t>
        </is>
      </c>
      <c r="H239" s="218" t="inlineStr">
        <is>
          <t>342589</t>
        </is>
      </c>
      <c r="I239" s="219" t="n">
        <v>51360</v>
      </c>
      <c r="J239" s="218" t="inlineStr">
        <is>
          <t>CIVIL</t>
        </is>
      </c>
      <c r="K239" s="218" t="inlineStr">
        <is>
          <t>MATERIAIS E FERRAMENTAS</t>
        </is>
      </c>
      <c r="L239" s="222" t="str">
        <f>IF(B239&lt;&gt;"DESPESA","",IFERROR(VLOOKUP(K239,$P$5:$Q$16,2,FALSE),"?"))</f>
        <v>MAT</v>
      </c>
      <c r="M239" s="218" t="inlineStr">
        <is>
          <t>REALIZADO (até 30/04)</t>
        </is>
      </c>
      <c r="N239" s="272" t="inlineStr">
        <is>
          <t>SANEAGO_MOZARLANDIA_CUSTOS 30.04.2026.xlsx / FINANCEIRO ATE 30.04 / linha 251 | REPETIDA: mesmo NF 342589, fornecedor e valor (~51360) aparece 2x (vencimentos: 2026-04-22, 2026-05-22); parcela ou duplicidade, conferir</t>
        </is>
      </c>
    </row>
    <row r="240">
      <c r="A240" s="222" t="n">
        <v>237</v>
      </c>
      <c r="B240" s="218" t="inlineStr">
        <is>
          <t>DESPESA</t>
        </is>
      </c>
      <c r="C240" s="220" t="n">
        <v>46127</v>
      </c>
      <c r="D240" s="220" t="n">
        <v>46134</v>
      </c>
      <c r="E240" s="335">
        <f>IF(D240="","",DATE(YEAR(D240),MONTH(D240),1))</f>
        <v>46113.0</v>
      </c>
      <c r="F240" s="218" t="inlineStr">
        <is>
          <t>PAULO CEZAR DE JESUS SILVA E CIA LTDA</t>
        </is>
      </c>
      <c r="G240" s="218" t="inlineStr">
        <is>
          <t>FRETE CAMINHÃO CAÇAMBA</t>
        </is>
      </c>
      <c r="H240" s="218" t="inlineStr">
        <is>
          <t>955</t>
        </is>
      </c>
      <c r="I240" s="219" t="n">
        <v>2400</v>
      </c>
      <c r="J240" s="218" t="inlineStr">
        <is>
          <t>CIVIL</t>
        </is>
      </c>
      <c r="K240" s="218" t="inlineStr">
        <is>
          <t>SERVICOS DE TERCEIROS / CANTEIRO</t>
        </is>
      </c>
      <c r="L240" s="222" t="str">
        <f>IF(B240&lt;&gt;"DESPESA","",IFERROR(VLOOKUP(K240,$P$5:$Q$16,2,FALSE),"?"))</f>
        <v>TER</v>
      </c>
      <c r="M240" s="218" t="inlineStr">
        <is>
          <t>REALIZADO (até 30/04)</t>
        </is>
      </c>
      <c r="N240" s="272" t="inlineStr">
        <is>
          <t>SANEAGO_MOZARLANDIA_CUSTOS 30.04.2026.xlsx / FINANCEIRO ATE 30.04 / linha 252</t>
        </is>
      </c>
    </row>
    <row r="241">
      <c r="A241" s="222" t="n">
        <v>238</v>
      </c>
      <c r="B241" s="218" t="inlineStr">
        <is>
          <t>DESPESA</t>
        </is>
      </c>
      <c r="C241" s="220" t="n">
        <v>46132</v>
      </c>
      <c r="D241" s="220" t="n">
        <v>46134</v>
      </c>
      <c r="E241" s="335">
        <f>IF(D241="","",DATE(YEAR(D241),MONTH(D241),1))</f>
        <v>46113.0</v>
      </c>
      <c r="F241" s="218" t="inlineStr">
        <is>
          <t>SEBASTIAO DA SILVA SANTOS</t>
        </is>
      </c>
      <c r="G241" s="218" t="inlineStr">
        <is>
          <t>SERVIÇO ESCAVAÇÃO E TRANSPORTE</t>
        </is>
      </c>
      <c r="H241" s="218" t="inlineStr">
        <is>
          <t>Recibo</t>
        </is>
      </c>
      <c r="I241" s="219" t="n">
        <v>2400</v>
      </c>
      <c r="J241" s="218" t="inlineStr">
        <is>
          <t>CIVIL</t>
        </is>
      </c>
      <c r="K241" s="218" t="inlineStr">
        <is>
          <t>SERVICOS DE TERCEIROS / CANTEIRO</t>
        </is>
      </c>
      <c r="L241" s="222" t="str">
        <f>IF(B241&lt;&gt;"DESPESA","",IFERROR(VLOOKUP(K241,$P$5:$Q$16,2,FALSE),"?"))</f>
        <v>TER</v>
      </c>
      <c r="M241" s="218" t="inlineStr">
        <is>
          <t>REALIZADO (até 30/04)</t>
        </is>
      </c>
      <c r="N241" s="272" t="inlineStr">
        <is>
          <t>SANEAGO_MOZARLANDIA_CUSTOS 30.04.2026.xlsx / FINANCEIRO ATE 30.04 / linha 253</t>
        </is>
      </c>
    </row>
    <row r="242">
      <c r="A242" s="222" t="n">
        <v>239</v>
      </c>
      <c r="B242" s="218" t="inlineStr">
        <is>
          <t>DESPESA</t>
        </is>
      </c>
      <c r="C242" s="220" t="n">
        <v>46132</v>
      </c>
      <c r="D242" s="220" t="n">
        <v>46134</v>
      </c>
      <c r="E242" s="335">
        <f>IF(D242="","",DATE(YEAR(D242),MONTH(D242),1))</f>
        <v>46113.0</v>
      </c>
      <c r="F242" s="218" t="inlineStr">
        <is>
          <t>RICARLOS ALVES DE OLIVEIRA</t>
        </is>
      </c>
      <c r="G242" s="218" t="inlineStr">
        <is>
          <t>REEMBOLSO OBRA</t>
        </is>
      </c>
      <c r="H242" s="218" t="inlineStr">
        <is>
          <t>RDV</t>
        </is>
      </c>
      <c r="I242" s="219" t="n">
        <v>2944.61</v>
      </c>
      <c r="J242" s="218" t="inlineStr">
        <is>
          <t>ADMINISTRATIVO</t>
        </is>
      </c>
      <c r="K242" s="218" t="inlineStr">
        <is>
          <t>ADMINISTRATIVO GERAL (seguros, honorarios, reembolsos, TI)</t>
        </is>
      </c>
      <c r="L242" s="222" t="str">
        <f>IF(B242&lt;&gt;"DESPESA","",IFERROR(VLOOKUP(K242,$P$5:$Q$16,2,FALSE),"?"))</f>
        <v>ADM</v>
      </c>
      <c r="M242" s="218" t="inlineStr">
        <is>
          <t>REALIZADO (até 30/04)</t>
        </is>
      </c>
      <c r="N242" s="272" t="inlineStr">
        <is>
          <t>SANEAGO_MOZARLANDIA_CUSTOS 30.04.2026.xlsx / FINANCEIRO ATE 30.04 / linha 254</t>
        </is>
      </c>
    </row>
    <row r="243">
      <c r="A243" s="222" t="n">
        <v>240</v>
      </c>
      <c r="B243" s="218" t="inlineStr">
        <is>
          <t>DESPESA</t>
        </is>
      </c>
      <c r="C243" s="220" t="n">
        <v>46073</v>
      </c>
      <c r="D243" s="220" t="n">
        <v>46134</v>
      </c>
      <c r="E243" s="335">
        <f>IF(D243="","",DATE(YEAR(D243),MONTH(D243),1))</f>
        <v>46113.0</v>
      </c>
      <c r="F243" s="218" t="inlineStr">
        <is>
          <t>REINALDO CINTRA ANGELI</t>
        </is>
      </c>
      <c r="G243" s="218" t="inlineStr">
        <is>
          <t>MATERIAL CONSUMO</t>
        </is>
      </c>
      <c r="H243" s="218" t="inlineStr">
        <is>
          <t>086</t>
        </is>
      </c>
      <c r="I243" s="219" t="n">
        <v>15</v>
      </c>
      <c r="J243" s="218" t="inlineStr">
        <is>
          <t>ADMINISTRATIVO</t>
        </is>
      </c>
      <c r="K243" s="218" t="inlineStr">
        <is>
          <t>MATERIAIS E FERRAMENTAS</t>
        </is>
      </c>
      <c r="L243" s="222" t="str">
        <f>IF(B243&lt;&gt;"DESPESA","",IFERROR(VLOOKUP(K243,$P$5:$Q$16,2,FALSE),"?"))</f>
        <v>MAT</v>
      </c>
      <c r="M243" s="218" t="inlineStr">
        <is>
          <t>REALIZADO (até 30/04)</t>
        </is>
      </c>
      <c r="N243" s="272" t="inlineStr">
        <is>
          <t>SANEAGO_MOZARLANDIA_CUSTOS 30.04.2026.xlsx / FINANCEIRO ATE 30.04 / linha 255</t>
        </is>
      </c>
    </row>
    <row r="244">
      <c r="A244" s="222" t="n">
        <v>241</v>
      </c>
      <c r="B244" s="218" t="inlineStr">
        <is>
          <t>DESPESA</t>
        </is>
      </c>
      <c r="C244" s="220" t="n">
        <v>46130</v>
      </c>
      <c r="D244" s="220" t="n">
        <v>46134</v>
      </c>
      <c r="E244" s="335">
        <f>IF(D244="","",DATE(YEAR(D244),MONTH(D244),1))</f>
        <v>46113.0</v>
      </c>
      <c r="F244" s="218" t="inlineStr">
        <is>
          <t>REINALDO CINTRA ANGELI</t>
        </is>
      </c>
      <c r="G244" s="218" t="inlineStr">
        <is>
          <t>MATERIAL CONSUMO</t>
        </is>
      </c>
      <c r="H244" s="218" t="inlineStr">
        <is>
          <t>114</t>
        </is>
      </c>
      <c r="I244" s="219" t="n">
        <v>255.1</v>
      </c>
      <c r="J244" s="218" t="inlineStr">
        <is>
          <t>ADMINISTRATIVO</t>
        </is>
      </c>
      <c r="K244" s="218" t="inlineStr">
        <is>
          <t>MATERIAIS E FERRAMENTAS</t>
        </is>
      </c>
      <c r="L244" s="222" t="str">
        <f>IF(B244&lt;&gt;"DESPESA","",IFERROR(VLOOKUP(K244,$P$5:$Q$16,2,FALSE),"?"))</f>
        <v>MAT</v>
      </c>
      <c r="M244" s="218" t="inlineStr">
        <is>
          <t>REALIZADO (até 30/04)</t>
        </is>
      </c>
      <c r="N244" s="272" t="inlineStr">
        <is>
          <t>SANEAGO_MOZARLANDIA_CUSTOS 30.04.2026.xlsx / FINANCEIRO ATE 30.04 / linha 256</t>
        </is>
      </c>
    </row>
    <row r="245">
      <c r="A245" s="222" t="n">
        <v>242</v>
      </c>
      <c r="B245" s="218" t="inlineStr">
        <is>
          <t>DESPESA</t>
        </is>
      </c>
      <c r="C245" s="220" t="n">
        <v>46104</v>
      </c>
      <c r="D245" s="220" t="n">
        <v>46134</v>
      </c>
      <c r="E245" s="335">
        <f>IF(D245="","",DATE(YEAR(D245),MONTH(D245),1))</f>
        <v>46113.0</v>
      </c>
      <c r="F245" s="218" t="inlineStr">
        <is>
          <t>JOSE DONIZETE DE SOUZA</t>
        </is>
      </c>
      <c r="G245" s="218" t="inlineStr">
        <is>
          <t>MATERIAL APLICADO</t>
        </is>
      </c>
      <c r="H245" s="218" t="inlineStr">
        <is>
          <t>320263</t>
        </is>
      </c>
      <c r="I245" s="219" t="n">
        <v>2302.11</v>
      </c>
      <c r="J245" s="218" t="inlineStr">
        <is>
          <t>CIVIL</t>
        </is>
      </c>
      <c r="K245" s="218" t="inlineStr">
        <is>
          <t>MATERIAIS E FERRAMENTAS</t>
        </is>
      </c>
      <c r="L245" s="222" t="str">
        <f>IF(B245&lt;&gt;"DESPESA","",IFERROR(VLOOKUP(K245,$P$5:$Q$16,2,FALSE),"?"))</f>
        <v>MAT</v>
      </c>
      <c r="M245" s="218" t="inlineStr">
        <is>
          <t>REALIZADO (até 30/04)</t>
        </is>
      </c>
      <c r="N245" s="272" t="inlineStr">
        <is>
          <t>SANEAGO_MOZARLANDIA_CUSTOS 30.04.2026.xlsx / FINANCEIRO ATE 30.04 / linha 257 | REPETIDA: mesmo NF 320263, fornecedor e valor (~2302) aparece 2x (vencimentos: 2026-04-22, 2026-05-22); parcela ou duplicidade, conferir</t>
        </is>
      </c>
    </row>
    <row r="246">
      <c r="A246" s="222" t="n">
        <v>243</v>
      </c>
      <c r="B246" s="218" t="inlineStr">
        <is>
          <t>APORTE</t>
        </is>
      </c>
      <c r="C246" s="220" t="n">
        <v>46134</v>
      </c>
      <c r="D246" s="220" t="n">
        <v>46134</v>
      </c>
      <c r="E246" s="335">
        <f>IF(D246="","",DATE(YEAR(D246),MONTH(D246),1))</f>
        <v>46113.0</v>
      </c>
      <c r="F246" s="218" t="inlineStr">
        <is>
          <t>TAF EQUIPAMENTOS</t>
        </is>
      </c>
      <c r="G246" s="218" t="inlineStr">
        <is>
          <t>APORTE DA TAF</t>
        </is>
      </c>
      <c r="H246" s="218" t="inlineStr">
        <is>
          <t>PIX</t>
        </is>
      </c>
      <c r="I246" s="219" t="n">
        <v>72378.45</v>
      </c>
      <c r="J246" s="218" t="inlineStr">
        <is>
          <t>APORTE</t>
        </is>
      </c>
      <c r="K246" s="218" t="inlineStr">
        <is>
          <t>APORTE</t>
        </is>
      </c>
      <c r="L246" s="222">
        <f>IF(B246&lt;&gt;"DESPESA","",IFERROR(VLOOKUP(K246,$P$5:$Q$16,2,FALSE),"?"))</f>
      </c>
      <c r="M246" s="218" t="inlineStr">
        <is>
          <t>REALIZADO (até 30/04)</t>
        </is>
      </c>
      <c r="N246" s="272" t="inlineStr">
        <is>
          <t>SANEAGO_MOZARLANDIA_CUSTOS 30.04.2026.xlsx / FINANCEIRO ATE 30.04 / linha 258</t>
        </is>
      </c>
    </row>
    <row r="247">
      <c r="A247" s="222" t="n">
        <v>244</v>
      </c>
      <c r="B247" s="218" t="inlineStr">
        <is>
          <t>APORTE</t>
        </is>
      </c>
      <c r="C247" s="220" t="n">
        <v>46134</v>
      </c>
      <c r="D247" s="220" t="n">
        <v>46134</v>
      </c>
      <c r="E247" s="335">
        <f>IF(D247="","",DATE(YEAR(D247),MONTH(D247),1))</f>
        <v>46113.0</v>
      </c>
      <c r="F247" s="218" t="inlineStr">
        <is>
          <t>TECNOBOMBAS</t>
        </is>
      </c>
      <c r="G247" s="218" t="inlineStr">
        <is>
          <t>APORTE - PAGAMENTO REALIZADO CONTA TECNOBOMBAS</t>
        </is>
      </c>
      <c r="H247" s="218" t="inlineStr">
        <is>
          <t>PIX</t>
        </is>
      </c>
      <c r="I247" s="219" t="n">
        <v>46191.82</v>
      </c>
      <c r="J247" s="218" t="inlineStr">
        <is>
          <t>APORTE</t>
        </is>
      </c>
      <c r="K247" s="218" t="inlineStr">
        <is>
          <t>APORTE</t>
        </is>
      </c>
      <c r="L247" s="222">
        <f>IF(B247&lt;&gt;"DESPESA","",IFERROR(VLOOKUP(K247,$P$5:$Q$16,2,FALSE),"?"))</f>
      </c>
      <c r="M247" s="218" t="inlineStr">
        <is>
          <t>REALIZADO (até 30/04)</t>
        </is>
      </c>
      <c r="N247" s="272" t="inlineStr">
        <is>
          <t>SANEAGO_MOZARLANDIA_CUSTOS 30.04.2026.xlsx / FINANCEIRO ATE 30.04 / linha 259</t>
        </is>
      </c>
    </row>
    <row r="248">
      <c r="A248" s="222" t="n">
        <v>245</v>
      </c>
      <c r="B248" s="218" t="inlineStr">
        <is>
          <t>APORTE</t>
        </is>
      </c>
      <c r="C248" s="220" t="n">
        <v>46135</v>
      </c>
      <c r="D248" s="220" t="n">
        <v>46135</v>
      </c>
      <c r="E248" s="335">
        <f>IF(D248="","",DATE(YEAR(D248),MONTH(D248),1))</f>
        <v>46113.0</v>
      </c>
      <c r="F248" s="218" t="inlineStr">
        <is>
          <t>TECNOBOMBAS</t>
        </is>
      </c>
      <c r="G248" s="218" t="inlineStr">
        <is>
          <t>APORTE - PAGAMENTO REALIZADO CONTA TECNOBOMBAS</t>
        </is>
      </c>
      <c r="H248" s="218" t="inlineStr">
        <is>
          <t>PIX</t>
        </is>
      </c>
      <c r="I248" s="219" t="n">
        <v>51498.67</v>
      </c>
      <c r="J248" s="218" t="inlineStr">
        <is>
          <t>APORTE</t>
        </is>
      </c>
      <c r="K248" s="218" t="inlineStr">
        <is>
          <t>APORTE</t>
        </is>
      </c>
      <c r="L248" s="222">
        <f>IF(B248&lt;&gt;"DESPESA","",IFERROR(VLOOKUP(K248,$P$5:$Q$16,2,FALSE),"?"))</f>
      </c>
      <c r="M248" s="218" t="inlineStr">
        <is>
          <t>REALIZADO (até 30/04)</t>
        </is>
      </c>
      <c r="N248" s="272" t="inlineStr">
        <is>
          <t>SANEAGO_MOZARLANDIA_CUSTOS 30.04.2026.xlsx / FINANCEIRO ATE 30.04 / linha 260</t>
        </is>
      </c>
    </row>
    <row r="249">
      <c r="A249" s="222" t="n">
        <v>246</v>
      </c>
      <c r="B249" s="218" t="inlineStr">
        <is>
          <t>DESPESA</t>
        </is>
      </c>
      <c r="C249" s="220" t="n">
        <v>46104</v>
      </c>
      <c r="D249" s="220" t="n">
        <v>46136</v>
      </c>
      <c r="E249" s="335">
        <f>IF(D249="","",DATE(YEAR(D249),MONTH(D249),1))</f>
        <v>46113.0</v>
      </c>
      <c r="F249" s="218" t="inlineStr">
        <is>
          <t>DM MATERIAIS CONSTRUCAO LTDA</t>
        </is>
      </c>
      <c r="G249" s="218" t="inlineStr">
        <is>
          <t>MATERIAL APLICADO</t>
        </is>
      </c>
      <c r="H249" s="218" t="inlineStr">
        <is>
          <t>2740</t>
        </is>
      </c>
      <c r="I249" s="219" t="n">
        <v>2766.66</v>
      </c>
      <c r="J249" s="218" t="inlineStr">
        <is>
          <t>CIVIL</t>
        </is>
      </c>
      <c r="K249" s="218" t="inlineStr">
        <is>
          <t>MATERIAIS E FERRAMENTAS</t>
        </is>
      </c>
      <c r="L249" s="222" t="str">
        <f>IF(B249&lt;&gt;"DESPESA","",IFERROR(VLOOKUP(K249,$P$5:$Q$16,2,FALSE),"?"))</f>
        <v>MAT</v>
      </c>
      <c r="M249" s="218" t="inlineStr">
        <is>
          <t>REALIZADO (até 30/04)</t>
        </is>
      </c>
      <c r="N249" s="272" t="inlineStr">
        <is>
          <t>SANEAGO_MOZARLANDIA_CUSTOS 30.04.2026.xlsx / FINANCEIRO ATE 30.04 / linha 261</t>
        </is>
      </c>
    </row>
    <row r="250">
      <c r="A250" s="222" t="n">
        <v>247</v>
      </c>
      <c r="B250" s="218" t="inlineStr">
        <is>
          <t>DESPESA</t>
        </is>
      </c>
      <c r="C250" s="220" t="n">
        <v>46126</v>
      </c>
      <c r="D250" s="220" t="n">
        <v>46136</v>
      </c>
      <c r="E250" s="335">
        <f>IF(D250="","",DATE(YEAR(D250),MONTH(D250),1))</f>
        <v>46113.0</v>
      </c>
      <c r="F250" s="218" t="inlineStr">
        <is>
          <t>MADEIMANAS MADEIREIRA MANAS LTDA</t>
        </is>
      </c>
      <c r="G250" s="218" t="inlineStr">
        <is>
          <t>MATERIAL APLICADO - CONSUMO</t>
        </is>
      </c>
      <c r="H250" s="218" t="inlineStr">
        <is>
          <t>181196</t>
        </is>
      </c>
      <c r="I250" s="219" t="n">
        <v>549.59</v>
      </c>
      <c r="J250" s="218" t="inlineStr">
        <is>
          <t>CIVIL</t>
        </is>
      </c>
      <c r="K250" s="218" t="inlineStr">
        <is>
          <t>MATERIAIS E FERRAMENTAS</t>
        </is>
      </c>
      <c r="L250" s="222" t="str">
        <f>IF(B250&lt;&gt;"DESPESA","",IFERROR(VLOOKUP(K250,$P$5:$Q$16,2,FALSE),"?"))</f>
        <v>MAT</v>
      </c>
      <c r="M250" s="218" t="inlineStr">
        <is>
          <t>REALIZADO (até 30/04)</t>
        </is>
      </c>
      <c r="N250" s="272" t="inlineStr">
        <is>
          <t>SANEAGO_MOZARLANDIA_CUSTOS 30.04.2026.xlsx / FINANCEIRO ATE 30.04 / linha 262</t>
        </is>
      </c>
    </row>
    <row r="251">
      <c r="A251" s="222" t="n">
        <v>248</v>
      </c>
      <c r="B251" s="218" t="inlineStr">
        <is>
          <t>DESPESA</t>
        </is>
      </c>
      <c r="C251" s="220" t="n">
        <v>46128</v>
      </c>
      <c r="D251" s="220" t="n">
        <v>46136</v>
      </c>
      <c r="E251" s="335">
        <f>IF(D251="","",DATE(YEAR(D251),MONTH(D251),1))</f>
        <v>46113.0</v>
      </c>
      <c r="F251" s="218" t="inlineStr">
        <is>
          <t>DANUBIA CAMPOS DE OLIVEIRA FIDELIS</t>
        </is>
      </c>
      <c r="G251" s="218" t="inlineStr">
        <is>
          <t>HONORÁRIOS ADVOCATÍCIOS</t>
        </is>
      </c>
      <c r="H251" s="218" t="inlineStr">
        <is>
          <t>004</t>
        </is>
      </c>
      <c r="I251" s="219" t="n">
        <v>9775</v>
      </c>
      <c r="J251" s="218" t="inlineStr">
        <is>
          <t>ADMINISTRATIVO</t>
        </is>
      </c>
      <c r="K251" s="218" t="inlineStr">
        <is>
          <t>ADMINISTRATIVO GERAL (seguros, honorarios, reembolsos, TI)</t>
        </is>
      </c>
      <c r="L251" s="222" t="str">
        <f>IF(B251&lt;&gt;"DESPESA","",IFERROR(VLOOKUP(K251,$P$5:$Q$16,2,FALSE),"?"))</f>
        <v>ADM</v>
      </c>
      <c r="M251" s="218" t="inlineStr">
        <is>
          <t>REALIZADO (até 30/04)</t>
        </is>
      </c>
      <c r="N251" s="272" t="inlineStr">
        <is>
          <t>SANEAGO_MOZARLANDIA_CUSTOS 30.04.2026.xlsx / FINANCEIRO ATE 30.04 / linha 263</t>
        </is>
      </c>
    </row>
    <row r="252">
      <c r="A252" s="222" t="n">
        <v>249</v>
      </c>
      <c r="B252" s="218" t="inlineStr">
        <is>
          <t>DESPESA</t>
        </is>
      </c>
      <c r="C252" s="220" t="n">
        <v>46135</v>
      </c>
      <c r="D252" s="220" t="n">
        <v>46136</v>
      </c>
      <c r="E252" s="335">
        <f>IF(D252="","",DATE(YEAR(D252),MONTH(D252),1))</f>
        <v>46113.0</v>
      </c>
      <c r="F252" s="218" t="inlineStr">
        <is>
          <t>CLAUDIO MOREIRA AGAPITO</t>
        </is>
      </c>
      <c r="G252" s="218" t="inlineStr">
        <is>
          <t>REEMBOLSO PASSAGENS</t>
        </is>
      </c>
      <c r="H252" s="218" t="inlineStr">
        <is>
          <t>Recibo</t>
        </is>
      </c>
      <c r="I252" s="219" t="n">
        <v>266.38</v>
      </c>
      <c r="J252" s="218" t="inlineStr">
        <is>
          <t>ADMINISTRATIVO</t>
        </is>
      </c>
      <c r="K252" s="218" t="inlineStr">
        <is>
          <t>ADMINISTRATIVO GERAL (seguros, honorarios, reembolsos, TI)</t>
        </is>
      </c>
      <c r="L252" s="222" t="str">
        <f>IF(B252&lt;&gt;"DESPESA","",IFERROR(VLOOKUP(K252,$P$5:$Q$16,2,FALSE),"?"))</f>
        <v>ADM</v>
      </c>
      <c r="M252" s="218" t="inlineStr">
        <is>
          <t>REALIZADO (até 30/04)</t>
        </is>
      </c>
      <c r="N252" s="272" t="inlineStr">
        <is>
          <t>SANEAGO_MOZARLANDIA_CUSTOS 30.04.2026.xlsx / FINANCEIRO ATE 30.04 / linha 264</t>
        </is>
      </c>
    </row>
    <row r="253">
      <c r="A253" s="222" t="n">
        <v>250</v>
      </c>
      <c r="B253" s="218" t="inlineStr">
        <is>
          <t>DESPESA</t>
        </is>
      </c>
      <c r="C253" s="220" t="n">
        <v>46106</v>
      </c>
      <c r="D253" s="220" t="n">
        <v>46136</v>
      </c>
      <c r="E253" s="335">
        <f>IF(D253="","",DATE(YEAR(D253),MONTH(D253),1))</f>
        <v>46113.0</v>
      </c>
      <c r="F253" s="218" t="inlineStr">
        <is>
          <t>MADEIMANAS MADEIREIRA MANAS LTDA</t>
        </is>
      </c>
      <c r="G253" s="218" t="inlineStr">
        <is>
          <t>MATERIAL CONSUMO</t>
        </is>
      </c>
      <c r="H253" s="218" t="inlineStr">
        <is>
          <t>179760</t>
        </is>
      </c>
      <c r="I253" s="219" t="n">
        <v>92.15000000000001</v>
      </c>
      <c r="J253" s="218" t="inlineStr">
        <is>
          <t>ADMINISTRATIVO</t>
        </is>
      </c>
      <c r="K253" s="218" t="inlineStr">
        <is>
          <t>MATERIAIS E FERRAMENTAS</t>
        </is>
      </c>
      <c r="L253" s="222" t="str">
        <f>IF(B253&lt;&gt;"DESPESA","",IFERROR(VLOOKUP(K253,$P$5:$Q$16,2,FALSE),"?"))</f>
        <v>MAT</v>
      </c>
      <c r="M253" s="218" t="inlineStr">
        <is>
          <t>REALIZADO (até 30/04)</t>
        </is>
      </c>
      <c r="N253" s="272" t="inlineStr">
        <is>
          <t>SANEAGO_MOZARLANDIA_CUSTOS 30.04.2026.xlsx / FINANCEIRO ATE 30.04 / linha 265</t>
        </is>
      </c>
    </row>
    <row r="254">
      <c r="A254" s="222" t="n">
        <v>251</v>
      </c>
      <c r="B254" s="218" t="inlineStr">
        <is>
          <t>DESPESA</t>
        </is>
      </c>
      <c r="C254" s="220" t="n">
        <v>46104</v>
      </c>
      <c r="D254" s="220" t="n">
        <v>46136</v>
      </c>
      <c r="E254" s="335">
        <f>IF(D254="","",DATE(YEAR(D254),MONTH(D254),1))</f>
        <v>46113.0</v>
      </c>
      <c r="F254" s="218" t="inlineStr">
        <is>
          <t>MPS DISTRIBUIDORA MERCANTIL LTDA</t>
        </is>
      </c>
      <c r="G254" s="218" t="inlineStr">
        <is>
          <t>IMOBILIZADO - AR CONDICIONADO</t>
        </is>
      </c>
      <c r="H254" s="218" t="inlineStr">
        <is>
          <t>66902</t>
        </is>
      </c>
      <c r="I254" s="219" t="n">
        <v>389.2</v>
      </c>
      <c r="J254" s="218" t="inlineStr">
        <is>
          <t>ADMINISTRATIVO</t>
        </is>
      </c>
      <c r="K254" s="218" t="inlineStr">
        <is>
          <t>ADMINISTRATIVO GERAL (seguros, honorarios, reembolsos, TI)</t>
        </is>
      </c>
      <c r="L254" s="222" t="str">
        <f>IF(B254&lt;&gt;"DESPESA","",IFERROR(VLOOKUP(K254,$P$5:$Q$16,2,FALSE),"?"))</f>
        <v>ADM</v>
      </c>
      <c r="M254" s="218" t="inlineStr">
        <is>
          <t>REALIZADO (até 30/04)</t>
        </is>
      </c>
      <c r="N254" s="272" t="inlineStr">
        <is>
          <t>SANEAGO_MOZARLANDIA_CUSTOS 30.04.2026.xlsx / FINANCEIRO ATE 30.04 / linha 266</t>
        </is>
      </c>
    </row>
    <row r="255">
      <c r="A255" s="222" t="n">
        <v>252</v>
      </c>
      <c r="B255" s="218" t="inlineStr">
        <is>
          <t>DESPESA</t>
        </is>
      </c>
      <c r="C255" s="220" t="n">
        <v>46077</v>
      </c>
      <c r="D255" s="220" t="n">
        <v>46136</v>
      </c>
      <c r="E255" s="335">
        <f>IF(D255="","",DATE(YEAR(D255),MONTH(D255),1))</f>
        <v>46113.0</v>
      </c>
      <c r="F255" s="218" t="inlineStr">
        <is>
          <t>MADEIMANAS MADEIREIRA MANAS LTDA</t>
        </is>
      </c>
      <c r="G255" s="218" t="inlineStr">
        <is>
          <t>MATERIAL APLICADO</t>
        </is>
      </c>
      <c r="H255" s="218" t="inlineStr">
        <is>
          <t>177950</t>
        </is>
      </c>
      <c r="I255" s="219" t="n">
        <v>845.66</v>
      </c>
      <c r="J255" s="218" t="inlineStr">
        <is>
          <t>CIVIL</t>
        </is>
      </c>
      <c r="K255" s="218" t="inlineStr">
        <is>
          <t>MATERIAIS E FERRAMENTAS</t>
        </is>
      </c>
      <c r="L255" s="222" t="str">
        <f>IF(B255&lt;&gt;"DESPESA","",IFERROR(VLOOKUP(K255,$P$5:$Q$16,2,FALSE),"?"))</f>
        <v>MAT</v>
      </c>
      <c r="M255" s="218" t="inlineStr">
        <is>
          <t>REALIZADO (até 30/04)</t>
        </is>
      </c>
      <c r="N255" s="272" t="inlineStr">
        <is>
          <t>SANEAGO_MOZARLANDIA_CUSTOS 30.04.2026.xlsx / FINANCEIRO ATE 30.04 / linha 267 | REPETIDA: mesmo NF 177950, fornecedor e valor (~846) aparece 2x (vencimentos: 2026-03-06, 2026-04-24); parcela ou duplicidade, conferir</t>
        </is>
      </c>
    </row>
    <row r="256">
      <c r="A256" s="222" t="n">
        <v>253</v>
      </c>
      <c r="B256" s="218" t="inlineStr">
        <is>
          <t>DESPESA</t>
        </is>
      </c>
      <c r="C256" s="220" t="n">
        <v>46078</v>
      </c>
      <c r="D256" s="220" t="n">
        <v>46137</v>
      </c>
      <c r="E256" s="335">
        <f>IF(D256="","",DATE(YEAR(D256),MONTH(D256),1))</f>
        <v>46113.0</v>
      </c>
      <c r="F256" s="218" t="inlineStr">
        <is>
          <t>DM MATERIAIS CONSTRUCAO LTDA</t>
        </is>
      </c>
      <c r="G256" s="218" t="inlineStr">
        <is>
          <t>MATERIAL APLICADO - CIVIL</t>
        </is>
      </c>
      <c r="H256" s="218" t="inlineStr">
        <is>
          <t>2499</t>
        </is>
      </c>
      <c r="I256" s="219" t="n">
        <v>2842.8</v>
      </c>
      <c r="J256" s="218" t="inlineStr">
        <is>
          <t>CIVIL</t>
        </is>
      </c>
      <c r="K256" s="218" t="inlineStr">
        <is>
          <t>MATERIAIS E FERRAMENTAS</t>
        </is>
      </c>
      <c r="L256" s="222" t="str">
        <f>IF(B256&lt;&gt;"DESPESA","",IFERROR(VLOOKUP(K256,$P$5:$Q$16,2,FALSE),"?"))</f>
        <v>MAT</v>
      </c>
      <c r="M256" s="218" t="inlineStr">
        <is>
          <t>REALIZADO (até 30/04)</t>
        </is>
      </c>
      <c r="N256" s="272" t="inlineStr">
        <is>
          <t>SANEAGO_MOZARLANDIA_CUSTOS 30.04.2026.xlsx / FINANCEIRO ATE 30.04 / linha 268 | REPETIDA: mesmo NF 2499, fornecedor e valor (~2843) aparece 2x (vencimentos: 2026-03-25, 2026-04-25); parcela ou duplicidade, conferir</t>
        </is>
      </c>
    </row>
    <row r="257">
      <c r="A257" s="222" t="n">
        <v>254</v>
      </c>
      <c r="B257" s="218" t="inlineStr">
        <is>
          <t>DESPESA</t>
        </is>
      </c>
      <c r="C257" s="220" t="n">
        <v>46107</v>
      </c>
      <c r="D257" s="220" t="n">
        <v>46138</v>
      </c>
      <c r="E257" s="335">
        <f>IF(D257="","",DATE(YEAR(D257),MONTH(D257),1))</f>
        <v>46113.0</v>
      </c>
      <c r="F257" s="218" t="inlineStr">
        <is>
          <t>DAVID MARQUES MOREIRA</t>
        </is>
      </c>
      <c r="G257" s="218" t="inlineStr">
        <is>
          <t>MATERIAL APLICADO</t>
        </is>
      </c>
      <c r="H257" s="218" t="inlineStr">
        <is>
          <t>933</t>
        </is>
      </c>
      <c r="I257" s="219" t="n">
        <v>1040</v>
      </c>
      <c r="J257" s="218" t="inlineStr">
        <is>
          <t>CIVIL</t>
        </is>
      </c>
      <c r="K257" s="218" t="inlineStr">
        <is>
          <t>MATERIAIS E FERRAMENTAS</t>
        </is>
      </c>
      <c r="L257" s="222" t="str">
        <f>IF(B257&lt;&gt;"DESPESA","",IFERROR(VLOOKUP(K257,$P$5:$Q$16,2,FALSE),"?"))</f>
        <v>MAT</v>
      </c>
      <c r="M257" s="218" t="inlineStr">
        <is>
          <t>REALIZADO (até 30/04)</t>
        </is>
      </c>
      <c r="N257" s="272" t="inlineStr">
        <is>
          <t>SANEAGO_MOZARLANDIA_CUSTOS 30.04.2026.xlsx / FINANCEIRO ATE 30.04 / linha 269</t>
        </is>
      </c>
    </row>
    <row r="258">
      <c r="A258" s="222" t="n">
        <v>255</v>
      </c>
      <c r="B258" s="218" t="inlineStr">
        <is>
          <t>DESPESA</t>
        </is>
      </c>
      <c r="C258" s="220" t="n">
        <v>46108</v>
      </c>
      <c r="D258" s="220" t="n">
        <v>46138</v>
      </c>
      <c r="E258" s="335">
        <f>IF(D258="","",DATE(YEAR(D258),MONTH(D258),1))</f>
        <v>46113.0</v>
      </c>
      <c r="F258" s="218" t="inlineStr">
        <is>
          <t>MADEIMANAS MADEIREIRA MANAS LTDA</t>
        </is>
      </c>
      <c r="G258" s="218" t="inlineStr">
        <is>
          <t>MAERIAL APLICADO</t>
        </is>
      </c>
      <c r="H258" s="218" t="inlineStr">
        <is>
          <t>179939</t>
        </is>
      </c>
      <c r="I258" s="219" t="n">
        <v>598.9</v>
      </c>
      <c r="J258" s="218" t="inlineStr">
        <is>
          <t>ADMINISTRATIVO</t>
        </is>
      </c>
      <c r="K258" s="218" t="inlineStr">
        <is>
          <t>MATERIAIS E FERRAMENTAS</t>
        </is>
      </c>
      <c r="L258" s="222" t="str">
        <f>IF(B258&lt;&gt;"DESPESA","",IFERROR(VLOOKUP(K258,$P$5:$Q$16,2,FALSE),"?"))</f>
        <v>MAT</v>
      </c>
      <c r="M258" s="218" t="inlineStr">
        <is>
          <t>REALIZADO (até 30/04)</t>
        </is>
      </c>
      <c r="N258" s="272" t="inlineStr">
        <is>
          <t>SANEAGO_MOZARLANDIA_CUSTOS 30.04.2026.xlsx / FINANCEIRO ATE 30.04 / linha 270</t>
        </is>
      </c>
    </row>
    <row r="259">
      <c r="A259" s="222" t="n">
        <v>256</v>
      </c>
      <c r="B259" s="218" t="inlineStr">
        <is>
          <t>DESPESA</t>
        </is>
      </c>
      <c r="C259" s="220" t="n">
        <v>46108</v>
      </c>
      <c r="D259" s="220" t="n">
        <v>46139</v>
      </c>
      <c r="E259" s="335">
        <f>IF(D259="","",DATE(YEAR(D259),MONTH(D259),1))</f>
        <v>46113.0</v>
      </c>
      <c r="F259" s="218" t="inlineStr">
        <is>
          <t>LUCAS ESTEVES DOS REIS</t>
        </is>
      </c>
      <c r="G259" s="218" t="inlineStr">
        <is>
          <t>PLACAS DE OBRA</t>
        </is>
      </c>
      <c r="H259" s="218" t="inlineStr">
        <is>
          <t>139</t>
        </is>
      </c>
      <c r="I259" s="219" t="n">
        <v>1375</v>
      </c>
      <c r="J259" s="218" t="inlineStr">
        <is>
          <t>CIVIL</t>
        </is>
      </c>
      <c r="K259" s="218" t="inlineStr">
        <is>
          <t>SERVICOS DE TERCEIROS / CANTEIRO</t>
        </is>
      </c>
      <c r="L259" s="222" t="str">
        <f>IF(B259&lt;&gt;"DESPESA","",IFERROR(VLOOKUP(K259,$P$5:$Q$16,2,FALSE),"?"))</f>
        <v>TER</v>
      </c>
      <c r="M259" s="218" t="inlineStr">
        <is>
          <t>REALIZADO (até 30/04)</t>
        </is>
      </c>
      <c r="N259" s="272" t="inlineStr">
        <is>
          <t>SANEAGO_MOZARLANDIA_CUSTOS 30.04.2026.xlsx / FINANCEIRO ATE 30.04 / linha 271 | REPETIDA: mesmo NF 139, fornecedor e valor (~1375) aparece 2x (vencimentos: 2026-04-15, 2026-04-27); parcela ou duplicidade, conferir</t>
        </is>
      </c>
    </row>
    <row r="260">
      <c r="A260" s="222" t="n">
        <v>257</v>
      </c>
      <c r="B260" s="218" t="inlineStr">
        <is>
          <t>DESPESA</t>
        </is>
      </c>
      <c r="C260" s="220" t="n">
        <v>46132</v>
      </c>
      <c r="D260" s="220" t="n">
        <v>46139</v>
      </c>
      <c r="E260" s="335">
        <f>IF(D260="","",DATE(YEAR(D260),MONTH(D260),1))</f>
        <v>46113.0</v>
      </c>
      <c r="F260" s="218" t="inlineStr">
        <is>
          <t>CAIXA ECONOMICA FEDERAL</t>
        </is>
      </c>
      <c r="G260" s="218" t="inlineStr">
        <is>
          <t>MULTA RESCISÓRIA</t>
        </is>
      </c>
      <c r="H260" s="218" t="inlineStr">
        <is>
          <t>FGTS</t>
        </is>
      </c>
      <c r="I260" s="219" t="n">
        <v>278.07</v>
      </c>
      <c r="J260" s="218" t="inlineStr">
        <is>
          <t>ADMINISTRATIVO</t>
        </is>
      </c>
      <c r="K260" s="218" t="inlineStr">
        <is>
          <t>PESSOAL E ENCARGOS</t>
        </is>
      </c>
      <c r="L260" s="222" t="str">
        <f>IF(B260&lt;&gt;"DESPESA","",IFERROR(VLOOKUP(K260,$P$5:$Q$16,2,FALSE),"?"))</f>
        <v>MO</v>
      </c>
      <c r="M260" s="218" t="inlineStr">
        <is>
          <t>REALIZADO (até 30/04)</t>
        </is>
      </c>
      <c r="N260" s="272" t="inlineStr">
        <is>
          <t>SANEAGO_MOZARLANDIA_CUSTOS 30.04.2026.xlsx / FINANCEIRO ATE 30.04 / linha 272</t>
        </is>
      </c>
    </row>
    <row r="261">
      <c r="A261" s="222" t="n">
        <v>258</v>
      </c>
      <c r="B261" s="218" t="inlineStr">
        <is>
          <t>DESPESA</t>
        </is>
      </c>
      <c r="C261" s="220" t="n">
        <v>46132</v>
      </c>
      <c r="D261" s="220" t="n">
        <v>46139</v>
      </c>
      <c r="E261" s="335">
        <f>IF(D261="","",DATE(YEAR(D261),MONTH(D261),1))</f>
        <v>46113.0</v>
      </c>
      <c r="F261" s="218" t="inlineStr">
        <is>
          <t>JANDIMAR PEDRO PIMENTA</t>
        </is>
      </c>
      <c r="G261" s="218" t="inlineStr">
        <is>
          <t>RESCISÃO</t>
        </is>
      </c>
      <c r="H261" s="218" t="inlineStr">
        <is>
          <t>TRCT</t>
        </is>
      </c>
      <c r="I261" s="219" t="n">
        <v>1379.4</v>
      </c>
      <c r="J261" s="218" t="inlineStr">
        <is>
          <t>ADMINISTRATIVO</t>
        </is>
      </c>
      <c r="K261" s="218" t="inlineStr">
        <is>
          <t>PESSOAL E ENCARGOS</t>
        </is>
      </c>
      <c r="L261" s="222" t="str">
        <f>IF(B261&lt;&gt;"DESPESA","",IFERROR(VLOOKUP(K261,$P$5:$Q$16,2,FALSE),"?"))</f>
        <v>MO</v>
      </c>
      <c r="M261" s="218" t="inlineStr">
        <is>
          <t>REALIZADO (até 30/04)</t>
        </is>
      </c>
      <c r="N261" s="272" t="inlineStr">
        <is>
          <t>SANEAGO_MOZARLANDIA_CUSTOS 30.04.2026.xlsx / FINANCEIRO ATE 30.04 / linha 273</t>
        </is>
      </c>
    </row>
    <row r="262">
      <c r="A262" s="222" t="n">
        <v>259</v>
      </c>
      <c r="B262" s="218" t="inlineStr">
        <is>
          <t>DESPESA</t>
        </is>
      </c>
      <c r="C262" s="220" t="n">
        <v>46136</v>
      </c>
      <c r="D262" s="220" t="n">
        <v>46139</v>
      </c>
      <c r="E262" s="335">
        <f>IF(D262="","",DATE(YEAR(D262),MONTH(D262),1))</f>
        <v>46113.0</v>
      </c>
      <c r="F262" s="218" t="inlineStr">
        <is>
          <t>DISKOTEL ELETRO EIRELI</t>
        </is>
      </c>
      <c r="G262" s="218" t="inlineStr">
        <is>
          <t>UTENSÍLIOS/MÓVEIS PARA ESCRITÓRIO</t>
        </is>
      </c>
      <c r="H262" s="218" t="inlineStr">
        <is>
          <t>14838</t>
        </is>
      </c>
      <c r="I262" s="219" t="n">
        <v>599.9</v>
      </c>
      <c r="J262" s="218" t="inlineStr">
        <is>
          <t>ADMINISTRATIVO</t>
        </is>
      </c>
      <c r="K262" s="218" t="inlineStr">
        <is>
          <t>ALOJAMENTO, ALIMENTACAO E UTILIDADES</t>
        </is>
      </c>
      <c r="L262" s="222" t="str">
        <f>IF(B262&lt;&gt;"DESPESA","",IFERROR(VLOOKUP(K262,$P$5:$Q$16,2,FALSE),"?"))</f>
        <v>ADM</v>
      </c>
      <c r="M262" s="218" t="inlineStr">
        <is>
          <t>REALIZADO (até 30/04)</t>
        </is>
      </c>
      <c r="N262" s="272" t="inlineStr">
        <is>
          <t>SANEAGO_MOZARLANDIA_CUSTOS 30.04.2026.xlsx / FINANCEIRO ATE 30.04 / linha 274</t>
        </is>
      </c>
    </row>
    <row r="263">
      <c r="A263" s="222" t="n">
        <v>260</v>
      </c>
      <c r="B263" s="218" t="inlineStr">
        <is>
          <t>DESPESA</t>
        </is>
      </c>
      <c r="C263" s="220" t="n">
        <v>46137</v>
      </c>
      <c r="D263" s="220" t="n">
        <v>46139</v>
      </c>
      <c r="E263" s="335">
        <f>IF(D263="","",DATE(YEAR(D263),MONTH(D263),1))</f>
        <v>46113.0</v>
      </c>
      <c r="F263" s="218" t="inlineStr">
        <is>
          <t>DISKOTEL ELETRO EIRELI</t>
        </is>
      </c>
      <c r="G263" s="218" t="inlineStr">
        <is>
          <t>UTENSÍLIOS/MÓVEIS PARA ESCRITÓRIO</t>
        </is>
      </c>
      <c r="H263" s="218" t="inlineStr">
        <is>
          <t>14839</t>
        </is>
      </c>
      <c r="I263" s="219" t="n">
        <v>1124.9</v>
      </c>
      <c r="J263" s="218" t="inlineStr">
        <is>
          <t>ADMINISTRATIVO</t>
        </is>
      </c>
      <c r="K263" s="218" t="inlineStr">
        <is>
          <t>ALOJAMENTO, ALIMENTACAO E UTILIDADES</t>
        </is>
      </c>
      <c r="L263" s="222" t="str">
        <f>IF(B263&lt;&gt;"DESPESA","",IFERROR(VLOOKUP(K263,$P$5:$Q$16,2,FALSE),"?"))</f>
        <v>ADM</v>
      </c>
      <c r="M263" s="218" t="inlineStr">
        <is>
          <t>REALIZADO (até 30/04)</t>
        </is>
      </c>
      <c r="N263" s="272" t="inlineStr">
        <is>
          <t>SANEAGO_MOZARLANDIA_CUSTOS 30.04.2026.xlsx / FINANCEIRO ATE 30.04 / linha 275</t>
        </is>
      </c>
    </row>
    <row r="264">
      <c r="A264" s="222" t="n">
        <v>261</v>
      </c>
      <c r="B264" s="218" t="inlineStr">
        <is>
          <t>DESPESA</t>
        </is>
      </c>
      <c r="C264" s="220" t="n">
        <v>46085</v>
      </c>
      <c r="D264" s="220" t="n">
        <v>46140</v>
      </c>
      <c r="E264" s="335">
        <f>IF(D264="","",DATE(YEAR(D264),MONTH(D264),1))</f>
        <v>46113.0</v>
      </c>
      <c r="F264" s="218" t="inlineStr">
        <is>
          <t>IMPERCIA QUIMICA LTDA</t>
        </is>
      </c>
      <c r="G264" s="218" t="inlineStr">
        <is>
          <t>MATERIAL APLICADO - CIVIL</t>
        </is>
      </c>
      <c r="H264" s="218" t="inlineStr">
        <is>
          <t>154276</t>
        </is>
      </c>
      <c r="I264" s="219" t="n">
        <v>1344.75</v>
      </c>
      <c r="J264" s="218" t="inlineStr">
        <is>
          <t>CIVIL</t>
        </is>
      </c>
      <c r="K264" s="218" t="inlineStr">
        <is>
          <t>MATERIAIS E FERRAMENTAS</t>
        </is>
      </c>
      <c r="L264" s="222" t="str">
        <f>IF(B264&lt;&gt;"DESPESA","",IFERROR(VLOOKUP(K264,$P$5:$Q$16,2,FALSE),"?"))</f>
        <v>MAT</v>
      </c>
      <c r="M264" s="218" t="inlineStr">
        <is>
          <t>REALIZADO (até 30/04)</t>
        </is>
      </c>
      <c r="N264" s="272" t="inlineStr">
        <is>
          <t>SANEAGO_MOZARLANDIA_CUSTOS 30.04.2026.xlsx / FINANCEIRO ATE 30.04 / linha 276 | REPETIDA: mesmo NF 154276, fornecedor e valor (~1345) aparece 2x (vencimentos: 2026-03-29, 2026-04-28); parcela ou duplicidade, conferir</t>
        </is>
      </c>
    </row>
    <row r="265">
      <c r="A265" s="222" t="n">
        <v>262</v>
      </c>
      <c r="B265" s="218" t="inlineStr">
        <is>
          <t>DESPESA</t>
        </is>
      </c>
      <c r="C265" s="220" t="n">
        <v>46085</v>
      </c>
      <c r="D265" s="220" t="n">
        <v>46140</v>
      </c>
      <c r="E265" s="335">
        <f>IF(D265="","",DATE(YEAR(D265),MONTH(D265),1))</f>
        <v>46113.0</v>
      </c>
      <c r="F265" s="218" t="inlineStr">
        <is>
          <t>IMPERCIA QUIMICA LTDA</t>
        </is>
      </c>
      <c r="G265" s="218" t="inlineStr">
        <is>
          <t>MATERIAL APLICADO - CIVIL</t>
        </is>
      </c>
      <c r="H265" s="218" t="inlineStr">
        <is>
          <t>154308</t>
        </is>
      </c>
      <c r="I265" s="219" t="n">
        <v>1372.25</v>
      </c>
      <c r="J265" s="218" t="inlineStr">
        <is>
          <t>CIVIL</t>
        </is>
      </c>
      <c r="K265" s="218" t="inlineStr">
        <is>
          <t>MATERIAIS E FERRAMENTAS</t>
        </is>
      </c>
      <c r="L265" s="222" t="str">
        <f>IF(B265&lt;&gt;"DESPESA","",IFERROR(VLOOKUP(K265,$P$5:$Q$16,2,FALSE),"?"))</f>
        <v>MAT</v>
      </c>
      <c r="M265" s="218" t="inlineStr">
        <is>
          <t>REALIZADO (até 30/04)</t>
        </is>
      </c>
      <c r="N265" s="272" t="inlineStr">
        <is>
          <t>SANEAGO_MOZARLANDIA_CUSTOS 30.04.2026.xlsx / FINANCEIRO ATE 30.04 / linha 277 | REPETIDA: mesmo NF 154308, fornecedor e valor (~1372) aparece 2x (vencimentos: 2026-03-29, 2026-04-28); parcela ou duplicidade, conferir</t>
        </is>
      </c>
    </row>
    <row r="266">
      <c r="A266" s="222" t="n">
        <v>263</v>
      </c>
      <c r="B266" s="218" t="inlineStr">
        <is>
          <t>DESPESA</t>
        </is>
      </c>
      <c r="C266" s="220" t="n">
        <v>46112</v>
      </c>
      <c r="D266" s="220" t="n">
        <v>46140</v>
      </c>
      <c r="E266" s="335">
        <f>IF(D266="","",DATE(YEAR(D266),MONTH(D266),1))</f>
        <v>46113.0</v>
      </c>
      <c r="F266" s="218" t="inlineStr">
        <is>
          <t>SUZANA LOCACOES LTDA</t>
        </is>
      </c>
      <c r="G266" s="218" t="inlineStr">
        <is>
          <t>LOCAÇÃO EQUIPAMENTOS</t>
        </is>
      </c>
      <c r="H266" s="218" t="inlineStr">
        <is>
          <t>2496</t>
        </is>
      </c>
      <c r="I266" s="219" t="n">
        <v>2360</v>
      </c>
      <c r="J266" s="218" t="inlineStr">
        <is>
          <t>CIVIL</t>
        </is>
      </c>
      <c r="K266" s="218" t="inlineStr">
        <is>
          <t>LOCACAO DE EQUIPAMENTOS</t>
        </is>
      </c>
      <c r="L266" s="222" t="str">
        <f>IF(B266&lt;&gt;"DESPESA","",IFERROR(VLOOKUP(K266,$P$5:$Q$16,2,FALSE),"?"))</f>
        <v>EQP</v>
      </c>
      <c r="M266" s="218" t="inlineStr">
        <is>
          <t>REALIZADO (até 30/04)</t>
        </is>
      </c>
      <c r="N266" s="272" t="inlineStr">
        <is>
          <t>SANEAGO_MOZARLANDIA_CUSTOS 30.04.2026.xlsx / FINANCEIRO ATE 30.04 / linha 278</t>
        </is>
      </c>
    </row>
    <row r="267">
      <c r="A267" s="222" t="n">
        <v>264</v>
      </c>
      <c r="B267" s="218" t="inlineStr">
        <is>
          <t>DESPESA</t>
        </is>
      </c>
      <c r="C267" s="220" t="n">
        <v>46140</v>
      </c>
      <c r="D267" s="220" t="n">
        <v>46140</v>
      </c>
      <c r="E267" s="335">
        <f>IF(D267="","",DATE(YEAR(D267),MONTH(D267),1))</f>
        <v>46113.0</v>
      </c>
      <c r="F267" s="218" t="inlineStr">
        <is>
          <t>CERAMICA E CONSTRUCAO CAMPESTRE LTDA</t>
        </is>
      </c>
      <c r="G267" s="218" t="inlineStr">
        <is>
          <t>MATERIAL APLICADO - TIJOLOS (PAGTO REALIZADO PELA TECNOBOMBAS)</t>
        </is>
      </c>
      <c r="H267" s="218" t="inlineStr">
        <is>
          <t>PIX</t>
        </is>
      </c>
      <c r="I267" s="219" t="n">
        <v>9600</v>
      </c>
      <c r="J267" s="218" t="inlineStr">
        <is>
          <t>CIVIL</t>
        </is>
      </c>
      <c r="K267" s="218" t="inlineStr">
        <is>
          <t>MATERIAIS E FERRAMENTAS</t>
        </is>
      </c>
      <c r="L267" s="222" t="str">
        <f>IF(B267&lt;&gt;"DESPESA","",IFERROR(VLOOKUP(K267,$P$5:$Q$16,2,FALSE),"?"))</f>
        <v>MAT</v>
      </c>
      <c r="M267" s="218" t="inlineStr">
        <is>
          <t>REALIZADO (até 30/04)</t>
        </is>
      </c>
      <c r="N267" s="272" t="inlineStr">
        <is>
          <t>SANEAGO_MOZARLANDIA_CUSTOS 30.04.2026.xlsx / FINANCEIRO ATE 30.04 / linha 279</t>
        </is>
      </c>
    </row>
    <row r="268">
      <c r="A268" s="222" t="n">
        <v>265</v>
      </c>
      <c r="B268" s="218" t="inlineStr">
        <is>
          <t>DESPESA</t>
        </is>
      </c>
      <c r="C268" s="220" t="n">
        <v>46140</v>
      </c>
      <c r="D268" s="220" t="n">
        <v>46140</v>
      </c>
      <c r="E268" s="335">
        <f>IF(D268="","",DATE(YEAR(D268),MONTH(D268),1))</f>
        <v>46113.0</v>
      </c>
      <c r="F268" s="218" t="inlineStr">
        <is>
          <t>CERAMICA E CONSTRUCAO CAMPESTRE LTDA</t>
        </is>
      </c>
      <c r="G268" s="218" t="inlineStr">
        <is>
          <t>MATERIAL APLICADO - TIJOLOS (PAGTO REALIZADO PELA TECNOBOMBAS)</t>
        </is>
      </c>
      <c r="H268" s="218" t="inlineStr">
        <is>
          <t>PIX</t>
        </is>
      </c>
      <c r="I268" s="219" t="n">
        <v>1200</v>
      </c>
      <c r="J268" s="218" t="inlineStr">
        <is>
          <t>CIVIL</t>
        </is>
      </c>
      <c r="K268" s="218" t="inlineStr">
        <is>
          <t>MATERIAIS E FERRAMENTAS</t>
        </is>
      </c>
      <c r="L268" s="222" t="str">
        <f>IF(B268&lt;&gt;"DESPESA","",IFERROR(VLOOKUP(K268,$P$5:$Q$16,2,FALSE),"?"))</f>
        <v>MAT</v>
      </c>
      <c r="M268" s="218" t="inlineStr">
        <is>
          <t>REALIZADO (até 30/04)</t>
        </is>
      </c>
      <c r="N268" s="272" t="inlineStr">
        <is>
          <t>SANEAGO_MOZARLANDIA_CUSTOS 30.04.2026.xlsx / FINANCEIRO ATE 30.04 / linha 280</t>
        </is>
      </c>
    </row>
    <row r="269">
      <c r="A269" s="222" t="n">
        <v>266</v>
      </c>
      <c r="B269" s="218" t="inlineStr">
        <is>
          <t>DESPESA</t>
        </is>
      </c>
      <c r="C269" s="220" t="n">
        <v>46132</v>
      </c>
      <c r="D269" s="220" t="n">
        <v>46140</v>
      </c>
      <c r="E269" s="335">
        <f>IF(D269="","",DATE(YEAR(D269),MONTH(D269),1))</f>
        <v>46113.0</v>
      </c>
      <c r="F269" s="218" t="inlineStr">
        <is>
          <t>NAIR ALVES DE ASSIS</t>
        </is>
      </c>
      <c r="G269" s="218" t="inlineStr">
        <is>
          <t>HOSPEDAGENS</t>
        </is>
      </c>
      <c r="H269" s="218" t="inlineStr">
        <is>
          <t>9832</t>
        </is>
      </c>
      <c r="I269" s="219" t="n">
        <v>1745</v>
      </c>
      <c r="J269" s="218" t="inlineStr">
        <is>
          <t>ADMINISTRATIVO</t>
        </is>
      </c>
      <c r="K269" s="218" t="inlineStr">
        <is>
          <t>ALOJAMENTO, ALIMENTACAO E UTILIDADES</t>
        </is>
      </c>
      <c r="L269" s="222" t="str">
        <f>IF(B269&lt;&gt;"DESPESA","",IFERROR(VLOOKUP(K269,$P$5:$Q$16,2,FALSE),"?"))</f>
        <v>ADM</v>
      </c>
      <c r="M269" s="218" t="inlineStr">
        <is>
          <t>REALIZADO (até 30/04)</t>
        </is>
      </c>
      <c r="N269" s="272" t="inlineStr">
        <is>
          <t>SANEAGO_MOZARLANDIA_CUSTOS 30.04.2026.xlsx / FINANCEIRO ATE 30.04 / linha 281</t>
        </is>
      </c>
    </row>
    <row r="270">
      <c r="A270" s="222" t="n">
        <v>267</v>
      </c>
      <c r="B270" s="218" t="inlineStr">
        <is>
          <t>DESPESA</t>
        </is>
      </c>
      <c r="C270" s="220" t="n">
        <v>46126</v>
      </c>
      <c r="D270" s="220" t="n">
        <v>46141</v>
      </c>
      <c r="E270" s="335">
        <f>IF(D270="","",DATE(YEAR(D270),MONTH(D270),1))</f>
        <v>46113.0</v>
      </c>
      <c r="F270" s="218" t="inlineStr">
        <is>
          <t>PR CONSTRUTORA E ENGENHARIA LTDA (nomes variantes)</t>
        </is>
      </c>
      <c r="G270" s="218" t="inlineStr">
        <is>
          <t>SERVIÇO TOPOGRAFIA</t>
        </is>
      </c>
      <c r="H270" s="218" t="inlineStr">
        <is>
          <t>0052</t>
        </is>
      </c>
      <c r="I270" s="219" t="n">
        <v>5795</v>
      </c>
      <c r="J270" s="218" t="inlineStr">
        <is>
          <t>CIVIL</t>
        </is>
      </c>
      <c r="K270" s="218" t="inlineStr">
        <is>
          <t>SERVICOS DE TERCEIROS / CANTEIRO</t>
        </is>
      </c>
      <c r="L270" s="222" t="str">
        <f>IF(B270&lt;&gt;"DESPESA","",IFERROR(VLOOKUP(K270,$P$5:$Q$16,2,FALSE),"?"))</f>
        <v>TER</v>
      </c>
      <c r="M270" s="218" t="inlineStr">
        <is>
          <t>REALIZADO (até 30/04)</t>
        </is>
      </c>
      <c r="N270" s="272" t="inlineStr">
        <is>
          <t>SANEAGO_MOZARLANDIA_CUSTOS 30.04.2026.xlsx / FINANCEIRO ATE 30.04 / linha 282</t>
        </is>
      </c>
    </row>
    <row r="271">
      <c r="A271" s="222" t="n">
        <v>268</v>
      </c>
      <c r="B271" s="218" t="inlineStr">
        <is>
          <t>DESPESA</t>
        </is>
      </c>
      <c r="C271" s="220" t="n">
        <v>46119</v>
      </c>
      <c r="D271" s="220" t="n">
        <v>46142</v>
      </c>
      <c r="E271" s="335">
        <f>IF(D271="","",DATE(YEAR(D271),MONTH(D271),1))</f>
        <v>46113.0</v>
      </c>
      <c r="F271" s="218" t="inlineStr">
        <is>
          <t>A PROTETORA COMERCIO DE EPI LTDA</t>
        </is>
      </c>
      <c r="G271" s="218" t="inlineStr">
        <is>
          <t>MAERIAL SEGURANÇA - EPIS</t>
        </is>
      </c>
      <c r="H271" s="218" t="inlineStr">
        <is>
          <t>3386</t>
        </is>
      </c>
      <c r="I271" s="219" t="n">
        <v>378.05</v>
      </c>
      <c r="J271" s="218" t="inlineStr">
        <is>
          <t>ADMINISTRATIVO</t>
        </is>
      </c>
      <c r="K271" s="218" t="inlineStr">
        <is>
          <t>SEGURANCA DO TRABALHO (EPI/UNIFORMES)</t>
        </is>
      </c>
      <c r="L271" s="222" t="str">
        <f>IF(B271&lt;&gt;"DESPESA","",IFERROR(VLOOKUP(K271,$P$5:$Q$16,2,FALSE),"?"))</f>
        <v>ADM</v>
      </c>
      <c r="M271" s="218" t="inlineStr">
        <is>
          <t>REALIZADO (até 30/04)</t>
        </is>
      </c>
      <c r="N271" s="272" t="inlineStr">
        <is>
          <t>SANEAGO_MOZARLANDIA_CUSTOS 30.04.2026.xlsx / FINANCEIRO ATE 30.04 / linha 283</t>
        </is>
      </c>
    </row>
    <row r="272">
      <c r="A272" s="222" t="n">
        <v>269</v>
      </c>
      <c r="B272" s="218" t="inlineStr">
        <is>
          <t>DESPESA</t>
        </is>
      </c>
      <c r="C272" s="220" t="n">
        <v>46126</v>
      </c>
      <c r="D272" s="220" t="n">
        <v>46142</v>
      </c>
      <c r="E272" s="335">
        <f>IF(D272="","",DATE(YEAR(D272),MONTH(D272),1))</f>
        <v>46113.0</v>
      </c>
      <c r="F272" s="218" t="inlineStr">
        <is>
          <t>RICARLOS ALVES DE OLIVEIRA</t>
        </is>
      </c>
      <c r="G272" s="218" t="inlineStr">
        <is>
          <t>PRESTAÇÃO SERVIÇOS</t>
        </is>
      </c>
      <c r="H272" s="218" t="inlineStr">
        <is>
          <t>1898</t>
        </is>
      </c>
      <c r="I272" s="219" t="n">
        <v>12000</v>
      </c>
      <c r="J272" s="218" t="inlineStr">
        <is>
          <t>ADMINISTRATIVO</t>
        </is>
      </c>
      <c r="K272" s="218" t="inlineStr">
        <is>
          <t>ENGENHARIA/PRESTACAO DE SERVICOS PJ</t>
        </is>
      </c>
      <c r="L272" s="222" t="str">
        <f>IF(B272&lt;&gt;"DESPESA","",IFERROR(VLOOKUP(K272,$P$5:$Q$16,2,FALSE),"?"))</f>
        <v>ADM</v>
      </c>
      <c r="M272" s="218" t="inlineStr">
        <is>
          <t>REALIZADO (até 30/04)</t>
        </is>
      </c>
      <c r="N272" s="272" t="inlineStr">
        <is>
          <t>SANEAGO_MOZARLANDIA_CUSTOS 30.04.2026.xlsx / FINANCEIRO ATE 30.04 / linha 284</t>
        </is>
      </c>
    </row>
    <row r="273">
      <c r="A273" s="222" t="n">
        <v>270</v>
      </c>
      <c r="B273" s="218" t="inlineStr">
        <is>
          <t>DESPESA</t>
        </is>
      </c>
      <c r="C273" s="220" t="n">
        <v>46127</v>
      </c>
      <c r="D273" s="220" t="n">
        <v>46142</v>
      </c>
      <c r="E273" s="335">
        <f>IF(D273="","",DATE(YEAR(D273),MONTH(D273),1))</f>
        <v>46113.0</v>
      </c>
      <c r="F273" s="218" t="inlineStr">
        <is>
          <t>LUCAS ESTEVES DOS REIS</t>
        </is>
      </c>
      <c r="G273" s="218" t="inlineStr">
        <is>
          <t>CONFECCIONAMENTO DE PLACAS</t>
        </is>
      </c>
      <c r="H273" s="218" t="inlineStr">
        <is>
          <t>141</t>
        </is>
      </c>
      <c r="I273" s="219" t="n">
        <v>340</v>
      </c>
      <c r="J273" s="218" t="inlineStr">
        <is>
          <t>CIVIL</t>
        </is>
      </c>
      <c r="K273" s="218" t="inlineStr">
        <is>
          <t>SERVICOS DE TERCEIROS / CANTEIRO</t>
        </is>
      </c>
      <c r="L273" s="222" t="str">
        <f>IF(B273&lt;&gt;"DESPESA","",IFERROR(VLOOKUP(K273,$P$5:$Q$16,2,FALSE),"?"))</f>
        <v>TER</v>
      </c>
      <c r="M273" s="218" t="inlineStr">
        <is>
          <t>REALIZADO (até 30/04)</t>
        </is>
      </c>
      <c r="N273" s="272" t="inlineStr">
        <is>
          <t>SANEAGO_MOZARLANDIA_CUSTOS 30.04.2026.xlsx / FINANCEIRO ATE 30.04 / linha 285</t>
        </is>
      </c>
    </row>
    <row r="274">
      <c r="A274" s="222" t="n">
        <v>271</v>
      </c>
      <c r="B274" s="218" t="inlineStr">
        <is>
          <t>DESPESA</t>
        </is>
      </c>
      <c r="C274" s="220" t="n">
        <v>46129</v>
      </c>
      <c r="D274" s="220" t="n">
        <v>46142</v>
      </c>
      <c r="E274" s="335">
        <f>IF(D274="","",DATE(YEAR(D274),MONTH(D274),1))</f>
        <v>46113.0</v>
      </c>
      <c r="F274" s="218" t="inlineStr">
        <is>
          <t>COMERCIO DE COMBUSTIVEIS EBENEZER LTDA</t>
        </is>
      </c>
      <c r="G274" s="218" t="inlineStr">
        <is>
          <t>COMBUSTÍVEIS</t>
        </is>
      </c>
      <c r="H274" s="218" t="inlineStr">
        <is>
          <t>15812</t>
        </is>
      </c>
      <c r="I274" s="219" t="n">
        <v>6912.62</v>
      </c>
      <c r="J274" s="218" t="inlineStr">
        <is>
          <t>ADMINISTRATIVO</t>
        </is>
      </c>
      <c r="K274" s="218" t="inlineStr">
        <is>
          <t>COMBUSTIVEIS</t>
        </is>
      </c>
      <c r="L274" s="222" t="str">
        <f>IF(B274&lt;&gt;"DESPESA","",IFERROR(VLOOKUP(K274,$P$5:$Q$16,2,FALSE),"?"))</f>
        <v>EQP</v>
      </c>
      <c r="M274" s="218" t="inlineStr">
        <is>
          <t>REALIZADO (até 30/04)</t>
        </is>
      </c>
      <c r="N274" s="272" t="inlineStr">
        <is>
          <t>SANEAGO_MOZARLANDIA_CUSTOS 30.04.2026.xlsx / FINANCEIRO ATE 30.04 / linha 286</t>
        </is>
      </c>
    </row>
    <row r="275">
      <c r="A275" s="222" t="n">
        <v>272</v>
      </c>
      <c r="B275" s="218" t="inlineStr">
        <is>
          <t>DESPESA</t>
        </is>
      </c>
      <c r="C275" s="220" t="n">
        <v>46134</v>
      </c>
      <c r="D275" s="220" t="n">
        <v>46142</v>
      </c>
      <c r="E275" s="335">
        <f>IF(D275="","",DATE(YEAR(D275),MONTH(D275),1))</f>
        <v>46113.0</v>
      </c>
      <c r="F275" s="218" t="inlineStr">
        <is>
          <t>MARIO VALDIR MIQUELIN</t>
        </is>
      </c>
      <c r="G275" s="218" t="inlineStr">
        <is>
          <t>LOCAÇÃO RETROESCAVADEIRA</t>
        </is>
      </c>
      <c r="H275" s="218" t="inlineStr">
        <is>
          <t>111</t>
        </is>
      </c>
      <c r="I275" s="219" t="n">
        <v>2550</v>
      </c>
      <c r="J275" s="218" t="inlineStr">
        <is>
          <t>CIVIL</t>
        </is>
      </c>
      <c r="K275" s="218" t="inlineStr">
        <is>
          <t>LOCACAO DE EQUIPAMENTOS</t>
        </is>
      </c>
      <c r="L275" s="222" t="str">
        <f>IF(B275&lt;&gt;"DESPESA","",IFERROR(VLOOKUP(K275,$P$5:$Q$16,2,FALSE),"?"))</f>
        <v>EQP</v>
      </c>
      <c r="M275" s="218" t="inlineStr">
        <is>
          <t>REALIZADO (até 30/04)</t>
        </is>
      </c>
      <c r="N275" s="272" t="inlineStr">
        <is>
          <t>SANEAGO_MOZARLANDIA_CUSTOS 30.04.2026.xlsx / FINANCEIRO ATE 30.04 / linha 287</t>
        </is>
      </c>
    </row>
    <row r="276">
      <c r="A276" s="222" t="n">
        <v>273</v>
      </c>
      <c r="B276" s="218" t="inlineStr">
        <is>
          <t>DESPESA</t>
        </is>
      </c>
      <c r="C276" s="220" t="n">
        <v>46129</v>
      </c>
      <c r="D276" s="220" t="n">
        <v>46142</v>
      </c>
      <c r="E276" s="335">
        <f>IF(D276="","",DATE(YEAR(D276),MONTH(D276),1))</f>
        <v>46113.0</v>
      </c>
      <c r="F276" s="218" t="inlineStr">
        <is>
          <t>ALVES E ROCHA LTDA</t>
        </is>
      </c>
      <c r="G276" s="218" t="inlineStr">
        <is>
          <t>COMBUSTÍVEIS</t>
        </is>
      </c>
      <c r="H276" s="218" t="inlineStr">
        <is>
          <t>17671</t>
        </is>
      </c>
      <c r="I276" s="219" t="n">
        <v>1781.07</v>
      </c>
      <c r="J276" s="218" t="inlineStr">
        <is>
          <t>ADMINISTRATIVO</t>
        </is>
      </c>
      <c r="K276" s="218" t="inlineStr">
        <is>
          <t>COMBUSTIVEIS</t>
        </is>
      </c>
      <c r="L276" s="222" t="str">
        <f>IF(B276&lt;&gt;"DESPESA","",IFERROR(VLOOKUP(K276,$P$5:$Q$16,2,FALSE),"?"))</f>
        <v>EQP</v>
      </c>
      <c r="M276" s="218" t="inlineStr">
        <is>
          <t>REALIZADO (até 30/04)</t>
        </is>
      </c>
      <c r="N276" s="272" t="inlineStr">
        <is>
          <t>SANEAGO_MOZARLANDIA_CUSTOS 30.04.2026.xlsx / FINANCEIRO ATE 30.04 / linha 288</t>
        </is>
      </c>
    </row>
    <row r="277">
      <c r="A277" s="222" t="n">
        <v>274</v>
      </c>
      <c r="B277" s="218" t="inlineStr">
        <is>
          <t>DESPESA</t>
        </is>
      </c>
      <c r="C277" s="220" t="n">
        <v>46135</v>
      </c>
      <c r="D277" s="220" t="n">
        <v>46142</v>
      </c>
      <c r="E277" s="335">
        <f>IF(D277="","",DATE(YEAR(D277),MONTH(D277),1))</f>
        <v>46113.0</v>
      </c>
      <c r="F277" s="218" t="inlineStr">
        <is>
          <t>YGOR SANTOS SILVA</t>
        </is>
      </c>
      <c r="G277" s="218" t="inlineStr">
        <is>
          <t>RESCISÃO</t>
        </is>
      </c>
      <c r="H277" s="218" t="inlineStr">
        <is>
          <t>TRCT</t>
        </is>
      </c>
      <c r="I277" s="219" t="n">
        <v>1860.02</v>
      </c>
      <c r="J277" s="218" t="inlineStr">
        <is>
          <t>ADMINISTRATIVO</t>
        </is>
      </c>
      <c r="K277" s="218" t="inlineStr">
        <is>
          <t>PESSOAL E ENCARGOS</t>
        </is>
      </c>
      <c r="L277" s="222" t="str">
        <f>IF(B277&lt;&gt;"DESPESA","",IFERROR(VLOOKUP(K277,$P$5:$Q$16,2,FALSE),"?"))</f>
        <v>MO</v>
      </c>
      <c r="M277" s="218" t="inlineStr">
        <is>
          <t>REALIZADO (até 30/04)</t>
        </is>
      </c>
      <c r="N277" s="272" t="inlineStr">
        <is>
          <t>SANEAGO_MOZARLANDIA_CUSTOS 30.04.2026.xlsx / FINANCEIRO ATE 30.04 / linha 289</t>
        </is>
      </c>
    </row>
    <row r="278">
      <c r="A278" s="222" t="n">
        <v>275</v>
      </c>
      <c r="B278" s="218" t="inlineStr">
        <is>
          <t>DESPESA</t>
        </is>
      </c>
      <c r="C278" s="220" t="n">
        <v>46135</v>
      </c>
      <c r="D278" s="220" t="n">
        <v>46142</v>
      </c>
      <c r="E278" s="335">
        <f>IF(D278="","",DATE(YEAR(D278),MONTH(D278),1))</f>
        <v>46113.0</v>
      </c>
      <c r="F278" s="218" t="inlineStr">
        <is>
          <t>CAIXA ECONOMICA FEDERAL</t>
        </is>
      </c>
      <c r="G278" s="218" t="inlineStr">
        <is>
          <t>FGTS - MULTA RESCISÓRIA</t>
        </is>
      </c>
      <c r="H278" s="218" t="inlineStr">
        <is>
          <t>FGTS</t>
        </is>
      </c>
      <c r="I278" s="219" t="n">
        <v>204.72</v>
      </c>
      <c r="J278" s="218" t="inlineStr">
        <is>
          <t>ADMINISTRATIVO</t>
        </is>
      </c>
      <c r="K278" s="218" t="inlineStr">
        <is>
          <t>PESSOAL E ENCARGOS</t>
        </is>
      </c>
      <c r="L278" s="222" t="str">
        <f>IF(B278&lt;&gt;"DESPESA","",IFERROR(VLOOKUP(K278,$P$5:$Q$16,2,FALSE),"?"))</f>
        <v>MO</v>
      </c>
      <c r="M278" s="218" t="inlineStr">
        <is>
          <t>REALIZADO (até 30/04)</t>
        </is>
      </c>
      <c r="N278" s="272" t="inlineStr">
        <is>
          <t>SANEAGO_MOZARLANDIA_CUSTOS 30.04.2026.xlsx / FINANCEIRO ATE 30.04 / linha 290</t>
        </is>
      </c>
    </row>
    <row r="279">
      <c r="A279" s="222" t="n">
        <v>276</v>
      </c>
      <c r="B279" s="218" t="inlineStr">
        <is>
          <t>DESPESA</t>
        </is>
      </c>
      <c r="C279" s="220" t="n">
        <v>46135</v>
      </c>
      <c r="D279" s="220" t="n">
        <v>46142</v>
      </c>
      <c r="E279" s="335">
        <f>IF(D279="","",DATE(YEAR(D279),MONTH(D279),1))</f>
        <v>46113.0</v>
      </c>
      <c r="F279" s="218" t="inlineStr">
        <is>
          <t>CAIXA ECONOMICA FEDERAL</t>
        </is>
      </c>
      <c r="G279" s="218" t="inlineStr">
        <is>
          <t>FGTS - MULTA RESCISÓRIA</t>
        </is>
      </c>
      <c r="H279" s="218" t="inlineStr">
        <is>
          <t>FGTS</t>
        </is>
      </c>
      <c r="I279" s="219" t="n">
        <v>62.07</v>
      </c>
      <c r="J279" s="218" t="inlineStr">
        <is>
          <t>ADMINISTRATIVO</t>
        </is>
      </c>
      <c r="K279" s="218" t="inlineStr">
        <is>
          <t>PESSOAL E ENCARGOS</t>
        </is>
      </c>
      <c r="L279" s="222" t="str">
        <f>IF(B279&lt;&gt;"DESPESA","",IFERROR(VLOOKUP(K279,$P$5:$Q$16,2,FALSE),"?"))</f>
        <v>MO</v>
      </c>
      <c r="M279" s="218" t="inlineStr">
        <is>
          <t>REALIZADO (até 30/04)</t>
        </is>
      </c>
      <c r="N279" s="272" t="inlineStr">
        <is>
          <t>SANEAGO_MOZARLANDIA_CUSTOS 30.04.2026.xlsx / FINANCEIRO ATE 30.04 / linha 291</t>
        </is>
      </c>
    </row>
    <row r="280">
      <c r="A280" s="222" t="n">
        <v>277</v>
      </c>
      <c r="B280" s="218" t="inlineStr">
        <is>
          <t>DESPESA</t>
        </is>
      </c>
      <c r="C280" s="220" t="n">
        <v>46135</v>
      </c>
      <c r="D280" s="220" t="n">
        <v>46142</v>
      </c>
      <c r="E280" s="335">
        <f>IF(D280="","",DATE(YEAR(D280),MONTH(D280),1))</f>
        <v>46113.0</v>
      </c>
      <c r="F280" s="218" t="inlineStr">
        <is>
          <t>ROMARIO EWERTON SANTOS NUNES</t>
        </is>
      </c>
      <c r="G280" s="218" t="inlineStr">
        <is>
          <t>RESCISÃO</t>
        </is>
      </c>
      <c r="H280" s="218" t="inlineStr">
        <is>
          <t>TRCT</t>
        </is>
      </c>
      <c r="I280" s="219" t="n">
        <v>842.75</v>
      </c>
      <c r="J280" s="218" t="inlineStr">
        <is>
          <t>ADMINISTRATIVO</t>
        </is>
      </c>
      <c r="K280" s="218" t="inlineStr">
        <is>
          <t>PESSOAL E ENCARGOS</t>
        </is>
      </c>
      <c r="L280" s="222" t="str">
        <f>IF(B280&lt;&gt;"DESPESA","",IFERROR(VLOOKUP(K280,$P$5:$Q$16,2,FALSE),"?"))</f>
        <v>MO</v>
      </c>
      <c r="M280" s="218" t="inlineStr">
        <is>
          <t>REALIZADO (até 30/04)</t>
        </is>
      </c>
      <c r="N280" s="272" t="inlineStr">
        <is>
          <t>SANEAGO_MOZARLANDIA_CUSTOS 30.04.2026.xlsx / FINANCEIRO ATE 30.04 / linha 292</t>
        </is>
      </c>
    </row>
    <row r="281">
      <c r="A281" s="222" t="n">
        <v>278</v>
      </c>
      <c r="B281" s="218" t="inlineStr">
        <is>
          <t>APORTE</t>
        </is>
      </c>
      <c r="C281" s="220" t="n">
        <v>46142</v>
      </c>
      <c r="D281" s="220" t="n">
        <v>46142</v>
      </c>
      <c r="E281" s="335">
        <f>IF(D281="","",DATE(YEAR(D281),MONTH(D281),1))</f>
        <v>46113.0</v>
      </c>
      <c r="F281" s="218" t="inlineStr">
        <is>
          <t>TAF EQUIPAMENTOS</t>
        </is>
      </c>
      <c r="G281" s="218" t="inlineStr">
        <is>
          <t>APORTE DA TAF</t>
        </is>
      </c>
      <c r="H281" s="218" t="inlineStr">
        <is>
          <t>PIX</t>
        </is>
      </c>
      <c r="I281" s="219" t="n">
        <v>80000</v>
      </c>
      <c r="J281" s="218" t="inlineStr">
        <is>
          <t>APORTE</t>
        </is>
      </c>
      <c r="K281" s="218" t="inlineStr">
        <is>
          <t>APORTE</t>
        </is>
      </c>
      <c r="L281" s="222">
        <f>IF(B281&lt;&gt;"DESPESA","",IFERROR(VLOOKUP(K281,$P$5:$Q$16,2,FALSE),"?"))</f>
      </c>
      <c r="M281" s="218" t="inlineStr">
        <is>
          <t>REALIZADO (até 30/04)</t>
        </is>
      </c>
      <c r="N281" s="272" t="inlineStr">
        <is>
          <t>SANEAGO_MOZARLANDIA_CUSTOS 30.04.2026.xlsx / FINANCEIRO ATE 30.04 / linha 293</t>
        </is>
      </c>
    </row>
    <row r="282">
      <c r="A282" s="222" t="n">
        <v>279</v>
      </c>
      <c r="B282" s="218" t="inlineStr">
        <is>
          <t>DESPESA</t>
        </is>
      </c>
      <c r="C282" s="220" t="n">
        <v>46121</v>
      </c>
      <c r="D282" s="220" t="n">
        <v>46143</v>
      </c>
      <c r="E282" s="335">
        <f>IF(D282="","",DATE(YEAR(D282),MONTH(D282),1))</f>
        <v>46143.0</v>
      </c>
      <c r="F282" s="218" t="inlineStr">
        <is>
          <t>DAVID MARQUES MOREIRA</t>
        </is>
      </c>
      <c r="G282" s="218" t="inlineStr">
        <is>
          <t>Material aplicado</t>
        </is>
      </c>
      <c r="H282" s="218" t="inlineStr">
        <is>
          <t>941</t>
        </is>
      </c>
      <c r="I282" s="219" t="n">
        <v>975</v>
      </c>
      <c r="J282" s="218" t="inlineStr">
        <is>
          <t>CIVIL</t>
        </is>
      </c>
      <c r="K282" s="218" t="inlineStr">
        <is>
          <t>MATERIAIS E FERRAMENTAS</t>
        </is>
      </c>
      <c r="L282" s="222" t="str">
        <f>IF(B282&lt;&gt;"DESPESA","",IFERROR(VLOOKUP(K282,$P$5:$Q$16,2,FALSE),"?"))</f>
        <v>MAT</v>
      </c>
      <c r="M282" s="218" t="inlineStr">
        <is>
          <t>PROGRAMADO (maio)</t>
        </is>
      </c>
      <c r="N282" s="272" t="inlineStr">
        <is>
          <t>Custos Mensais - Maio 26.xlsx / Contrato 30000415-25 (2) / linha 11 (item 01); tambem em SANEAGO_MOZARLANDIA_CUSTOS 30.04.2026.xlsx / MAIO / linha 16</t>
        </is>
      </c>
    </row>
    <row r="283">
      <c r="A283" s="222" t="n">
        <v>280</v>
      </c>
      <c r="B283" s="218" t="inlineStr">
        <is>
          <t>DESPESA</t>
        </is>
      </c>
      <c r="C283" s="220" t="n">
        <v>46083</v>
      </c>
      <c r="D283" s="220" t="n">
        <v>46143</v>
      </c>
      <c r="E283" s="335">
        <f>IF(D283="","",DATE(YEAR(D283),MONTH(D283),1))</f>
        <v>46143.0</v>
      </c>
      <c r="F283" s="218" t="inlineStr">
        <is>
          <t>KAPITAO AMERICA EQUIPAMENTOS SEGURANCA</t>
        </is>
      </c>
      <c r="G283" s="218" t="inlineStr">
        <is>
          <t>Material segurança - EPIs</t>
        </is>
      </c>
      <c r="H283" s="218" t="inlineStr">
        <is>
          <t>236367</t>
        </is>
      </c>
      <c r="I283" s="219" t="n">
        <v>315</v>
      </c>
      <c r="J283" s="218" t="inlineStr">
        <is>
          <t>ADMINISTRATIVO</t>
        </is>
      </c>
      <c r="K283" s="218" t="inlineStr">
        <is>
          <t>SEGURANCA DO TRABALHO (EPI/UNIFORMES)</t>
        </is>
      </c>
      <c r="L283" s="222" t="str">
        <f>IF(B283&lt;&gt;"DESPESA","",IFERROR(VLOOKUP(K283,$P$5:$Q$16,2,FALSE),"?"))</f>
        <v>ADM</v>
      </c>
      <c r="M283" s="218" t="inlineStr">
        <is>
          <t>PROGRAMADO (maio)</t>
        </is>
      </c>
      <c r="N283" s="272" t="inlineStr">
        <is>
          <t>Custos Mensais - Maio 26.xlsx / Contrato 30000415-25 (2) / linha 12 (item 02); tambem em SANEAGO_MOZARLANDIA_CUSTOS 30.04.2026.xlsx / MAIO / linha 17 | REPETIDA: mesmo NF 236367, fornecedor e valor (~315) aparece 2x (vencimentos: 2026-04-01, 2026-05-01); parcela ou duplicidade, conferir</t>
        </is>
      </c>
    </row>
    <row r="284">
      <c r="A284" s="222" t="n">
        <v>281</v>
      </c>
      <c r="B284" s="218" t="inlineStr">
        <is>
          <t>DESPESA</t>
        </is>
      </c>
      <c r="C284" s="220" t="n">
        <v>46104</v>
      </c>
      <c r="D284" s="220" t="n">
        <v>46144</v>
      </c>
      <c r="E284" s="335">
        <f>IF(D284="","",DATE(YEAR(D284),MONTH(D284),1))</f>
        <v>46143.0</v>
      </c>
      <c r="F284" s="218" t="inlineStr">
        <is>
          <t>PARANAFERROS</t>
        </is>
      </c>
      <c r="G284" s="218" t="inlineStr">
        <is>
          <t>Material aplicado</t>
        </is>
      </c>
      <c r="H284" s="218" t="inlineStr">
        <is>
          <t>110862</t>
        </is>
      </c>
      <c r="I284" s="219" t="n">
        <v>2237.5</v>
      </c>
      <c r="J284" s="218" t="inlineStr">
        <is>
          <t>CIVIL</t>
        </is>
      </c>
      <c r="K284" s="218" t="inlineStr">
        <is>
          <t>MATERIAIS E FERRAMENTAS</t>
        </is>
      </c>
      <c r="L284" s="222" t="str">
        <f>IF(B284&lt;&gt;"DESPESA","",IFERROR(VLOOKUP(K284,$P$5:$Q$16,2,FALSE),"?"))</f>
        <v>MAT</v>
      </c>
      <c r="M284" s="218" t="inlineStr">
        <is>
          <t>PROGRAMADO (maio)</t>
        </is>
      </c>
      <c r="N284" s="272" t="inlineStr">
        <is>
          <t>Custos Mensais - Maio 26.xlsx / Contrato 30000415-25 (2) / linha 13 (item 03); tambem em SANEAGO_MOZARLANDIA_CUSTOS 30.04.2026.xlsx / MAIO / linha 18 | REPETIDA: mesmo NF 110862, fornecedor e valor (~2238) aparece 2x (vencimentos: 2026-04-12, 2026-05-02); parcela ou duplicidade, conferir</t>
        </is>
      </c>
    </row>
    <row r="285">
      <c r="A285" s="222" t="n">
        <v>282</v>
      </c>
      <c r="B285" s="218" t="inlineStr">
        <is>
          <t>DESPESA</t>
        </is>
      </c>
      <c r="C285" s="220" t="n">
        <v>46120</v>
      </c>
      <c r="D285" s="220" t="n">
        <v>46145</v>
      </c>
      <c r="E285" s="335">
        <f>IF(D285="","",DATE(YEAR(D285),MONTH(D285),1))</f>
        <v>46143.0</v>
      </c>
      <c r="F285" s="218" t="inlineStr">
        <is>
          <t>IMPERCIA QUIMICA LTDA</t>
        </is>
      </c>
      <c r="G285" s="218" t="inlineStr">
        <is>
          <t>Material aplicado</t>
        </is>
      </c>
      <c r="H285" s="218" t="inlineStr">
        <is>
          <t>155187</t>
        </is>
      </c>
      <c r="I285" s="219" t="n">
        <v>686.12</v>
      </c>
      <c r="J285" s="218" t="inlineStr">
        <is>
          <t>CIVIL</t>
        </is>
      </c>
      <c r="K285" s="218" t="inlineStr">
        <is>
          <t>MATERIAIS E FERRAMENTAS</t>
        </is>
      </c>
      <c r="L285" s="222" t="str">
        <f>IF(B285&lt;&gt;"DESPESA","",IFERROR(VLOOKUP(K285,$P$5:$Q$16,2,FALSE),"?"))</f>
        <v>MAT</v>
      </c>
      <c r="M285" s="218" t="inlineStr">
        <is>
          <t>PROGRAMADO (maio)</t>
        </is>
      </c>
      <c r="N285" s="272" t="inlineStr">
        <is>
          <t>Custos Mensais - Maio 26.xlsx / Contrato 30000415-25 (2) / linha 14 (item 04); tambem em SANEAGO_MOZARLANDIA_CUSTOS 30.04.2026.xlsx / MAIO / linha 19</t>
        </is>
      </c>
    </row>
    <row r="286">
      <c r="A286" s="222" t="n">
        <v>283</v>
      </c>
      <c r="B286" s="218" t="inlineStr">
        <is>
          <t>DESPESA</t>
        </is>
      </c>
      <c r="C286" s="220" t="n">
        <v>46107</v>
      </c>
      <c r="D286" s="220" t="n">
        <v>46147</v>
      </c>
      <c r="E286" s="335">
        <f>IF(D286="","",DATE(YEAR(D286),MONTH(D286),1))</f>
        <v>46143.0</v>
      </c>
      <c r="F286" s="218" t="inlineStr">
        <is>
          <t>JM APROTETORA COMERCIO DE EPI LTDA</t>
        </is>
      </c>
      <c r="G286" s="218" t="inlineStr">
        <is>
          <t>Material segurança - EPIS</t>
        </is>
      </c>
      <c r="H286" s="218" t="inlineStr">
        <is>
          <t>1862</t>
        </is>
      </c>
      <c r="I286" s="219" t="n">
        <v>445.62</v>
      </c>
      <c r="J286" s="218" t="inlineStr">
        <is>
          <t>ADMINISTRATIVO</t>
        </is>
      </c>
      <c r="K286" s="218" t="inlineStr">
        <is>
          <t>SEGURANCA DO TRABALHO (EPI/UNIFORMES)</t>
        </is>
      </c>
      <c r="L286" s="222" t="str">
        <f>IF(B286&lt;&gt;"DESPESA","",IFERROR(VLOOKUP(K286,$P$5:$Q$16,2,FALSE),"?"))</f>
        <v>ADM</v>
      </c>
      <c r="M286" s="218" t="inlineStr">
        <is>
          <t>PROGRAMADO (maio)</t>
        </is>
      </c>
      <c r="N286" s="272" t="inlineStr">
        <is>
          <t>Custos Mensais - Maio 26.xlsx / Contrato 30000415-25 (2) / linha 15 (item 05); tambem em SANEAGO_MOZARLANDIA_CUSTOS 30.04.2026.xlsx / MAIO / linha 20 | REPETIDA: mesmo NF 1862, fornecedor e valor (~446) aparece 2x (vencimentos: 2026-04-15, 2026-05-05); parcela ou duplicidade, conferir</t>
        </is>
      </c>
    </row>
    <row r="287">
      <c r="A287" s="222" t="n">
        <v>284</v>
      </c>
      <c r="B287" s="218" t="inlineStr">
        <is>
          <t>DESPESA</t>
        </is>
      </c>
      <c r="C287" s="220" t="n">
        <v>46085</v>
      </c>
      <c r="D287" s="220" t="n">
        <v>46145</v>
      </c>
      <c r="E287" s="335">
        <f>IF(D287="","",DATE(YEAR(D287),MONTH(D287),1))</f>
        <v>46143.0</v>
      </c>
      <c r="F287" s="218" t="inlineStr">
        <is>
          <t>AGNOS COMERCIO DE PARAFUSOS</t>
        </is>
      </c>
      <c r="G287" s="218" t="inlineStr">
        <is>
          <t>Ferramental</t>
        </is>
      </c>
      <c r="H287" s="218" t="inlineStr">
        <is>
          <t>233893</t>
        </is>
      </c>
      <c r="I287" s="219" t="n">
        <v>350</v>
      </c>
      <c r="J287" s="218" t="inlineStr">
        <is>
          <t>CIVIL</t>
        </is>
      </c>
      <c r="K287" s="218" t="inlineStr">
        <is>
          <t>MATERIAIS E FERRAMENTAS</t>
        </is>
      </c>
      <c r="L287" s="222" t="str">
        <f>IF(B287&lt;&gt;"DESPESA","",IFERROR(VLOOKUP(K287,$P$5:$Q$16,2,FALSE),"?"))</f>
        <v>MAT</v>
      </c>
      <c r="M287" s="218" t="inlineStr">
        <is>
          <t>PROGRAMADO (maio)</t>
        </is>
      </c>
      <c r="N287" s="272" t="inlineStr">
        <is>
          <t>Custos Mensais - Maio 26.xlsx / Contrato 30000415-25 (2) / linha 16 (item 06); tambem em SANEAGO_MOZARLANDIA_CUSTOS 30.04.2026.xlsx / MAIO / linha 21 | REPETIDA: mesmo NF 233893, fornecedor e valor (~350) aparece 2x (vencimentos: 2026-04-03, 2026-05-03); parcela ou duplicidade, conferir</t>
        </is>
      </c>
    </row>
    <row r="288">
      <c r="A288" s="222" t="n">
        <v>285</v>
      </c>
      <c r="B288" s="218" t="inlineStr">
        <is>
          <t>DESPESA</t>
        </is>
      </c>
      <c r="C288" s="220" t="n">
        <v>46118</v>
      </c>
      <c r="D288" s="220" t="n">
        <v>46146</v>
      </c>
      <c r="E288" s="335">
        <f>IF(D288="","",DATE(YEAR(D288),MONTH(D288),1))</f>
        <v>46143.0</v>
      </c>
      <c r="F288" s="218" t="inlineStr">
        <is>
          <t>SUZANA LOCACOES LTDA</t>
        </is>
      </c>
      <c r="G288" s="218" t="inlineStr">
        <is>
          <t>Locações</t>
        </is>
      </c>
      <c r="H288" s="218" t="inlineStr">
        <is>
          <t>2508</t>
        </is>
      </c>
      <c r="I288" s="219" t="n">
        <v>550</v>
      </c>
      <c r="J288" s="218" t="inlineStr">
        <is>
          <t>CIVIL</t>
        </is>
      </c>
      <c r="K288" s="218" t="inlineStr">
        <is>
          <t>LOCACAO DE EQUIPAMENTOS</t>
        </is>
      </c>
      <c r="L288" s="222" t="str">
        <f>IF(B288&lt;&gt;"DESPESA","",IFERROR(VLOOKUP(K288,$P$5:$Q$16,2,FALSE),"?"))</f>
        <v>EQP</v>
      </c>
      <c r="M288" s="218" t="inlineStr">
        <is>
          <t>PROGRAMADO (maio)</t>
        </is>
      </c>
      <c r="N288" s="272" t="inlineStr">
        <is>
          <t>Custos Mensais - Maio 26.xlsx / Contrato 30000415-25 (2) / linha 17 (item 07); tambem em SANEAGO_MOZARLANDIA_CUSTOS 30.04.2026.xlsx / MAIO / linha 22</t>
        </is>
      </c>
    </row>
    <row r="289">
      <c r="A289" s="222" t="n">
        <v>286</v>
      </c>
      <c r="B289" s="218" t="inlineStr">
        <is>
          <t>DESPESA</t>
        </is>
      </c>
      <c r="C289" s="220" t="n">
        <v>46118</v>
      </c>
      <c r="D289" s="220" t="n">
        <v>46148</v>
      </c>
      <c r="E289" s="335">
        <f>IF(D289="","",DATE(YEAR(D289),MONTH(D289),1))</f>
        <v>46143.0</v>
      </c>
      <c r="F289" s="218" t="inlineStr">
        <is>
          <t>MADEIMANAS MADEIREIRA MANAS LTDA</t>
        </is>
      </c>
      <c r="G289" s="218" t="inlineStr">
        <is>
          <t>Material consumo</t>
        </is>
      </c>
      <c r="H289" s="218" t="inlineStr">
        <is>
          <t>180533</t>
        </is>
      </c>
      <c r="I289" s="219" t="n">
        <v>202.34</v>
      </c>
      <c r="J289" s="218" t="inlineStr">
        <is>
          <t>CIVIL</t>
        </is>
      </c>
      <c r="K289" s="218" t="inlineStr">
        <is>
          <t>MATERIAIS E FERRAMENTAS</t>
        </is>
      </c>
      <c r="L289" s="222" t="str">
        <f>IF(B289&lt;&gt;"DESPESA","",IFERROR(VLOOKUP(K289,$P$5:$Q$16,2,FALSE),"?"))</f>
        <v>MAT</v>
      </c>
      <c r="M289" s="218" t="inlineStr">
        <is>
          <t>PROGRAMADO (maio)</t>
        </is>
      </c>
      <c r="N289" s="272" t="inlineStr">
        <is>
          <t>Custos Mensais - Maio 26.xlsx / Contrato 30000415-25 (2) / linha 18 (item 08); tambem em SANEAGO_MOZARLANDIA_CUSTOS 30.04.2026.xlsx / MAIO / linha 23</t>
        </is>
      </c>
    </row>
    <row r="290">
      <c r="A290" s="222" t="n">
        <v>287</v>
      </c>
      <c r="B290" s="218" t="inlineStr">
        <is>
          <t>DESPESA</t>
        </is>
      </c>
      <c r="C290" s="220" t="n">
        <v>46118</v>
      </c>
      <c r="D290" s="220" t="n">
        <v>46148</v>
      </c>
      <c r="E290" s="335">
        <f>IF(D290="","",DATE(YEAR(D290),MONTH(D290),1))</f>
        <v>46143.0</v>
      </c>
      <c r="F290" s="218" t="inlineStr">
        <is>
          <t>JOSE DONIZETE DE SOUZA</t>
        </is>
      </c>
      <c r="G290" s="218" t="inlineStr">
        <is>
          <t>Material aplicado - Telha fibrocimento</t>
        </is>
      </c>
      <c r="H290" s="218" t="inlineStr">
        <is>
          <t>4247</t>
        </is>
      </c>
      <c r="I290" s="219" t="n">
        <v>1354.96</v>
      </c>
      <c r="J290" s="218" t="inlineStr">
        <is>
          <t>CIVIL</t>
        </is>
      </c>
      <c r="K290" s="218" t="inlineStr">
        <is>
          <t>MATERIAIS E FERRAMENTAS</t>
        </is>
      </c>
      <c r="L290" s="222" t="str">
        <f>IF(B290&lt;&gt;"DESPESA","",IFERROR(VLOOKUP(K290,$P$5:$Q$16,2,FALSE),"?"))</f>
        <v>MAT</v>
      </c>
      <c r="M290" s="218" t="inlineStr">
        <is>
          <t>PROGRAMADO (maio)</t>
        </is>
      </c>
      <c r="N290" s="272" t="inlineStr">
        <is>
          <t>Custos Mensais - Maio 26.xlsx / Contrato 30000415-25 (2) / linha 19 (item 09); tambem em SANEAGO_MOZARLANDIA_CUSTOS 30.04.2026.xlsx / MAIO / linha 24</t>
        </is>
      </c>
    </row>
    <row r="291">
      <c r="A291" s="222" t="n">
        <v>288</v>
      </c>
      <c r="B291" s="218" t="inlineStr">
        <is>
          <t>DESPESA</t>
        </is>
      </c>
      <c r="C291" s="220" t="n">
        <v>46177</v>
      </c>
      <c r="D291" s="220" t="n">
        <v>46148</v>
      </c>
      <c r="E291" s="335">
        <f>IF(D291="","",DATE(YEAR(D291),MONTH(D291),1))</f>
        <v>46143.0</v>
      </c>
      <c r="F291" s="218" t="inlineStr">
        <is>
          <t>VALDIR SEBASTIAO ANJOS</t>
        </is>
      </c>
      <c r="G291" s="218" t="inlineStr">
        <is>
          <t>Serviço instalação quadros</t>
        </is>
      </c>
      <c r="H291" s="218" t="inlineStr">
        <is>
          <t>19</t>
        </is>
      </c>
      <c r="I291" s="219" t="n">
        <v>700</v>
      </c>
      <c r="J291" s="218" t="inlineStr">
        <is>
          <t>NAO CONSTA</t>
        </is>
      </c>
      <c r="K291" s="218" t="inlineStr">
        <is>
          <t>SERVICOS DE TERCEIROS / CANTEIRO</t>
        </is>
      </c>
      <c r="L291" s="222" t="str">
        <f>IF(B291&lt;&gt;"DESPESA","",IFERROR(VLOOKUP(K291,$P$5:$Q$16,2,FALSE),"?"))</f>
        <v>TER</v>
      </c>
      <c r="M291" s="218" t="inlineStr">
        <is>
          <t>PROGRAMADO (maio)</t>
        </is>
      </c>
      <c r="N291" s="272" t="inlineStr">
        <is>
          <t>Custos Mensais - Maio 26.xlsx / Contrato 30000415-25 (2) / linha 20 (item 10); NAO consta na aba MAIO</t>
        </is>
      </c>
    </row>
    <row r="292">
      <c r="A292" s="222" t="n">
        <v>289</v>
      </c>
      <c r="B292" s="218" t="inlineStr">
        <is>
          <t>DESPESA</t>
        </is>
      </c>
      <c r="C292" s="220" t="n">
        <v>46107</v>
      </c>
      <c r="D292" s="220" t="n">
        <v>46148</v>
      </c>
      <c r="E292" s="335">
        <f>IF(D292="","",DATE(YEAR(D292),MONTH(D292),1))</f>
        <v>46143.0</v>
      </c>
      <c r="F292" s="218" t="inlineStr">
        <is>
          <t>EQUATORIAL GOIAS DISTRIBUIDORA</t>
        </is>
      </c>
      <c r="G292" s="218" t="inlineStr">
        <is>
          <t>Fatura Energia - 03/26</t>
        </is>
      </c>
      <c r="H292" s="218" t="inlineStr">
        <is>
          <t>185532150</t>
        </is>
      </c>
      <c r="I292" s="219" t="n">
        <v>160.79</v>
      </c>
      <c r="J292" s="218" t="inlineStr">
        <is>
          <t>NAO CONSTA</t>
        </is>
      </c>
      <c r="K292" s="218" t="inlineStr">
        <is>
          <t>ALOJAMENTO, ALIMENTACAO E UTILIDADES</t>
        </is>
      </c>
      <c r="L292" s="222" t="str">
        <f>IF(B292&lt;&gt;"DESPESA","",IFERROR(VLOOKUP(K292,$P$5:$Q$16,2,FALSE),"?"))</f>
        <v>ADM</v>
      </c>
      <c r="M292" s="218" t="inlineStr">
        <is>
          <t>PROGRAMADO (maio)</t>
        </is>
      </c>
      <c r="N292" s="272" t="inlineStr">
        <is>
          <t>Custos Mensais - Maio 26.xlsx / Contrato 30000415-25 (2) / linha 21 (item 11); NAO consta na aba MAIO</t>
        </is>
      </c>
    </row>
    <row r="293">
      <c r="A293" s="222" t="n">
        <v>290</v>
      </c>
      <c r="B293" s="218" t="inlineStr">
        <is>
          <t>DESPESA</t>
        </is>
      </c>
      <c r="C293" s="220" t="n">
        <v>46134</v>
      </c>
      <c r="D293" s="220" t="n">
        <v>46148</v>
      </c>
      <c r="E293" s="335">
        <f>IF(D293="","",DATE(YEAR(D293),MONTH(D293),1))</f>
        <v>46143.0</v>
      </c>
      <c r="F293" s="218" t="inlineStr">
        <is>
          <t>EQUATORIAL GOIAS DISTRIBUIDORA</t>
        </is>
      </c>
      <c r="G293" s="218" t="inlineStr">
        <is>
          <t>Fatura energia - 04/26</t>
        </is>
      </c>
      <c r="H293" s="218" t="inlineStr">
        <is>
          <t>188013062</t>
        </is>
      </c>
      <c r="I293" s="219" t="n">
        <v>215.79</v>
      </c>
      <c r="J293" s="218" t="inlineStr">
        <is>
          <t>NAO CONSTA</t>
        </is>
      </c>
      <c r="K293" s="218" t="inlineStr">
        <is>
          <t>ALOJAMENTO, ALIMENTACAO E UTILIDADES</t>
        </is>
      </c>
      <c r="L293" s="222" t="str">
        <f>IF(B293&lt;&gt;"DESPESA","",IFERROR(VLOOKUP(K293,$P$5:$Q$16,2,FALSE),"?"))</f>
        <v>ADM</v>
      </c>
      <c r="M293" s="218" t="inlineStr">
        <is>
          <t>PROGRAMADO (maio)</t>
        </is>
      </c>
      <c r="N293" s="272" t="inlineStr">
        <is>
          <t>Custos Mensais - Maio 26.xlsx / Contrato 30000415-25 (2) / linha 22 (item 12); NAO consta na aba MAIO</t>
        </is>
      </c>
    </row>
    <row r="294">
      <c r="A294" s="222" t="n">
        <v>291</v>
      </c>
      <c r="B294" s="218" t="inlineStr">
        <is>
          <t>DESPESA</t>
        </is>
      </c>
      <c r="C294" s="220" t="n">
        <v>46146</v>
      </c>
      <c r="D294" s="220" t="n">
        <v>46148</v>
      </c>
      <c r="E294" s="335">
        <f>IF(D294="","",DATE(YEAR(D294),MONTH(D294),1))</f>
        <v>46143.0</v>
      </c>
      <c r="F294" s="218" t="inlineStr">
        <is>
          <t>J R BANHEIROS QUIMICOS E SERVICOS</t>
        </is>
      </c>
      <c r="G294" s="218" t="inlineStr">
        <is>
          <t>Locações Banheiros quimicos</t>
        </is>
      </c>
      <c r="H294" s="218" t="inlineStr">
        <is>
          <t>352</t>
        </is>
      </c>
      <c r="I294" s="219" t="n">
        <v>1621</v>
      </c>
      <c r="J294" s="218" t="inlineStr">
        <is>
          <t>ADMINISTRATIVO</t>
        </is>
      </c>
      <c r="K294" s="218" t="inlineStr">
        <is>
          <t>LOCACAO DE EQUIPAMENTOS</t>
        </is>
      </c>
      <c r="L294" s="222" t="str">
        <f>IF(B294&lt;&gt;"DESPESA","",IFERROR(VLOOKUP(K294,$P$5:$Q$16,2,FALSE),"?"))</f>
        <v>EQP</v>
      </c>
      <c r="M294" s="218" t="inlineStr">
        <is>
          <t>PROGRAMADO (maio)</t>
        </is>
      </c>
      <c r="N294" s="272" t="inlineStr">
        <is>
          <t>Custos Mensais - Maio 26.xlsx / Contrato 30000415-25 (2) / linha 23 (item 13); tambem em SANEAGO_MOZARLANDIA_CUSTOS 30.04.2026.xlsx / MAIO / linha 56</t>
        </is>
      </c>
    </row>
    <row r="295">
      <c r="A295" s="222" t="n">
        <v>292</v>
      </c>
      <c r="B295" s="218" t="inlineStr">
        <is>
          <t>DESPESA</t>
        </is>
      </c>
      <c r="C295" s="220" t="n">
        <v>46146</v>
      </c>
      <c r="D295" s="220" t="n">
        <v>46148</v>
      </c>
      <c r="E295" s="335">
        <f>IF(D295="","",DATE(YEAR(D295),MONTH(D295),1))</f>
        <v>46143.0</v>
      </c>
      <c r="F295" s="218" t="inlineStr">
        <is>
          <t>MARCIA ANDREIA DE ARAUJO</t>
        </is>
      </c>
      <c r="G295" s="218" t="inlineStr">
        <is>
          <t>Diárias prestação serviços</t>
        </is>
      </c>
      <c r="H295" s="218" t="inlineStr">
        <is>
          <t>Recibo</t>
        </is>
      </c>
      <c r="I295" s="219" t="n">
        <v>1050</v>
      </c>
      <c r="J295" s="218" t="inlineStr">
        <is>
          <t>ADMINISTRATIVO</t>
        </is>
      </c>
      <c r="K295" s="218" t="inlineStr">
        <is>
          <t>ALOJAMENTO, ALIMENTACAO E UTILIDADES</t>
        </is>
      </c>
      <c r="L295" s="222" t="str">
        <f>IF(B295&lt;&gt;"DESPESA","",IFERROR(VLOOKUP(K295,$P$5:$Q$16,2,FALSE),"?"))</f>
        <v>ADM</v>
      </c>
      <c r="M295" s="218" t="inlineStr">
        <is>
          <t>PROGRAMADO (maio)</t>
        </is>
      </c>
      <c r="N295" s="272" t="inlineStr">
        <is>
          <t>Custos Mensais - Maio 26.xlsx / Contrato 30000415-25 (2) / linha 24 (item 14); tambem em SANEAGO_MOZARLANDIA_CUSTOS 30.04.2026.xlsx / MAIO / linha 57</t>
        </is>
      </c>
    </row>
    <row r="296">
      <c r="A296" s="222" t="n">
        <v>293</v>
      </c>
      <c r="B296" s="218" t="inlineStr">
        <is>
          <t>DESPESA</t>
        </is>
      </c>
      <c r="C296" s="220" t="n">
        <v>46177</v>
      </c>
      <c r="D296" s="220" t="n">
        <v>46148</v>
      </c>
      <c r="E296" s="335">
        <f>IF(D296="","",DATE(YEAR(D296),MONTH(D296),1))</f>
        <v>46143.0</v>
      </c>
      <c r="F296" s="218" t="inlineStr">
        <is>
          <t>TECNOBOMBAS</t>
        </is>
      </c>
      <c r="G296" s="218" t="inlineStr">
        <is>
          <t>Salários a pagar - 04/26</t>
        </is>
      </c>
      <c r="H296" s="218" t="inlineStr">
        <is>
          <t>Recibo</t>
        </is>
      </c>
      <c r="I296" s="219" t="n">
        <v>38558</v>
      </c>
      <c r="J296" s="218" t="inlineStr">
        <is>
          <t>ADMINISTRATIVO</t>
        </is>
      </c>
      <c r="K296" s="218" t="inlineStr">
        <is>
          <t>PESSOAL E ENCARGOS</t>
        </is>
      </c>
      <c r="L296" s="222" t="str">
        <f>IF(B296&lt;&gt;"DESPESA","",IFERROR(VLOOKUP(K296,$P$5:$Q$16,2,FALSE),"?"))</f>
        <v>MO</v>
      </c>
      <c r="M296" s="218" t="inlineStr">
        <is>
          <t>PROGRAMADO (maio)</t>
        </is>
      </c>
      <c r="N296" s="272" t="inlineStr">
        <is>
          <t>Custos Mensais - Maio 26.xlsx / Contrato 30000415-25 (2) / linha 25 (item 15); tambem em SANEAGO_MOZARLANDIA_CUSTOS 30.04.2026.xlsx / MAIO / linha 58</t>
        </is>
      </c>
    </row>
    <row r="297">
      <c r="A297" s="222" t="n">
        <v>294</v>
      </c>
      <c r="B297" s="218" t="inlineStr">
        <is>
          <t>DESPESA</t>
        </is>
      </c>
      <c r="C297" s="220" t="n">
        <v>46114</v>
      </c>
      <c r="D297" s="220" t="n">
        <v>46149</v>
      </c>
      <c r="E297" s="335">
        <f>IF(D297="","",DATE(YEAR(D297),MONTH(D297),1))</f>
        <v>46143.0</v>
      </c>
      <c r="F297" s="218" t="inlineStr">
        <is>
          <t>CONCRETOP CONCRETO E PRE-MOLDADOS LTDA</t>
        </is>
      </c>
      <c r="G297" s="218" t="inlineStr">
        <is>
          <t>Serviço concretagem</t>
        </is>
      </c>
      <c r="H297" s="218" t="inlineStr">
        <is>
          <t>27</t>
        </is>
      </c>
      <c r="I297" s="219" t="n">
        <v>26893.25</v>
      </c>
      <c r="J297" s="218" t="inlineStr">
        <is>
          <t>NAO CONSTA</t>
        </is>
      </c>
      <c r="K297" s="218" t="inlineStr">
        <is>
          <t>SERVICOS DE TERCEIROS / CANTEIRO</t>
        </is>
      </c>
      <c r="L297" s="222" t="str">
        <f>IF(B297&lt;&gt;"DESPESA","",IFERROR(VLOOKUP(K297,$P$5:$Q$16,2,FALSE),"?"))</f>
        <v>TER</v>
      </c>
      <c r="M297" s="218" t="inlineStr">
        <is>
          <t>PROGRAMADO (maio)</t>
        </is>
      </c>
      <c r="N297" s="272" t="inlineStr">
        <is>
          <t>Custos Mensais - Maio 26.xlsx / Contrato 30000415-25 (2) / linha 26 (item 16); NAO consta na aba MAIO</t>
        </is>
      </c>
    </row>
    <row r="298">
      <c r="A298" s="222" t="n">
        <v>295</v>
      </c>
      <c r="B298" s="218" t="inlineStr">
        <is>
          <t>DESPESA</t>
        </is>
      </c>
      <c r="C298" s="220" t="n">
        <v>46120</v>
      </c>
      <c r="D298" s="220" t="n">
        <v>46149</v>
      </c>
      <c r="E298" s="335">
        <f>IF(D298="","",DATE(YEAR(D298),MONTH(D298),1))</f>
        <v>46143.0</v>
      </c>
      <c r="F298" s="218" t="inlineStr">
        <is>
          <t>ALBERICO MARQUES MOREIRA</t>
        </is>
      </c>
      <c r="G298" s="218" t="inlineStr">
        <is>
          <t>Material aplicado - Tábuas</t>
        </is>
      </c>
      <c r="H298" s="218" t="inlineStr">
        <is>
          <t>466</t>
        </is>
      </c>
      <c r="I298" s="219" t="n">
        <v>812</v>
      </c>
      <c r="J298" s="218" t="inlineStr">
        <is>
          <t>CIVIL</t>
        </is>
      </c>
      <c r="K298" s="218" t="inlineStr">
        <is>
          <t>MATERIAIS E FERRAMENTAS</t>
        </is>
      </c>
      <c r="L298" s="222" t="str">
        <f>IF(B298&lt;&gt;"DESPESA","",IFERROR(VLOOKUP(K298,$P$5:$Q$16,2,FALSE),"?"))</f>
        <v>MAT</v>
      </c>
      <c r="M298" s="218" t="inlineStr">
        <is>
          <t>PROGRAMADO (maio)</t>
        </is>
      </c>
      <c r="N298" s="272" t="inlineStr">
        <is>
          <t>Custos Mensais - Maio 26.xlsx / Contrato 30000415-25 (2) / linha 27 (item 17); tambem em SANEAGO_MOZARLANDIA_CUSTOS 30.04.2026.xlsx / MAIO / linha 25</t>
        </is>
      </c>
    </row>
    <row r="299">
      <c r="A299" s="222" t="n">
        <v>296</v>
      </c>
      <c r="B299" s="218" t="inlineStr">
        <is>
          <t>DESPESA</t>
        </is>
      </c>
      <c r="C299" s="220" t="n">
        <v>46119</v>
      </c>
      <c r="D299" s="220" t="n">
        <v>46149</v>
      </c>
      <c r="E299" s="335">
        <f>IF(D299="","",DATE(YEAR(D299),MONTH(D299),1))</f>
        <v>46143.0</v>
      </c>
      <c r="F299" s="218" t="inlineStr">
        <is>
          <t>KAPITAO AMERICA EQUIPAMENTOS SEGURANCA</t>
        </is>
      </c>
      <c r="G299" s="218" t="inlineStr">
        <is>
          <t>Material segurança - EPIs</t>
        </is>
      </c>
      <c r="H299" s="218" t="inlineStr">
        <is>
          <t>238938</t>
        </is>
      </c>
      <c r="I299" s="219" t="n">
        <v>144</v>
      </c>
      <c r="J299" s="218" t="inlineStr">
        <is>
          <t>ADMINISTRATIVO</t>
        </is>
      </c>
      <c r="K299" s="218" t="inlineStr">
        <is>
          <t>SEGURANCA DO TRABALHO (EPI/UNIFORMES)</t>
        </is>
      </c>
      <c r="L299" s="222" t="str">
        <f>IF(B299&lt;&gt;"DESPESA","",IFERROR(VLOOKUP(K299,$P$5:$Q$16,2,FALSE),"?"))</f>
        <v>ADM</v>
      </c>
      <c r="M299" s="218" t="inlineStr">
        <is>
          <t>PROGRAMADO (maio)</t>
        </is>
      </c>
      <c r="N299" s="272" t="inlineStr">
        <is>
          <t>Custos Mensais - Maio 26.xlsx / Contrato 30000415-25 (2) / linha 28 (item 18); tambem em SANEAGO_MOZARLANDIA_CUSTOS 30.04.2026.xlsx / MAIO / linha 26</t>
        </is>
      </c>
    </row>
    <row r="300">
      <c r="A300" s="222" t="n">
        <v>297</v>
      </c>
      <c r="B300" s="218" t="inlineStr">
        <is>
          <t>DESPESA</t>
        </is>
      </c>
      <c r="C300" s="220" t="n">
        <v>46140</v>
      </c>
      <c r="D300" s="220" t="n">
        <v>46150</v>
      </c>
      <c r="E300" s="335">
        <f>IF(D300="","",DATE(YEAR(D300),MONTH(D300),1))</f>
        <v>46143.0</v>
      </c>
      <c r="F300" s="218" t="inlineStr">
        <is>
          <t>CAIXA ECONOMICA FEDERAL</t>
        </is>
      </c>
      <c r="G300" s="218" t="inlineStr">
        <is>
          <t>Multa Rescisória</t>
        </is>
      </c>
      <c r="H300" s="218" t="inlineStr">
        <is>
          <t>FGTS</t>
        </is>
      </c>
      <c r="I300" s="219" t="n">
        <v>443.1</v>
      </c>
      <c r="J300" s="218" t="inlineStr">
        <is>
          <t>ADMINISTRATIVO</t>
        </is>
      </c>
      <c r="K300" s="218" t="inlineStr">
        <is>
          <t>PESSOAL E ENCARGOS</t>
        </is>
      </c>
      <c r="L300" s="222" t="str">
        <f>IF(B300&lt;&gt;"DESPESA","",IFERROR(VLOOKUP(K300,$P$5:$Q$16,2,FALSE),"?"))</f>
        <v>MO</v>
      </c>
      <c r="M300" s="218" t="inlineStr">
        <is>
          <t>PROGRAMADO (maio)</t>
        </is>
      </c>
      <c r="N300" s="272" t="inlineStr">
        <is>
          <t>Custos Mensais - Maio 26.xlsx / Contrato 30000415-25 (2) / linha 29 (item 19); tambem em SANEAGO_MOZARLANDIA_CUSTOS 30.04.2026.xlsx / MAIO / linha 27</t>
        </is>
      </c>
    </row>
    <row r="301">
      <c r="A301" s="222" t="n">
        <v>298</v>
      </c>
      <c r="B301" s="218" t="inlineStr">
        <is>
          <t>DESPESA</t>
        </is>
      </c>
      <c r="C301" s="220" t="n">
        <v>46140</v>
      </c>
      <c r="D301" s="220" t="n">
        <v>46150</v>
      </c>
      <c r="E301" s="335">
        <f>IF(D301="","",DATE(YEAR(D301),MONTH(D301),1))</f>
        <v>46143.0</v>
      </c>
      <c r="F301" s="218" t="inlineStr">
        <is>
          <t>CAIXA ECONOMICA FEDERAL</t>
        </is>
      </c>
      <c r="G301" s="218" t="inlineStr">
        <is>
          <t>Multa Rescisória</t>
        </is>
      </c>
      <c r="H301" s="218" t="inlineStr">
        <is>
          <t>FGTS</t>
        </is>
      </c>
      <c r="I301" s="219" t="n">
        <v>355.76</v>
      </c>
      <c r="J301" s="218" t="inlineStr">
        <is>
          <t>ADMINISTRATIVO</t>
        </is>
      </c>
      <c r="K301" s="218" t="inlineStr">
        <is>
          <t>PESSOAL E ENCARGOS</t>
        </is>
      </c>
      <c r="L301" s="222" t="str">
        <f>IF(B301&lt;&gt;"DESPESA","",IFERROR(VLOOKUP(K301,$P$5:$Q$16,2,FALSE),"?"))</f>
        <v>MO</v>
      </c>
      <c r="M301" s="218" t="inlineStr">
        <is>
          <t>PROGRAMADO (maio)</t>
        </is>
      </c>
      <c r="N301" s="272" t="inlineStr">
        <is>
          <t>Custos Mensais - Maio 26.xlsx / Contrato 30000415-25 (2) / linha 30 (item 20); tambem em SANEAGO_MOZARLANDIA_CUSTOS 30.04.2026.xlsx / MAIO / linha 28</t>
        </is>
      </c>
    </row>
    <row r="302">
      <c r="A302" s="222" t="n">
        <v>299</v>
      </c>
      <c r="B302" s="218" t="inlineStr">
        <is>
          <t>DESPESA</t>
        </is>
      </c>
      <c r="C302" s="220" t="n">
        <v>46140</v>
      </c>
      <c r="D302" s="220" t="n">
        <v>46150</v>
      </c>
      <c r="E302" s="335">
        <f>IF(D302="","",DATE(YEAR(D302),MONTH(D302),1))</f>
        <v>46143.0</v>
      </c>
      <c r="F302" s="218" t="inlineStr">
        <is>
          <t>DOUGLAS DE MIRANDA BRITO</t>
        </is>
      </c>
      <c r="G302" s="218" t="inlineStr">
        <is>
          <t>Rescisão</t>
        </is>
      </c>
      <c r="H302" s="218" t="inlineStr">
        <is>
          <t>TRCT</t>
        </is>
      </c>
      <c r="I302" s="219" t="n">
        <v>2232.04</v>
      </c>
      <c r="J302" s="218" t="inlineStr">
        <is>
          <t>ADMINISTRATIVO</t>
        </is>
      </c>
      <c r="K302" s="218" t="inlineStr">
        <is>
          <t>PESSOAL E ENCARGOS</t>
        </is>
      </c>
      <c r="L302" s="222" t="str">
        <f>IF(B302&lt;&gt;"DESPESA","",IFERROR(VLOOKUP(K302,$P$5:$Q$16,2,FALSE),"?"))</f>
        <v>MO</v>
      </c>
      <c r="M302" s="218" t="inlineStr">
        <is>
          <t>PROGRAMADO (maio)</t>
        </is>
      </c>
      <c r="N302" s="272" t="inlineStr">
        <is>
          <t>Custos Mensais - Maio 26.xlsx / Contrato 30000415-25 (2) / linha 31 (item 21); tambem em SANEAGO_MOZARLANDIA_CUSTOS 30.04.2026.xlsx / MAIO / linha 29</t>
        </is>
      </c>
    </row>
    <row r="303">
      <c r="A303" s="222" t="n">
        <v>300</v>
      </c>
      <c r="B303" s="218" t="inlineStr">
        <is>
          <t>DESPESA</t>
        </is>
      </c>
      <c r="C303" s="220" t="n">
        <v>46140</v>
      </c>
      <c r="D303" s="220" t="n">
        <v>46150</v>
      </c>
      <c r="E303" s="335">
        <f>IF(D303="","",DATE(YEAR(D303),MONTH(D303),1))</f>
        <v>46143.0</v>
      </c>
      <c r="F303" s="218" t="inlineStr">
        <is>
          <t>JOSE GEORGE SOARES DE OLIVEIRA</t>
        </is>
      </c>
      <c r="G303" s="218" t="inlineStr">
        <is>
          <t>Rescisão</t>
        </is>
      </c>
      <c r="H303" s="218" t="inlineStr">
        <is>
          <t>TRCT</t>
        </is>
      </c>
      <c r="I303" s="219" t="n">
        <v>2887.34</v>
      </c>
      <c r="J303" s="218" t="inlineStr">
        <is>
          <t>NAO CONSTA</t>
        </is>
      </c>
      <c r="K303" s="218" t="inlineStr">
        <is>
          <t>PESSOAL E ENCARGOS</t>
        </is>
      </c>
      <c r="L303" s="222" t="str">
        <f>IF(B303&lt;&gt;"DESPESA","",IFERROR(VLOOKUP(K303,$P$5:$Q$16,2,FALSE),"?"))</f>
        <v>MO</v>
      </c>
      <c r="M303" s="218" t="inlineStr">
        <is>
          <t>PROGRAMADO (maio)</t>
        </is>
      </c>
      <c r="N303" s="272" t="inlineStr">
        <is>
          <t>Custos Mensais - Maio 26.xlsx / Contrato 30000415-25 (2) / linha 32 (item 22); NAO consta na aba MAIO</t>
        </is>
      </c>
    </row>
    <row r="304">
      <c r="A304" s="222" t="n">
        <v>301</v>
      </c>
      <c r="B304" s="218" t="inlineStr">
        <is>
          <t>DESPESA</t>
        </is>
      </c>
      <c r="C304" s="220" t="n">
        <v>46092</v>
      </c>
      <c r="D304" s="220" t="n">
        <v>46152</v>
      </c>
      <c r="E304" s="335">
        <f>IF(D304="","",DATE(YEAR(D304),MONTH(D304),1))</f>
        <v>46143.0</v>
      </c>
      <c r="F304" s="218" t="inlineStr">
        <is>
          <t>AJEL MATERIAIS ELETRICOS LTDA</t>
        </is>
      </c>
      <c r="G304" s="218" t="inlineStr">
        <is>
          <t>Material aplicado - Elétrico</t>
        </is>
      </c>
      <c r="H304" s="218" t="inlineStr">
        <is>
          <t>1057739</t>
        </is>
      </c>
      <c r="I304" s="219" t="n">
        <v>1653.75</v>
      </c>
      <c r="J304" s="218" t="inlineStr">
        <is>
          <t>CIVIL</t>
        </is>
      </c>
      <c r="K304" s="218" t="inlineStr">
        <is>
          <t>MATERIAIS E FERRAMENTAS</t>
        </is>
      </c>
      <c r="L304" s="222" t="str">
        <f>IF(B304&lt;&gt;"DESPESA","",IFERROR(VLOOKUP(K304,$P$5:$Q$16,2,FALSE),"?"))</f>
        <v>MAT</v>
      </c>
      <c r="M304" s="218" t="inlineStr">
        <is>
          <t>PROGRAMADO (maio)</t>
        </is>
      </c>
      <c r="N304" s="272" t="inlineStr">
        <is>
          <t>Custos Mensais - Maio 26.xlsx / Contrato 30000415-25 (2) / linha 33 (item 23); tambem em SANEAGO_MOZARLANDIA_CUSTOS 30.04.2026.xlsx / MAIO / linha 30 | REPETIDA: mesmo NF 1057739, fornecedor e valor (~1654) aparece 2x (vencimentos: 2026-04-10, 2026-05-10); parcela ou duplicidade, conferir</t>
        </is>
      </c>
    </row>
    <row r="305">
      <c r="A305" s="222" t="n">
        <v>302</v>
      </c>
      <c r="B305" s="218" t="inlineStr">
        <is>
          <t>DESPESA</t>
        </is>
      </c>
      <c r="C305" s="220" t="n">
        <v>46123</v>
      </c>
      <c r="D305" s="220" t="n">
        <v>46152</v>
      </c>
      <c r="E305" s="335">
        <f>IF(D305="","",DATE(YEAR(D305),MONTH(D305),1))</f>
        <v>46143.0</v>
      </c>
      <c r="F305" s="218" t="inlineStr">
        <is>
          <t>MADEIMANAS MADEIREIRA MANAS LTDA</t>
        </is>
      </c>
      <c r="G305" s="218" t="inlineStr">
        <is>
          <t>Material aplicado</t>
        </is>
      </c>
      <c r="H305" s="218" t="inlineStr">
        <is>
          <t>180955</t>
        </is>
      </c>
      <c r="I305" s="219" t="n">
        <v>922.77</v>
      </c>
      <c r="J305" s="218" t="inlineStr">
        <is>
          <t>CIVIL</t>
        </is>
      </c>
      <c r="K305" s="218" t="inlineStr">
        <is>
          <t>MATERIAIS E FERRAMENTAS</t>
        </is>
      </c>
      <c r="L305" s="222" t="str">
        <f>IF(B305&lt;&gt;"DESPESA","",IFERROR(VLOOKUP(K305,$P$5:$Q$16,2,FALSE),"?"))</f>
        <v>MAT</v>
      </c>
      <c r="M305" s="218" t="inlineStr">
        <is>
          <t>PROGRAMADO (maio)</t>
        </is>
      </c>
      <c r="N305" s="272" t="inlineStr">
        <is>
          <t>Custos Mensais - Maio 26.xlsx / Contrato 30000415-25 (2) / linha 34 (item 24); tambem em SANEAGO_MOZARLANDIA_CUSTOS 30.04.2026.xlsx / MAIO / linha 31</t>
        </is>
      </c>
    </row>
    <row r="306">
      <c r="A306" s="222" t="n">
        <v>303</v>
      </c>
      <c r="B306" s="218" t="inlineStr">
        <is>
          <t>DESPESA</t>
        </is>
      </c>
      <c r="C306" s="220" t="n">
        <v>46092</v>
      </c>
      <c r="D306" s="220" t="n">
        <v>46152</v>
      </c>
      <c r="E306" s="335">
        <f>IF(D306="","",DATE(YEAR(D306),MONTH(D306),1))</f>
        <v>46143.0</v>
      </c>
      <c r="F306" s="218" t="inlineStr">
        <is>
          <t>AJEL MONTAGEM E AUTOMACAO INDUSTRIAL</t>
        </is>
      </c>
      <c r="G306" s="218" t="inlineStr">
        <is>
          <t>Material elétrico aplicado</t>
        </is>
      </c>
      <c r="H306" s="218" t="inlineStr">
        <is>
          <t>347123</t>
        </is>
      </c>
      <c r="I306" s="219" t="n">
        <v>246.26</v>
      </c>
      <c r="J306" s="218" t="inlineStr">
        <is>
          <t>CIVIL</t>
        </is>
      </c>
      <c r="K306" s="218" t="inlineStr">
        <is>
          <t>MATERIAIS E FERRAMENTAS</t>
        </is>
      </c>
      <c r="L306" s="222" t="str">
        <f>IF(B306&lt;&gt;"DESPESA","",IFERROR(VLOOKUP(K306,$P$5:$Q$16,2,FALSE),"?"))</f>
        <v>MAT</v>
      </c>
      <c r="M306" s="218" t="inlineStr">
        <is>
          <t>PROGRAMADO (maio)</t>
        </is>
      </c>
      <c r="N306" s="272" t="inlineStr">
        <is>
          <t>Custos Mensais - Maio 26.xlsx / Contrato 30000415-25 (2) / linha 35 (item 25); tambem em SANEAGO_MOZARLANDIA_CUSTOS 30.04.2026.xlsx / MAIO / linha 32 | REPETIDA: mesmo NF 347123, fornecedor e valor (~246) aparece 2x (vencimentos: 2026-04-10, 2026-05-10); parcela ou duplicidade, conferir</t>
        </is>
      </c>
    </row>
    <row r="307">
      <c r="A307" s="222" t="n">
        <v>304</v>
      </c>
      <c r="B307" s="218" t="inlineStr">
        <is>
          <t>DESPESA</t>
        </is>
      </c>
      <c r="C307" s="220" t="n">
        <v>46140</v>
      </c>
      <c r="D307" s="220" t="n">
        <v>46152</v>
      </c>
      <c r="E307" s="335">
        <f>IF(D307="","",DATE(YEAR(D307),MONTH(D307),1))</f>
        <v>46143.0</v>
      </c>
      <c r="F307" s="218" t="inlineStr">
        <is>
          <t>DISKOTEL ELETRO EIRELI</t>
        </is>
      </c>
      <c r="G307" s="218" t="inlineStr">
        <is>
          <t>Utensilios alojamento</t>
        </is>
      </c>
      <c r="H307" s="218" t="inlineStr">
        <is>
          <t>14855</t>
        </is>
      </c>
      <c r="I307" s="219" t="n">
        <v>299.9</v>
      </c>
      <c r="J307" s="218" t="inlineStr">
        <is>
          <t>ADMINISTRATIVO</t>
        </is>
      </c>
      <c r="K307" s="218" t="inlineStr">
        <is>
          <t>ALOJAMENTO, ALIMENTACAO E UTILIDADES</t>
        </is>
      </c>
      <c r="L307" s="222" t="str">
        <f>IF(B307&lt;&gt;"DESPESA","",IFERROR(VLOOKUP(K307,$P$5:$Q$16,2,FALSE),"?"))</f>
        <v>ADM</v>
      </c>
      <c r="M307" s="218" t="inlineStr">
        <is>
          <t>PROGRAMADO (maio)</t>
        </is>
      </c>
      <c r="N307" s="272" t="inlineStr">
        <is>
          <t>Custos Mensais - Maio 26.xlsx / Contrato 30000415-25 (2) / linha 36 (item 26); tambem em SANEAGO_MOZARLANDIA_CUSTOS 30.04.2026.xlsx / MAIO / linha 33</t>
        </is>
      </c>
    </row>
    <row r="308">
      <c r="A308" s="222" t="n">
        <v>305</v>
      </c>
      <c r="B308" s="218" t="inlineStr">
        <is>
          <t>DESPESA</t>
        </is>
      </c>
      <c r="C308" s="220" t="n">
        <v>46127</v>
      </c>
      <c r="D308" s="220" t="n">
        <v>46152</v>
      </c>
      <c r="E308" s="335">
        <f>IF(D308="","",DATE(YEAR(D308),MONTH(D308),1))</f>
        <v>46143.0</v>
      </c>
      <c r="F308" s="218" t="inlineStr">
        <is>
          <t>IMPERCIA QUIMICA LTDA</t>
        </is>
      </c>
      <c r="G308" s="218" t="inlineStr">
        <is>
          <t>Material aplicado</t>
        </is>
      </c>
      <c r="H308" s="218" t="inlineStr">
        <is>
          <t>155326</t>
        </is>
      </c>
      <c r="I308" s="219" t="n">
        <v>1372.25</v>
      </c>
      <c r="J308" s="218" t="inlineStr">
        <is>
          <t>CIVIL</t>
        </is>
      </c>
      <c r="K308" s="218" t="inlineStr">
        <is>
          <t>MATERIAIS E FERRAMENTAS</t>
        </is>
      </c>
      <c r="L308" s="222" t="str">
        <f>IF(B308&lt;&gt;"DESPESA","",IFERROR(VLOOKUP(K308,$P$5:$Q$16,2,FALSE),"?"))</f>
        <v>MAT</v>
      </c>
      <c r="M308" s="218" t="inlineStr">
        <is>
          <t>PROGRAMADO (maio)</t>
        </is>
      </c>
      <c r="N308" s="272" t="inlineStr">
        <is>
          <t>Custos Mensais - Maio 26.xlsx / Contrato 30000415-25 (2) / linha 37 (item 27); tambem em SANEAGO_MOZARLANDIA_CUSTOS 30.04.2026.xlsx / MAIO / linha 34</t>
        </is>
      </c>
    </row>
    <row r="309">
      <c r="A309" s="222" t="n">
        <v>306</v>
      </c>
      <c r="B309" s="218" t="inlineStr">
        <is>
          <t>DESPESA</t>
        </is>
      </c>
      <c r="C309" s="220" t="n">
        <v>46144</v>
      </c>
      <c r="D309" s="220" t="n">
        <v>46152</v>
      </c>
      <c r="E309" s="335">
        <f>IF(D309="","",DATE(YEAR(D309),MONTH(D309),1))</f>
        <v>46143.0</v>
      </c>
      <c r="F309" s="218" t="inlineStr">
        <is>
          <t>MARIA DE FATIMA OLIVEIRA</t>
        </is>
      </c>
      <c r="G309" s="218" t="inlineStr">
        <is>
          <t>Aluguel Escritório</t>
        </is>
      </c>
      <c r="H309" s="218" t="inlineStr">
        <is>
          <t>Recibo</t>
        </is>
      </c>
      <c r="I309" s="219" t="n">
        <v>1500</v>
      </c>
      <c r="J309" s="218" t="inlineStr">
        <is>
          <t>ADMINISTRATIVO</t>
        </is>
      </c>
      <c r="K309" s="218" t="inlineStr">
        <is>
          <t>ALOJAMENTO, ALIMENTACAO E UTILIDADES</t>
        </is>
      </c>
      <c r="L309" s="222" t="str">
        <f>IF(B309&lt;&gt;"DESPESA","",IFERROR(VLOOKUP(K309,$P$5:$Q$16,2,FALSE),"?"))</f>
        <v>ADM</v>
      </c>
      <c r="M309" s="218" t="inlineStr">
        <is>
          <t>PROGRAMADO (maio)</t>
        </is>
      </c>
      <c r="N309" s="272" t="inlineStr">
        <is>
          <t>Custos Mensais - Maio 26.xlsx / Contrato 30000415-25 (2) / linha 38 (item 28); tambem em SANEAGO_MOZARLANDIA_CUSTOS 30.04.2026.xlsx / MAIO / linha 35</t>
        </is>
      </c>
    </row>
    <row r="310">
      <c r="A310" s="222" t="n">
        <v>307</v>
      </c>
      <c r="B310" s="218" t="inlineStr">
        <is>
          <t>DESPESA</t>
        </is>
      </c>
      <c r="C310" s="220" t="n">
        <v>46144</v>
      </c>
      <c r="D310" s="220" t="n">
        <v>46152</v>
      </c>
      <c r="E310" s="335">
        <f>IF(D310="","",DATE(YEAR(D310),MONTH(D310),1))</f>
        <v>46143.0</v>
      </c>
      <c r="F310" s="218" t="inlineStr">
        <is>
          <t>JOSILENE MARIA SALES</t>
        </is>
      </c>
      <c r="G310" s="218" t="inlineStr">
        <is>
          <t>Aluguel Escritório</t>
        </is>
      </c>
      <c r="H310" s="218" t="inlineStr">
        <is>
          <t>Recibo</t>
        </is>
      </c>
      <c r="I310" s="219" t="n">
        <v>800</v>
      </c>
      <c r="J310" s="218" t="inlineStr">
        <is>
          <t>ADMINISTRATIVO</t>
        </is>
      </c>
      <c r="K310" s="218" t="inlineStr">
        <is>
          <t>ALOJAMENTO, ALIMENTACAO E UTILIDADES</t>
        </is>
      </c>
      <c r="L310" s="222" t="str">
        <f>IF(B310&lt;&gt;"DESPESA","",IFERROR(VLOOKUP(K310,$P$5:$Q$16,2,FALSE),"?"))</f>
        <v>ADM</v>
      </c>
      <c r="M310" s="218" t="inlineStr">
        <is>
          <t>PROGRAMADO (maio)</t>
        </is>
      </c>
      <c r="N310" s="272" t="inlineStr">
        <is>
          <t>Custos Mensais - Maio 26.xlsx / Contrato 30000415-25 (2) / linha 39 (item 29); tambem em SANEAGO_MOZARLANDIA_CUSTOS 30.04.2026.xlsx / MAIO / linha 36</t>
        </is>
      </c>
    </row>
    <row r="311">
      <c r="A311" s="222" t="n">
        <v>308</v>
      </c>
      <c r="B311" s="218" t="inlineStr">
        <is>
          <t>DESPESA</t>
        </is>
      </c>
      <c r="C311" s="220" t="n">
        <v>46091</v>
      </c>
      <c r="D311" s="220" t="n">
        <v>46153</v>
      </c>
      <c r="E311" s="335">
        <f>IF(D311="","",DATE(YEAR(D311),MONTH(D311),1))</f>
        <v>46143.0</v>
      </c>
      <c r="F311" s="218" t="inlineStr">
        <is>
          <t>PRATICA UNIFORMES LTDA</t>
        </is>
      </c>
      <c r="G311" s="218" t="inlineStr">
        <is>
          <t>Uniformes</t>
        </is>
      </c>
      <c r="H311" s="218" t="inlineStr">
        <is>
          <t>1194</t>
        </is>
      </c>
      <c r="I311" s="219" t="n">
        <v>4549.6</v>
      </c>
      <c r="J311" s="218" t="inlineStr">
        <is>
          <t>ADMINISTRATIVO</t>
        </is>
      </c>
      <c r="K311" s="218" t="inlineStr">
        <is>
          <t>SEGURANCA DO TRABALHO (EPI/UNIFORMES)</t>
        </is>
      </c>
      <c r="L311" s="222" t="str">
        <f>IF(B311&lt;&gt;"DESPESA","",IFERROR(VLOOKUP(K311,$P$5:$Q$16,2,FALSE),"?"))</f>
        <v>ADM</v>
      </c>
      <c r="M311" s="218" t="inlineStr">
        <is>
          <t>PROGRAMADO (maio)</t>
        </is>
      </c>
      <c r="N311" s="272" t="inlineStr">
        <is>
          <t>Custos Mensais - Maio 26.xlsx / Contrato 30000415-25 (2) / linha 40 (item 30); tambem em SANEAGO_MOZARLANDIA_CUSTOS 30.04.2026.xlsx / MAIO / linha 37 | REPETIDA: mesmo NF 1194, fornecedor e valor (~4550) aparece 2x (vencimentos: 2026-03-20, 2026-05-11); parcela ou duplicidade, conferir</t>
        </is>
      </c>
    </row>
    <row r="312">
      <c r="A312" s="222" t="n">
        <v>309</v>
      </c>
      <c r="B312" s="218" t="inlineStr">
        <is>
          <t>DESPESA</t>
        </is>
      </c>
      <c r="C312" s="220" t="n">
        <v>46123</v>
      </c>
      <c r="D312" s="220" t="n">
        <v>46153</v>
      </c>
      <c r="E312" s="335">
        <f>IF(D312="","",DATE(YEAR(D312),MONTH(D312),1))</f>
        <v>46143.0</v>
      </c>
      <c r="F312" s="218" t="inlineStr">
        <is>
          <t>KAPITAO AMERICA EQUIPAMENTOS SEGURANCA</t>
        </is>
      </c>
      <c r="G312" s="218" t="inlineStr">
        <is>
          <t>Material segurança - EPIs</t>
        </is>
      </c>
      <c r="H312" s="218" t="inlineStr">
        <is>
          <t>239282</t>
        </is>
      </c>
      <c r="I312" s="219" t="n">
        <v>180</v>
      </c>
      <c r="J312" s="218" t="inlineStr">
        <is>
          <t>ADMINISTRATIVO</t>
        </is>
      </c>
      <c r="K312" s="218" t="inlineStr">
        <is>
          <t>SEGURANCA DO TRABALHO (EPI/UNIFORMES)</t>
        </is>
      </c>
      <c r="L312" s="222" t="str">
        <f>IF(B312&lt;&gt;"DESPESA","",IFERROR(VLOOKUP(K312,$P$5:$Q$16,2,FALSE),"?"))</f>
        <v>ADM</v>
      </c>
      <c r="M312" s="218" t="inlineStr">
        <is>
          <t>PROGRAMADO (maio)</t>
        </is>
      </c>
      <c r="N312" s="272" t="inlineStr">
        <is>
          <t>Custos Mensais - Maio 26.xlsx / Contrato 30000415-25 (2) / linha 41 (item 31); tambem em SANEAGO_MOZARLANDIA_CUSTOS 30.04.2026.xlsx / MAIO / linha 38</t>
        </is>
      </c>
    </row>
    <row r="313">
      <c r="A313" s="222" t="n">
        <v>310</v>
      </c>
      <c r="B313" s="218" t="inlineStr">
        <is>
          <t>DESPESA</t>
        </is>
      </c>
      <c r="C313" s="220" t="n">
        <v>46126</v>
      </c>
      <c r="D313" s="220" t="n">
        <v>46154</v>
      </c>
      <c r="E313" s="335">
        <f>IF(D313="","",DATE(YEAR(D313),MONTH(D313),1))</f>
        <v>46143.0</v>
      </c>
      <c r="F313" s="218" t="inlineStr">
        <is>
          <t>SUZANA LOCACOES LTDA</t>
        </is>
      </c>
      <c r="G313" s="218" t="inlineStr">
        <is>
          <t>Locações</t>
        </is>
      </c>
      <c r="H313" s="218" t="inlineStr">
        <is>
          <t>2595</t>
        </is>
      </c>
      <c r="I313" s="219" t="n">
        <v>2850</v>
      </c>
      <c r="J313" s="218" t="inlineStr">
        <is>
          <t>CIVIL</t>
        </is>
      </c>
      <c r="K313" s="218" t="inlineStr">
        <is>
          <t>LOCACAO DE EQUIPAMENTOS</t>
        </is>
      </c>
      <c r="L313" s="222" t="str">
        <f>IF(B313&lt;&gt;"DESPESA","",IFERROR(VLOOKUP(K313,$P$5:$Q$16,2,FALSE),"?"))</f>
        <v>EQP</v>
      </c>
      <c r="M313" s="218" t="inlineStr">
        <is>
          <t>PROGRAMADO (maio)</t>
        </is>
      </c>
      <c r="N313" s="272" t="inlineStr">
        <is>
          <t>Custos Mensais - Maio 26.xlsx / Contrato 30000415-25 (2) / linha 42 (item 32); tambem em SANEAGO_MOZARLANDIA_CUSTOS 30.04.2026.xlsx / MAIO / linha 39</t>
        </is>
      </c>
    </row>
    <row r="314">
      <c r="A314" s="222" t="n">
        <v>311</v>
      </c>
      <c r="B314" s="218" t="inlineStr">
        <is>
          <t>DESPESA</t>
        </is>
      </c>
      <c r="C314" s="220" t="n">
        <v>46126</v>
      </c>
      <c r="D314" s="220" t="n">
        <v>46154</v>
      </c>
      <c r="E314" s="335">
        <f>IF(D314="","",DATE(YEAR(D314),MONTH(D314),1))</f>
        <v>46143.0</v>
      </c>
      <c r="F314" s="218" t="inlineStr">
        <is>
          <t>SUZANA LOCACOES LTDA</t>
        </is>
      </c>
      <c r="G314" s="218" t="inlineStr">
        <is>
          <t>Locações</t>
        </is>
      </c>
      <c r="H314" s="218" t="inlineStr">
        <is>
          <t>2596</t>
        </is>
      </c>
      <c r="I314" s="219" t="n">
        <v>4840</v>
      </c>
      <c r="J314" s="218" t="inlineStr">
        <is>
          <t>CIVIL</t>
        </is>
      </c>
      <c r="K314" s="218" t="inlineStr">
        <is>
          <t>LOCACAO DE EQUIPAMENTOS</t>
        </is>
      </c>
      <c r="L314" s="222" t="str">
        <f>IF(B314&lt;&gt;"DESPESA","",IFERROR(VLOOKUP(K314,$P$5:$Q$16,2,FALSE),"?"))</f>
        <v>EQP</v>
      </c>
      <c r="M314" s="218" t="inlineStr">
        <is>
          <t>PROGRAMADO (maio)</t>
        </is>
      </c>
      <c r="N314" s="272" t="inlineStr">
        <is>
          <t>Custos Mensais - Maio 26.xlsx / Contrato 30000415-25 (2) / linha 43 (item 33); tambem em SANEAGO_MOZARLANDIA_CUSTOS 30.04.2026.xlsx / MAIO / linha 40</t>
        </is>
      </c>
    </row>
    <row r="315">
      <c r="A315" s="222" t="n">
        <v>312</v>
      </c>
      <c r="B315" s="218" t="inlineStr">
        <is>
          <t>DESPESA</t>
        </is>
      </c>
      <c r="C315" s="220" t="n"/>
      <c r="D315" s="220" t="n">
        <v>46154</v>
      </c>
      <c r="E315" s="335">
        <f>IF(D315="","",DATE(YEAR(D315),MONTH(D315),1))</f>
        <v>46143.0</v>
      </c>
      <c r="F315" s="218" t="inlineStr">
        <is>
          <t>SUZANA LOCACOES LTDA</t>
        </is>
      </c>
      <c r="G315" s="218" t="inlineStr">
        <is>
          <t>Locações</t>
        </is>
      </c>
      <c r="H315" s="218" t="inlineStr">
        <is>
          <t>2593</t>
        </is>
      </c>
      <c r="I315" s="219" t="n">
        <v>2490</v>
      </c>
      <c r="J315" s="218" t="inlineStr">
        <is>
          <t>CIVIL</t>
        </is>
      </c>
      <c r="K315" s="218" t="inlineStr">
        <is>
          <t>LOCACAO DE EQUIPAMENTOS</t>
        </is>
      </c>
      <c r="L315" s="222" t="str">
        <f>IF(B315&lt;&gt;"DESPESA","",IFERROR(VLOOKUP(K315,$P$5:$Q$16,2,FALSE),"?"))</f>
        <v>EQP</v>
      </c>
      <c r="M315" s="218" t="inlineStr">
        <is>
          <t>PROGRAMADO (maio)</t>
        </is>
      </c>
      <c r="N315" s="272" t="inlineStr">
        <is>
          <t>Custos Mensais - Maio 26.xlsx / Contrato 30000415-25 (2) / linha 44 (item 34); tambem em SANEAGO_MOZARLANDIA_CUSTOS 30.04.2026.xlsx / MAIO / linha 41</t>
        </is>
      </c>
    </row>
    <row r="316">
      <c r="A316" s="222" t="n">
        <v>313</v>
      </c>
      <c r="B316" s="218" t="inlineStr">
        <is>
          <t>DESPESA</t>
        </is>
      </c>
      <c r="C316" s="220" t="n">
        <v>46126</v>
      </c>
      <c r="D316" s="220" t="n">
        <v>46154</v>
      </c>
      <c r="E316" s="335">
        <f>IF(D316="","",DATE(YEAR(D316),MONTH(D316),1))</f>
        <v>46143.0</v>
      </c>
      <c r="F316" s="218" t="inlineStr">
        <is>
          <t>A PROTETORA COMERCIO DE EPI LTDA</t>
        </is>
      </c>
      <c r="G316" s="218" t="inlineStr">
        <is>
          <t>Material segurança - EPIs</t>
        </is>
      </c>
      <c r="H316" s="218" t="inlineStr">
        <is>
          <t>3410</t>
        </is>
      </c>
      <c r="I316" s="219" t="n">
        <v>738.84</v>
      </c>
      <c r="J316" s="218" t="inlineStr">
        <is>
          <t>ADMINISTRATIVO</t>
        </is>
      </c>
      <c r="K316" s="218" t="inlineStr">
        <is>
          <t>SEGURANCA DO TRABALHO (EPI/UNIFORMES)</t>
        </is>
      </c>
      <c r="L316" s="222" t="str">
        <f>IF(B316&lt;&gt;"DESPESA","",IFERROR(VLOOKUP(K316,$P$5:$Q$16,2,FALSE),"?"))</f>
        <v>ADM</v>
      </c>
      <c r="M316" s="218" t="inlineStr">
        <is>
          <t>PROGRAMADO (maio)</t>
        </is>
      </c>
      <c r="N316" s="272" t="inlineStr">
        <is>
          <t>Custos Mensais - Maio 26.xlsx / Contrato 30000415-25 (2) / linha 45 (item 35); tambem em SANEAGO_MOZARLANDIA_CUSTOS 30.04.2026.xlsx / MAIO / linha 42</t>
        </is>
      </c>
    </row>
    <row r="317">
      <c r="A317" s="222" t="n">
        <v>314</v>
      </c>
      <c r="B317" s="218" t="inlineStr">
        <is>
          <t>DESPESA</t>
        </is>
      </c>
      <c r="C317" s="220" t="n">
        <v>46135</v>
      </c>
      <c r="D317" s="220" t="n">
        <v>46154</v>
      </c>
      <c r="E317" s="335">
        <f>IF(D317="","",DATE(YEAR(D317),MONTH(D317),1))</f>
        <v>46143.0</v>
      </c>
      <c r="F317" s="218" t="inlineStr">
        <is>
          <t>NORMANDO RIBEIRO DE ARAUJO LOCACOES</t>
        </is>
      </c>
      <c r="G317" s="218" t="inlineStr">
        <is>
          <t>Locações</t>
        </is>
      </c>
      <c r="H317" s="218" t="inlineStr">
        <is>
          <t>0096</t>
        </is>
      </c>
      <c r="I317" s="219" t="n">
        <v>1600</v>
      </c>
      <c r="J317" s="218" t="inlineStr">
        <is>
          <t>CIVIL</t>
        </is>
      </c>
      <c r="K317" s="218" t="inlineStr">
        <is>
          <t>LOCACAO DE EQUIPAMENTOS</t>
        </is>
      </c>
      <c r="L317" s="222" t="str">
        <f>IF(B317&lt;&gt;"DESPESA","",IFERROR(VLOOKUP(K317,$P$5:$Q$16,2,FALSE),"?"))</f>
        <v>EQP</v>
      </c>
      <c r="M317" s="218" t="inlineStr">
        <is>
          <t>PROGRAMADO (maio)</t>
        </is>
      </c>
      <c r="N317" s="272" t="inlineStr">
        <is>
          <t>Custos Mensais - Maio 26.xlsx / Contrato 30000415-25 (2) / linha 46 (item 36); tambem em SANEAGO_MOZARLANDIA_CUSTOS 30.04.2026.xlsx / MAIO / linha 43</t>
        </is>
      </c>
    </row>
    <row r="318">
      <c r="A318" s="222" t="n">
        <v>315</v>
      </c>
      <c r="B318" s="218" t="inlineStr">
        <is>
          <t>DESPESA</t>
        </is>
      </c>
      <c r="C318" s="220" t="n">
        <v>46126</v>
      </c>
      <c r="D318" s="220" t="n">
        <v>46154</v>
      </c>
      <c r="E318" s="335">
        <f>IF(D318="","",DATE(YEAR(D318),MONTH(D318),1))</f>
        <v>46143.0</v>
      </c>
      <c r="F318" s="218" t="inlineStr">
        <is>
          <t>SUZANA LOCACOES LTDA</t>
        </is>
      </c>
      <c r="G318" s="218" t="inlineStr">
        <is>
          <t>Locações</t>
        </is>
      </c>
      <c r="H318" s="218" t="inlineStr">
        <is>
          <t>2594</t>
        </is>
      </c>
      <c r="I318" s="219" t="n">
        <v>200</v>
      </c>
      <c r="J318" s="218" t="inlineStr">
        <is>
          <t>CIVIL</t>
        </is>
      </c>
      <c r="K318" s="218" t="inlineStr">
        <is>
          <t>LOCACAO DE EQUIPAMENTOS</t>
        </is>
      </c>
      <c r="L318" s="222" t="str">
        <f>IF(B318&lt;&gt;"DESPESA","",IFERROR(VLOOKUP(K318,$P$5:$Q$16,2,FALSE),"?"))</f>
        <v>EQP</v>
      </c>
      <c r="M318" s="218" t="inlineStr">
        <is>
          <t>PROGRAMADO (maio)</t>
        </is>
      </c>
      <c r="N318" s="272" t="inlineStr">
        <is>
          <t>Custos Mensais - Maio 26.xlsx / Contrato 30000415-25 (2) / linha 47 (item 37); tambem em SANEAGO_MOZARLANDIA_CUSTOS 30.04.2026.xlsx / MAIO / linha 44</t>
        </is>
      </c>
    </row>
    <row r="319">
      <c r="A319" s="222" t="n">
        <v>316</v>
      </c>
      <c r="B319" s="218" t="inlineStr">
        <is>
          <t>DESPESA</t>
        </is>
      </c>
      <c r="C319" s="220" t="n">
        <v>46127</v>
      </c>
      <c r="D319" s="220" t="n">
        <v>46155</v>
      </c>
      <c r="E319" s="335">
        <f>IF(D319="","",DATE(YEAR(D319),MONTH(D319),1))</f>
        <v>46143.0</v>
      </c>
      <c r="F319" s="218" t="inlineStr">
        <is>
          <t>SUZANA LOCACOES LTDA</t>
        </is>
      </c>
      <c r="G319" s="218" t="inlineStr">
        <is>
          <t>Locações</t>
        </is>
      </c>
      <c r="H319" s="218" t="inlineStr">
        <is>
          <t>2639</t>
        </is>
      </c>
      <c r="I319" s="219" t="n">
        <v>304</v>
      </c>
      <c r="J319" s="218" t="inlineStr">
        <is>
          <t>CIVIL</t>
        </is>
      </c>
      <c r="K319" s="218" t="inlineStr">
        <is>
          <t>LOCACAO DE EQUIPAMENTOS</t>
        </is>
      </c>
      <c r="L319" s="222" t="str">
        <f>IF(B319&lt;&gt;"DESPESA","",IFERROR(VLOOKUP(K319,$P$5:$Q$16,2,FALSE),"?"))</f>
        <v>EQP</v>
      </c>
      <c r="M319" s="218" t="inlineStr">
        <is>
          <t>PROGRAMADO (maio)</t>
        </is>
      </c>
      <c r="N319" s="272" t="inlineStr">
        <is>
          <t>Custos Mensais - Maio 26.xlsx / Contrato 30000415-25 (2) / linha 48 (item 38); tambem em SANEAGO_MOZARLANDIA_CUSTOS 30.04.2026.xlsx / MAIO / linha 45</t>
        </is>
      </c>
    </row>
    <row r="320">
      <c r="A320" s="222" t="n">
        <v>317</v>
      </c>
      <c r="B320" s="218" t="inlineStr">
        <is>
          <t>DESPESA</t>
        </is>
      </c>
      <c r="C320" s="220" t="n">
        <v>46135</v>
      </c>
      <c r="D320" s="220" t="n">
        <v>46155</v>
      </c>
      <c r="E320" s="335">
        <f>IF(D320="","",DATE(YEAR(D320),MONTH(D320),1))</f>
        <v>46143.0</v>
      </c>
      <c r="F320" s="218" t="inlineStr">
        <is>
          <t>AMERICA TRANSPORTADORA LTDA</t>
        </is>
      </c>
      <c r="G320" s="218" t="inlineStr">
        <is>
          <t>Frete</t>
        </is>
      </c>
      <c r="H320" s="218" t="inlineStr">
        <is>
          <t>7737</t>
        </is>
      </c>
      <c r="I320" s="219" t="n">
        <v>7000</v>
      </c>
      <c r="J320" s="218" t="inlineStr">
        <is>
          <t>ADMINISTRATIVO</t>
        </is>
      </c>
      <c r="K320" s="218" t="inlineStr">
        <is>
          <t>SERVICOS DE TERCEIROS / CANTEIRO</t>
        </is>
      </c>
      <c r="L320" s="222" t="str">
        <f>IF(B320&lt;&gt;"DESPESA","",IFERROR(VLOOKUP(K320,$P$5:$Q$16,2,FALSE),"?"))</f>
        <v>TER</v>
      </c>
      <c r="M320" s="218" t="inlineStr">
        <is>
          <t>PROGRAMADO (maio)</t>
        </is>
      </c>
      <c r="N320" s="272" t="inlineStr">
        <is>
          <t>Custos Mensais - Maio 26.xlsx / Contrato 30000415-25 (2) / linha 49 (item 39); tambem em SANEAGO_MOZARLANDIA_CUSTOS 30.04.2026.xlsx / MAIO / linha 46</t>
        </is>
      </c>
    </row>
    <row r="321">
      <c r="A321" s="222" t="n">
        <v>318</v>
      </c>
      <c r="B321" s="218" t="inlineStr">
        <is>
          <t>DESPESA</t>
        </is>
      </c>
      <c r="C321" s="220" t="n">
        <v>46127</v>
      </c>
      <c r="D321" s="220" t="n">
        <v>46156</v>
      </c>
      <c r="E321" s="335">
        <f>IF(D321="","",DATE(YEAR(D321),MONTH(D321),1))</f>
        <v>46143.0</v>
      </c>
      <c r="F321" s="218" t="inlineStr">
        <is>
          <t>DAVID MARQUES MOREIRA</t>
        </is>
      </c>
      <c r="G321" s="218" t="inlineStr">
        <is>
          <t>Tábuas</t>
        </is>
      </c>
      <c r="H321" s="218" t="inlineStr">
        <is>
          <t>943</t>
        </is>
      </c>
      <c r="I321" s="219" t="n">
        <v>975</v>
      </c>
      <c r="J321" s="218" t="inlineStr">
        <is>
          <t>CIVIL</t>
        </is>
      </c>
      <c r="K321" s="218" t="inlineStr">
        <is>
          <t>MATERIAIS E FERRAMENTAS</t>
        </is>
      </c>
      <c r="L321" s="222" t="str">
        <f>IF(B321&lt;&gt;"DESPESA","",IFERROR(VLOOKUP(K321,$P$5:$Q$16,2,FALSE),"?"))</f>
        <v>MAT</v>
      </c>
      <c r="M321" s="218" t="inlineStr">
        <is>
          <t>PROGRAMADO (maio)</t>
        </is>
      </c>
      <c r="N321" s="272" t="inlineStr">
        <is>
          <t>Custos Mensais - Maio 26.xlsx / Contrato 30000415-25 (2) / linha 50 (item 40); tambem em SANEAGO_MOZARLANDIA_CUSTOS 30.04.2026.xlsx / MAIO / linha 47</t>
        </is>
      </c>
    </row>
    <row r="322">
      <c r="A322" s="222" t="n">
        <v>319</v>
      </c>
      <c r="B322" s="218" t="inlineStr">
        <is>
          <t>DESPESA</t>
        </is>
      </c>
      <c r="C322" s="220" t="n">
        <v>46128</v>
      </c>
      <c r="D322" s="220" t="n">
        <v>46156</v>
      </c>
      <c r="E322" s="335">
        <f>IF(D322="","",DATE(YEAR(D322),MONTH(D322),1))</f>
        <v>46143.0</v>
      </c>
      <c r="F322" s="218" t="inlineStr">
        <is>
          <t>SUZANA LOCACOES LTDA</t>
        </is>
      </c>
      <c r="G322" s="218" t="inlineStr">
        <is>
          <t>Locações</t>
        </is>
      </c>
      <c r="H322" s="218" t="inlineStr">
        <is>
          <t>2645</t>
        </is>
      </c>
      <c r="I322" s="219" t="n">
        <v>760</v>
      </c>
      <c r="J322" s="218" t="inlineStr">
        <is>
          <t>CIVIL</t>
        </is>
      </c>
      <c r="K322" s="218" t="inlineStr">
        <is>
          <t>LOCACAO DE EQUIPAMENTOS</t>
        </is>
      </c>
      <c r="L322" s="222" t="str">
        <f>IF(B322&lt;&gt;"DESPESA","",IFERROR(VLOOKUP(K322,$P$5:$Q$16,2,FALSE),"?"))</f>
        <v>EQP</v>
      </c>
      <c r="M322" s="218" t="inlineStr">
        <is>
          <t>PROGRAMADO (maio)</t>
        </is>
      </c>
      <c r="N322" s="272" t="inlineStr">
        <is>
          <t>Custos Mensais - Maio 26.xlsx / Contrato 30000415-25 (2) / linha 51 (item 41); tambem em SANEAGO_MOZARLANDIA_CUSTOS 30.04.2026.xlsx / MAIO / linha 48</t>
        </is>
      </c>
    </row>
    <row r="323">
      <c r="A323" s="222" t="n">
        <v>320</v>
      </c>
      <c r="B323" s="218" t="inlineStr">
        <is>
          <t>DESPESA</t>
        </is>
      </c>
      <c r="C323" s="220" t="n">
        <v>46128</v>
      </c>
      <c r="D323" s="220" t="n">
        <v>46156</v>
      </c>
      <c r="E323" s="335">
        <f>IF(D323="","",DATE(YEAR(D323),MONTH(D323),1))</f>
        <v>46143.0</v>
      </c>
      <c r="F323" s="218" t="inlineStr">
        <is>
          <t>ALBERICO MARQUES MOREIRA</t>
        </is>
      </c>
      <c r="G323" s="218" t="inlineStr">
        <is>
          <t>Madeiramento Obra</t>
        </is>
      </c>
      <c r="H323" s="218" t="inlineStr">
        <is>
          <t>469</t>
        </is>
      </c>
      <c r="I323" s="219" t="n">
        <v>660</v>
      </c>
      <c r="J323" s="218" t="inlineStr">
        <is>
          <t>CIVIL</t>
        </is>
      </c>
      <c r="K323" s="218" t="inlineStr">
        <is>
          <t>MATERIAIS E FERRAMENTAS</t>
        </is>
      </c>
      <c r="L323" s="222" t="str">
        <f>IF(B323&lt;&gt;"DESPESA","",IFERROR(VLOOKUP(K323,$P$5:$Q$16,2,FALSE),"?"))</f>
        <v>MAT</v>
      </c>
      <c r="M323" s="218" t="inlineStr">
        <is>
          <t>PROGRAMADO (maio)</t>
        </is>
      </c>
      <c r="N323" s="272" t="inlineStr">
        <is>
          <t>Custos Mensais - Maio 26.xlsx / Contrato 30000415-25 (2) / linha 52 (item 42); tambem em SANEAGO_MOZARLANDIA_CUSTOS 30.04.2026.xlsx / MAIO / linha 49</t>
        </is>
      </c>
    </row>
    <row r="324">
      <c r="A324" s="222" t="n">
        <v>321</v>
      </c>
      <c r="B324" s="218" t="inlineStr">
        <is>
          <t>DESPESA</t>
        </is>
      </c>
      <c r="C324" s="220" t="n">
        <v>46136</v>
      </c>
      <c r="D324" s="220" t="n">
        <v>46156</v>
      </c>
      <c r="E324" s="335">
        <f>IF(D324="","",DATE(YEAR(D324),MONTH(D324),1))</f>
        <v>46143.0</v>
      </c>
      <c r="F324" s="218" t="inlineStr">
        <is>
          <t>JULIO CESAR RODRIGUES DE FRANCA</t>
        </is>
      </c>
      <c r="G324" s="218" t="inlineStr">
        <is>
          <t>Conexões</t>
        </is>
      </c>
      <c r="H324" s="218" t="inlineStr">
        <is>
          <t>8750</t>
        </is>
      </c>
      <c r="I324" s="219" t="n">
        <v>530</v>
      </c>
      <c r="J324" s="218" t="inlineStr">
        <is>
          <t>CIVIL</t>
        </is>
      </c>
      <c r="K324" s="218" t="inlineStr">
        <is>
          <t>MATERIAIS E FERRAMENTAS</t>
        </is>
      </c>
      <c r="L324" s="222" t="str">
        <f>IF(B324&lt;&gt;"DESPESA","",IFERROR(VLOOKUP(K324,$P$5:$Q$16,2,FALSE),"?"))</f>
        <v>MAT</v>
      </c>
      <c r="M324" s="218" t="inlineStr">
        <is>
          <t>PROGRAMADO (maio)</t>
        </is>
      </c>
      <c r="N324" s="272" t="inlineStr">
        <is>
          <t>Custos Mensais - Maio 26.xlsx / Contrato 30000415-25 (2) / linha 53 (item 43); tambem em SANEAGO_MOZARLANDIA_CUSTOS 30.04.2026.xlsx / MAIO / linha 50</t>
        </is>
      </c>
    </row>
    <row r="325">
      <c r="A325" s="222" t="n">
        <v>322</v>
      </c>
      <c r="B325" s="218" t="inlineStr">
        <is>
          <t>DESPESA</t>
        </is>
      </c>
      <c r="C325" s="220" t="n">
        <v>46052</v>
      </c>
      <c r="D325" s="220" t="n">
        <v>46157</v>
      </c>
      <c r="E325" s="335">
        <f>IF(D325="","",DATE(YEAR(D325),MONTH(D325),1))</f>
        <v>46143.0</v>
      </c>
      <c r="F325" s="218" t="inlineStr">
        <is>
          <t>LIFEIN TELECOM LTDA</t>
        </is>
      </c>
      <c r="G325" s="218" t="inlineStr">
        <is>
          <t>Internet Obra</t>
        </is>
      </c>
      <c r="H325" s="218" t="inlineStr">
        <is>
          <t>175503</t>
        </is>
      </c>
      <c r="I325" s="219" t="n">
        <v>100</v>
      </c>
      <c r="J325" s="218" t="inlineStr">
        <is>
          <t>ADMINISTRATIVO</t>
        </is>
      </c>
      <c r="K325" s="218" t="inlineStr">
        <is>
          <t>ALOJAMENTO, ALIMENTACAO E UTILIDADES</t>
        </is>
      </c>
      <c r="L325" s="222" t="str">
        <f>IF(B325&lt;&gt;"DESPESA","",IFERROR(VLOOKUP(K325,$P$5:$Q$16,2,FALSE),"?"))</f>
        <v>ADM</v>
      </c>
      <c r="M325" s="218" t="inlineStr">
        <is>
          <t>PROGRAMADO (maio)</t>
        </is>
      </c>
      <c r="N325" s="272" t="inlineStr">
        <is>
          <t>Custos Mensais - Maio 26.xlsx / Contrato 30000415-25 (2) / linha 54 (item 44); tambem em SANEAGO_MOZARLANDIA_CUSTOS 30.04.2026.xlsx / MAIO / linha 51</t>
        </is>
      </c>
    </row>
    <row r="326">
      <c r="A326" s="222" t="n">
        <v>323</v>
      </c>
      <c r="B326" s="218" t="inlineStr">
        <is>
          <t>DESPESA</t>
        </is>
      </c>
      <c r="C326" s="220" t="n">
        <v>46146</v>
      </c>
      <c r="D326" s="220" t="n">
        <v>46157</v>
      </c>
      <c r="E326" s="335">
        <f>IF(D326="","",DATE(YEAR(D326),MONTH(D326),1))</f>
        <v>46143.0</v>
      </c>
      <c r="F326" s="218" t="inlineStr">
        <is>
          <t>PR CONSTRUTORA E ENGENHARIA LTDA (nomes variantes)</t>
        </is>
      </c>
      <c r="G326" s="218" t="inlineStr">
        <is>
          <t>Serviço topografia</t>
        </is>
      </c>
      <c r="H326" s="218" t="inlineStr">
        <is>
          <t>60</t>
        </is>
      </c>
      <c r="I326" s="219" t="n">
        <v>8693.1</v>
      </c>
      <c r="J326" s="218" t="inlineStr">
        <is>
          <t>NAO CONSTA</t>
        </is>
      </c>
      <c r="K326" s="218" t="inlineStr">
        <is>
          <t>SERVICOS DE TERCEIROS / CANTEIRO</t>
        </is>
      </c>
      <c r="L326" s="222" t="str">
        <f>IF(B326&lt;&gt;"DESPESA","",IFERROR(VLOOKUP(K326,$P$5:$Q$16,2,FALSE),"?"))</f>
        <v>TER</v>
      </c>
      <c r="M326" s="218" t="inlineStr">
        <is>
          <t>PROGRAMADO (maio)</t>
        </is>
      </c>
      <c r="N326" s="272" t="inlineStr">
        <is>
          <t>Custos Mensais - Maio 26.xlsx / Contrato 30000415-25 (2) / linha 55 (item 45); NAO consta na aba MAIO</t>
        </is>
      </c>
    </row>
    <row r="327">
      <c r="A327" s="222" t="n">
        <v>324</v>
      </c>
      <c r="B327" s="218" t="inlineStr">
        <is>
          <t>DESPESA</t>
        </is>
      </c>
      <c r="C327" s="220" t="n">
        <v>46147</v>
      </c>
      <c r="D327" s="220" t="n">
        <v>46157</v>
      </c>
      <c r="E327" s="335">
        <f>IF(D327="","",DATE(YEAR(D327),MONTH(D327),1))</f>
        <v>46143.0</v>
      </c>
      <c r="F327" s="218" t="inlineStr">
        <is>
          <t>CELIO HENRIQUE MORAIS RODRIGUES</t>
        </is>
      </c>
      <c r="G327" s="218" t="inlineStr">
        <is>
          <t>Serviço transporte terra</t>
        </is>
      </c>
      <c r="H327" s="218" t="inlineStr">
        <is>
          <t>133974</t>
        </is>
      </c>
      <c r="I327" s="219" t="n">
        <v>1200</v>
      </c>
      <c r="J327" s="218" t="inlineStr">
        <is>
          <t>NAO CONSTA</t>
        </is>
      </c>
      <c r="K327" s="218" t="inlineStr">
        <is>
          <t>SERVICOS DE TERCEIROS / CANTEIRO</t>
        </is>
      </c>
      <c r="L327" s="222" t="str">
        <f>IF(B327&lt;&gt;"DESPESA","",IFERROR(VLOOKUP(K327,$P$5:$Q$16,2,FALSE),"?"))</f>
        <v>TER</v>
      </c>
      <c r="M327" s="218" t="inlineStr">
        <is>
          <t>PROGRAMADO (maio)</t>
        </is>
      </c>
      <c r="N327" s="272" t="inlineStr">
        <is>
          <t>Custos Mensais - Maio 26.xlsx / Contrato 30000415-25 (2) / linha 56 (item 46); NAO consta na aba MAIO</t>
        </is>
      </c>
    </row>
    <row r="328">
      <c r="A328" s="222" t="n">
        <v>325</v>
      </c>
      <c r="B328" s="218" t="inlineStr">
        <is>
          <t>DESPESA</t>
        </is>
      </c>
      <c r="C328" s="220" t="n">
        <v>46146</v>
      </c>
      <c r="D328" s="220" t="n">
        <v>46161</v>
      </c>
      <c r="E328" s="335">
        <f>IF(D328="","",DATE(YEAR(D328),MONTH(D328),1))</f>
        <v>46143.0</v>
      </c>
      <c r="F328" s="218" t="inlineStr">
        <is>
          <t>LUCAS ESTEVES DOS REIS</t>
        </is>
      </c>
      <c r="G328" s="218" t="inlineStr">
        <is>
          <t>Cofecção placa</t>
        </is>
      </c>
      <c r="H328" s="218" t="inlineStr">
        <is>
          <t>142</t>
        </is>
      </c>
      <c r="I328" s="219" t="n">
        <v>90</v>
      </c>
      <c r="J328" s="218" t="inlineStr">
        <is>
          <t>NAO CONSTA</t>
        </is>
      </c>
      <c r="K328" s="218" t="inlineStr">
        <is>
          <t>SERVICOS DE TERCEIROS / CANTEIRO</t>
        </is>
      </c>
      <c r="L328" s="222" t="str">
        <f>IF(B328&lt;&gt;"DESPESA","",IFERROR(VLOOKUP(K328,$P$5:$Q$16,2,FALSE),"?"))</f>
        <v>TER</v>
      </c>
      <c r="M328" s="218" t="inlineStr">
        <is>
          <t>PROGRAMADO (maio)</t>
        </is>
      </c>
      <c r="N328" s="272" t="inlineStr">
        <is>
          <t>Custos Mensais - Maio 26.xlsx / Contrato 30000415-25 (2) / linha 57 (item 47); NAO consta na aba MAIO</t>
        </is>
      </c>
    </row>
    <row r="329">
      <c r="A329" s="222" t="n">
        <v>326</v>
      </c>
      <c r="B329" s="218" t="inlineStr">
        <is>
          <t>DESPESA</t>
        </is>
      </c>
      <c r="C329" s="220" t="n">
        <v>46146</v>
      </c>
      <c r="D329" s="220" t="n">
        <v>46161</v>
      </c>
      <c r="E329" s="335">
        <f>IF(D329="","",DATE(YEAR(D329),MONTH(D329),1))</f>
        <v>46143.0</v>
      </c>
      <c r="F329" s="218" t="inlineStr">
        <is>
          <t>NAIR ALVES DE ASSIS</t>
        </is>
      </c>
      <c r="G329" s="218" t="inlineStr">
        <is>
          <t>Hospedagens</t>
        </is>
      </c>
      <c r="H329" s="218" t="inlineStr">
        <is>
          <t>9877</t>
        </is>
      </c>
      <c r="I329" s="219" t="n">
        <v>1310</v>
      </c>
      <c r="J329" s="218" t="inlineStr">
        <is>
          <t>ADMINISTRATIVO</t>
        </is>
      </c>
      <c r="K329" s="218" t="inlineStr">
        <is>
          <t>ALOJAMENTO, ALIMENTACAO E UTILIDADES</t>
        </is>
      </c>
      <c r="L329" s="222" t="str">
        <f>IF(B329&lt;&gt;"DESPESA","",IFERROR(VLOOKUP(K329,$P$5:$Q$16,2,FALSE),"?"))</f>
        <v>ADM</v>
      </c>
      <c r="M329" s="218" t="inlineStr">
        <is>
          <t>PROGRAMADO (maio)</t>
        </is>
      </c>
      <c r="N329" s="272" t="inlineStr">
        <is>
          <t>Custos Mensais - Maio 26.xlsx / Contrato 30000415-25 (2) / linha 58 (item 48); tambem em SANEAGO_MOZARLANDIA_CUSTOS 30.04.2026.xlsx / MAIO / linha 59</t>
        </is>
      </c>
    </row>
    <row r="330">
      <c r="A330" s="222" t="n">
        <v>327</v>
      </c>
      <c r="B330" s="218" t="inlineStr">
        <is>
          <t>DESPESA</t>
        </is>
      </c>
      <c r="C330" s="220" t="n">
        <v>46146</v>
      </c>
      <c r="D330" s="220" t="n">
        <v>46161</v>
      </c>
      <c r="E330" s="335">
        <f>IF(D330="","",DATE(YEAR(D330),MONTH(D330),1))</f>
        <v>46143.0</v>
      </c>
      <c r="F330" s="218" t="inlineStr">
        <is>
          <t>RODRIGO CONSTANTINO VIANA LTDA</t>
        </is>
      </c>
      <c r="G330" s="218" t="inlineStr">
        <is>
          <t>Refeições / café da manhá</t>
        </is>
      </c>
      <c r="H330" s="218" t="inlineStr">
        <is>
          <t>96</t>
        </is>
      </c>
      <c r="I330" s="219" t="n">
        <v>19790</v>
      </c>
      <c r="J330" s="218" t="inlineStr">
        <is>
          <t>ADMINISTRATIVO</t>
        </is>
      </c>
      <c r="K330" s="218" t="inlineStr">
        <is>
          <t>ALOJAMENTO, ALIMENTACAO E UTILIDADES</t>
        </is>
      </c>
      <c r="L330" s="222" t="str">
        <f>IF(B330&lt;&gt;"DESPESA","",IFERROR(VLOOKUP(K330,$P$5:$Q$16,2,FALSE),"?"))</f>
        <v>ADM</v>
      </c>
      <c r="M330" s="218" t="inlineStr">
        <is>
          <t>PROGRAMADO (maio)</t>
        </is>
      </c>
      <c r="N330" s="272" t="inlineStr">
        <is>
          <t>Custos Mensais - Maio 26.xlsx / Contrato 30000415-25 (2) / linha 59 (item 49); tambem em SANEAGO_MOZARLANDIA_CUSTOS 30.04.2026.xlsx / MAIO / linha 60</t>
        </is>
      </c>
    </row>
    <row r="331">
      <c r="A331" s="222" t="n">
        <v>328</v>
      </c>
      <c r="B331" s="218" t="inlineStr">
        <is>
          <t>DESPESA</t>
        </is>
      </c>
      <c r="C331" s="220" t="n">
        <v>46072</v>
      </c>
      <c r="D331" s="220" t="n">
        <v>46162</v>
      </c>
      <c r="E331" s="335">
        <f>IF(D331="","",DATE(YEAR(D331),MONTH(D331),1))</f>
        <v>46143.0</v>
      </c>
      <c r="F331" s="218" t="inlineStr">
        <is>
          <t>PARANAFERROS</t>
        </is>
      </c>
      <c r="G331" s="218" t="inlineStr">
        <is>
          <t>Material aplicado - Ferragens</t>
        </is>
      </c>
      <c r="H331" s="218" t="inlineStr">
        <is>
          <t>110284</t>
        </is>
      </c>
      <c r="I331" s="219" t="n">
        <v>26349.26</v>
      </c>
      <c r="J331" s="218" t="inlineStr">
        <is>
          <t>CIVIL</t>
        </is>
      </c>
      <c r="K331" s="218" t="inlineStr">
        <is>
          <t>MATERIAIS E FERRAMENTAS</t>
        </is>
      </c>
      <c r="L331" s="222" t="str">
        <f>IF(B331&lt;&gt;"DESPESA","",IFERROR(VLOOKUP(K331,$P$5:$Q$16,2,FALSE),"?"))</f>
        <v>MAT</v>
      </c>
      <c r="M331" s="218" t="inlineStr">
        <is>
          <t>PROGRAMADO (maio)</t>
        </is>
      </c>
      <c r="N331" s="272" t="inlineStr">
        <is>
          <t>Custos Mensais - Maio 26.xlsx / Contrato 30000415-25 (2) / linha 60 (item 50); tambem em SANEAGO_MOZARLANDIA_CUSTOS 30.04.2026.xlsx / MAIO / linha 52 | REPETIDA: mesmo NF 110284, fornecedor e valor (~26349) aparece 4x (vencimentos: 2026-02-22, 2026-03-21, 2026-04-20, 2026-05-20); parcela ou duplicidade, conferir</t>
        </is>
      </c>
    </row>
    <row r="332">
      <c r="A332" s="222" t="n">
        <v>329</v>
      </c>
      <c r="B332" s="218" t="inlineStr">
        <is>
          <t>DESPESA</t>
        </is>
      </c>
      <c r="C332" s="220" t="n">
        <v>46135</v>
      </c>
      <c r="D332" s="220" t="n">
        <v>46162</v>
      </c>
      <c r="E332" s="335">
        <f>IF(D332="","",DATE(YEAR(D332),MONTH(D332),1))</f>
        <v>46143.0</v>
      </c>
      <c r="F332" s="218" t="inlineStr">
        <is>
          <t>ALBERICO MARQUES MOREIRA</t>
        </is>
      </c>
      <c r="G332" s="218" t="inlineStr">
        <is>
          <t>Madeiramento Obra</t>
        </is>
      </c>
      <c r="H332" s="218" t="inlineStr">
        <is>
          <t>472</t>
        </is>
      </c>
      <c r="I332" s="219" t="n">
        <v>2280</v>
      </c>
      <c r="J332" s="218" t="inlineStr">
        <is>
          <t>CIVIL</t>
        </is>
      </c>
      <c r="K332" s="218" t="inlineStr">
        <is>
          <t>MATERIAIS E FERRAMENTAS</t>
        </is>
      </c>
      <c r="L332" s="222" t="str">
        <f>IF(B332&lt;&gt;"DESPESA","",IFERROR(VLOOKUP(K332,$P$5:$Q$16,2,FALSE),"?"))</f>
        <v>MAT</v>
      </c>
      <c r="M332" s="218" t="inlineStr">
        <is>
          <t>PROGRAMADO (maio)</t>
        </is>
      </c>
      <c r="N332" s="272" t="inlineStr">
        <is>
          <t>Custos Mensais - Maio 26.xlsx / Contrato 30000415-25 (2) / linha 61 (item 51); tambem em SANEAGO_MOZARLANDIA_CUSTOS 30.04.2026.xlsx / MAIO / linha 53</t>
        </is>
      </c>
    </row>
    <row r="333">
      <c r="A333" s="222" t="n">
        <v>330</v>
      </c>
      <c r="B333" s="218" t="inlineStr">
        <is>
          <t>DESPESA</t>
        </is>
      </c>
      <c r="C333" s="220" t="n">
        <v>46147</v>
      </c>
      <c r="D333" s="220" t="n">
        <v>46162</v>
      </c>
      <c r="E333" s="335">
        <f>IF(D333="","",DATE(YEAR(D333),MONTH(D333),1))</f>
        <v>46143.0</v>
      </c>
      <c r="F333" s="218" t="inlineStr">
        <is>
          <t>ARAGUAIA TRANSPORTES</t>
        </is>
      </c>
      <c r="G333" s="218" t="inlineStr">
        <is>
          <t>Serviço de frete</t>
        </is>
      </c>
      <c r="H333" s="218" t="inlineStr">
        <is>
          <t>1123</t>
        </is>
      </c>
      <c r="I333" s="219" t="n">
        <v>1600</v>
      </c>
      <c r="J333" s="218" t="inlineStr">
        <is>
          <t>NAO CONSTA</t>
        </is>
      </c>
      <c r="K333" s="218" t="inlineStr">
        <is>
          <t>SERVICOS DE TERCEIROS / CANTEIRO</t>
        </is>
      </c>
      <c r="L333" s="222" t="str">
        <f>IF(B333&lt;&gt;"DESPESA","",IFERROR(VLOOKUP(K333,$P$5:$Q$16,2,FALSE),"?"))</f>
        <v>TER</v>
      </c>
      <c r="M333" s="218" t="inlineStr">
        <is>
          <t>PROGRAMADO (maio)</t>
        </is>
      </c>
      <c r="N333" s="272" t="inlineStr">
        <is>
          <t>Custos Mensais - Maio 26.xlsx / Contrato 30000415-25 (2) / linha 62 (item 52); NAO consta na aba MAIO</t>
        </is>
      </c>
    </row>
    <row r="334">
      <c r="A334" s="222" t="n">
        <v>331</v>
      </c>
      <c r="B334" s="218" t="inlineStr">
        <is>
          <t>DESPESA</t>
        </is>
      </c>
      <c r="C334" s="220" t="n">
        <v>46146</v>
      </c>
      <c r="D334" s="220" t="n">
        <v>46162</v>
      </c>
      <c r="E334" s="335">
        <f>IF(D334="","",DATE(YEAR(D334),MONTH(D334),1))</f>
        <v>46143.0</v>
      </c>
      <c r="F334" s="218" t="inlineStr">
        <is>
          <t>CAIXA ECONOMICA FEDERAL</t>
        </is>
      </c>
      <c r="G334" s="218" t="inlineStr">
        <is>
          <t>FGTS Folha 04/26</t>
        </is>
      </c>
      <c r="H334" s="218" t="inlineStr">
        <is>
          <t>FGTS</t>
        </is>
      </c>
      <c r="I334" s="219" t="n">
        <v>5752.63</v>
      </c>
      <c r="J334" s="218" t="inlineStr">
        <is>
          <t>ADMINISTRATIVO</t>
        </is>
      </c>
      <c r="K334" s="218" t="inlineStr">
        <is>
          <t>PESSOAL E ENCARGOS</t>
        </is>
      </c>
      <c r="L334" s="222" t="str">
        <f>IF(B334&lt;&gt;"DESPESA","",IFERROR(VLOOKUP(K334,$P$5:$Q$16,2,FALSE),"?"))</f>
        <v>MO</v>
      </c>
      <c r="M334" s="218" t="inlineStr">
        <is>
          <t>PROGRAMADO (maio)</t>
        </is>
      </c>
      <c r="N334" s="272" t="inlineStr">
        <is>
          <t>Custos Mensais - Maio 26.xlsx / Contrato 30000415-25 (2) / linha 63 (item 53); tambem em SANEAGO_MOZARLANDIA_CUSTOS 30.04.2026.xlsx / MAIO / linha 64</t>
        </is>
      </c>
    </row>
    <row r="335">
      <c r="A335" s="222" t="n">
        <v>332</v>
      </c>
      <c r="B335" s="218" t="inlineStr">
        <is>
          <t>DESPESA</t>
        </is>
      </c>
      <c r="C335" s="220" t="n">
        <v>46104</v>
      </c>
      <c r="D335" s="220" t="n">
        <v>46163</v>
      </c>
      <c r="E335" s="335">
        <f>IF(D335="","",DATE(YEAR(D335),MONTH(D335),1))</f>
        <v>46143.0</v>
      </c>
      <c r="F335" s="218" t="inlineStr">
        <is>
          <t>MPS DISTRIBUIDORA MERCANTIL LTDA</t>
        </is>
      </c>
      <c r="G335" s="218" t="inlineStr">
        <is>
          <t>Ar Condicionado</t>
        </is>
      </c>
      <c r="H335" s="218" t="inlineStr">
        <is>
          <t>66902</t>
        </is>
      </c>
      <c r="I335" s="219" t="n">
        <v>381.2</v>
      </c>
      <c r="J335" s="218" t="inlineStr">
        <is>
          <t>ADMINISTRATIVO</t>
        </is>
      </c>
      <c r="K335" s="218" t="inlineStr">
        <is>
          <t>SERVICOS DE TERCEIROS / CANTEIRO</t>
        </is>
      </c>
      <c r="L335" s="222" t="str">
        <f>IF(B335&lt;&gt;"DESPESA","",IFERROR(VLOOKUP(K335,$P$5:$Q$16,2,FALSE),"?"))</f>
        <v>TER</v>
      </c>
      <c r="M335" s="218" t="inlineStr">
        <is>
          <t>PROGRAMADO (maio)</t>
        </is>
      </c>
      <c r="N335" s="272" t="inlineStr">
        <is>
          <t>Custos Mensais - Maio 26.xlsx / Contrato 30000415-25 (2) / linha 64 (item 54); tambem em SANEAGO_MOZARLANDIA_CUSTOS 30.04.2026.xlsx / MAIO / linha 54</t>
        </is>
      </c>
    </row>
    <row r="336">
      <c r="A336" s="222" t="n">
        <v>333</v>
      </c>
      <c r="B336" s="218" t="inlineStr">
        <is>
          <t>DESPESA</t>
        </is>
      </c>
      <c r="C336" s="220" t="n">
        <v>46135</v>
      </c>
      <c r="D336" s="220" t="n">
        <v>46163</v>
      </c>
      <c r="E336" s="335">
        <f>IF(D336="","",DATE(YEAR(D336),MONTH(D336),1))</f>
        <v>46143.0</v>
      </c>
      <c r="F336" s="218" t="inlineStr">
        <is>
          <t>SUZANA LOCACOES LTDA</t>
        </is>
      </c>
      <c r="G336" s="218" t="inlineStr">
        <is>
          <t>Locações</t>
        </is>
      </c>
      <c r="H336" s="218" t="inlineStr">
        <is>
          <t>2790</t>
        </is>
      </c>
      <c r="I336" s="219" t="n">
        <v>550</v>
      </c>
      <c r="J336" s="218" t="inlineStr">
        <is>
          <t>CIVIL</t>
        </is>
      </c>
      <c r="K336" s="218" t="inlineStr">
        <is>
          <t>LOCACAO DE EQUIPAMENTOS</t>
        </is>
      </c>
      <c r="L336" s="222" t="str">
        <f>IF(B336&lt;&gt;"DESPESA","",IFERROR(VLOOKUP(K336,$P$5:$Q$16,2,FALSE),"?"))</f>
        <v>EQP</v>
      </c>
      <c r="M336" s="218" t="inlineStr">
        <is>
          <t>PROGRAMADO (maio)</t>
        </is>
      </c>
      <c r="N336" s="272" t="inlineStr">
        <is>
          <t>Custos Mensais - Maio 26.xlsx / Contrato 30000415-25 (2) / linha 65 (item 55); tambem em SANEAGO_MOZARLANDIA_CUSTOS 30.04.2026.xlsx / MAIO / linha 55</t>
        </is>
      </c>
    </row>
    <row r="337">
      <c r="A337" s="222" t="n">
        <v>334</v>
      </c>
      <c r="B337" s="218" t="inlineStr">
        <is>
          <t>DESPESA</t>
        </is>
      </c>
      <c r="C337" s="220" t="n">
        <v>46104</v>
      </c>
      <c r="D337" s="220" t="n">
        <v>46164</v>
      </c>
      <c r="E337" s="335">
        <f>IF(D337="","",DATE(YEAR(D337),MONTH(D337),1))</f>
        <v>46143.0</v>
      </c>
      <c r="F337" s="218" t="inlineStr">
        <is>
          <t>CORR PLASTIK INDUSTRIAL LTDA</t>
        </is>
      </c>
      <c r="G337" s="218" t="inlineStr">
        <is>
          <t>Material aplicado - Tubos</t>
        </is>
      </c>
      <c r="H337" s="218" t="inlineStr">
        <is>
          <t>342589</t>
        </is>
      </c>
      <c r="I337" s="219" t="n">
        <v>51360</v>
      </c>
      <c r="J337" s="218" t="inlineStr">
        <is>
          <t>NAO CONSTA</t>
        </is>
      </c>
      <c r="K337" s="218" t="inlineStr">
        <is>
          <t>MATERIAIS E FERRAMENTAS</t>
        </is>
      </c>
      <c r="L337" s="222" t="str">
        <f>IF(B337&lt;&gt;"DESPESA","",IFERROR(VLOOKUP(K337,$P$5:$Q$16,2,FALSE),"?"))</f>
        <v>MAT</v>
      </c>
      <c r="M337" s="218" t="inlineStr">
        <is>
          <t>PROGRAMADO (maio)</t>
        </is>
      </c>
      <c r="N337" s="272" t="inlineStr">
        <is>
          <t>Custos Mensais - Maio 26.xlsx / Contrato 30000415-25 (2) / linha 66 (item 56); NAO consta na aba MAIO | REPETIDA: mesmo NF 342589, fornecedor e valor (~51360) aparece 2x (vencimentos: 2026-04-22, 2026-05-22); parcela ou duplicidade, conferir</t>
        </is>
      </c>
    </row>
    <row r="338">
      <c r="A338" s="222" t="n">
        <v>335</v>
      </c>
      <c r="B338" s="218" t="inlineStr">
        <is>
          <t>DESPESA</t>
        </is>
      </c>
      <c r="C338" s="220" t="n">
        <v>46104</v>
      </c>
      <c r="D338" s="220" t="n">
        <v>46164</v>
      </c>
      <c r="E338" s="335">
        <f>IF(D338="","",DATE(YEAR(D338),MONTH(D338),1))</f>
        <v>46143.0</v>
      </c>
      <c r="F338" s="218" t="inlineStr">
        <is>
          <t>JOSE DONIZETE DE SOUZA</t>
        </is>
      </c>
      <c r="G338" s="218" t="inlineStr">
        <is>
          <t>Material aplicado - Telha fibrocimento</t>
        </is>
      </c>
      <c r="H338" s="218" t="inlineStr">
        <is>
          <t>320263</t>
        </is>
      </c>
      <c r="I338" s="219" t="n">
        <v>2302.1</v>
      </c>
      <c r="J338" s="218" t="inlineStr">
        <is>
          <t>NAO CONSTA</t>
        </is>
      </c>
      <c r="K338" s="218" t="inlineStr">
        <is>
          <t>MATERIAIS E FERRAMENTAS</t>
        </is>
      </c>
      <c r="L338" s="222" t="str">
        <f>IF(B338&lt;&gt;"DESPESA","",IFERROR(VLOOKUP(K338,$P$5:$Q$16,2,FALSE),"?"))</f>
        <v>MAT</v>
      </c>
      <c r="M338" s="218" t="inlineStr">
        <is>
          <t>PROGRAMADO (maio)</t>
        </is>
      </c>
      <c r="N338" s="272" t="inlineStr">
        <is>
          <t>Custos Mensais - Maio 26.xlsx / Contrato 30000415-25 (2) / linha 67 (item 57); NAO consta na aba MAIO | REPETIDA: mesmo NF 320263, fornecedor e valor (~2302) aparece 2x (vencimentos: 2026-04-22, 2026-05-22); parcela ou duplicidade, conferir</t>
        </is>
      </c>
    </row>
    <row r="339">
      <c r="A339" s="222" t="n">
        <v>336</v>
      </c>
      <c r="B339" s="218" t="inlineStr">
        <is>
          <t>DESPESA</t>
        </is>
      </c>
      <c r="C339" s="220" t="n">
        <v>46104</v>
      </c>
      <c r="D339" s="220" t="n">
        <v>46164</v>
      </c>
      <c r="E339" s="335">
        <f>IF(D339="","",DATE(YEAR(D339),MONTH(D339),1))</f>
        <v>46143.0</v>
      </c>
      <c r="F339" s="218" t="inlineStr">
        <is>
          <t>CORR PLASTIK INDUSTRIAL LTDA</t>
        </is>
      </c>
      <c r="G339" s="218" t="inlineStr">
        <is>
          <t>Material aplicado - tubos</t>
        </is>
      </c>
      <c r="H339" s="218" t="inlineStr">
        <is>
          <t>342588</t>
        </is>
      </c>
      <c r="I339" s="219" t="n">
        <v>51360</v>
      </c>
      <c r="J339" s="218" t="inlineStr">
        <is>
          <t>NAO CONSTA</t>
        </is>
      </c>
      <c r="K339" s="218" t="inlineStr">
        <is>
          <t>MATERIAIS E FERRAMENTAS</t>
        </is>
      </c>
      <c r="L339" s="222" t="str">
        <f>IF(B339&lt;&gt;"DESPESA","",IFERROR(VLOOKUP(K339,$P$5:$Q$16,2,FALSE),"?"))</f>
        <v>MAT</v>
      </c>
      <c r="M339" s="218" t="inlineStr">
        <is>
          <t>PROGRAMADO (maio)</t>
        </is>
      </c>
      <c r="N339" s="272" t="inlineStr">
        <is>
          <t>Custos Mensais - Maio 26.xlsx / Contrato 30000415-25 (2) / linha 68 (item 58); NAO consta na aba MAIO | REPETIDA: mesmo NF 342588, fornecedor e valor (~51360) aparece 2x (vencimentos: 2026-04-22, 2026-05-22); parcela ou duplicidade, conferir</t>
        </is>
      </c>
    </row>
    <row r="340">
      <c r="A340" s="222" t="n">
        <v>337</v>
      </c>
      <c r="B340" s="218" t="inlineStr">
        <is>
          <t>DESPESA</t>
        </is>
      </c>
      <c r="C340" s="220" t="n">
        <v>46104</v>
      </c>
      <c r="D340" s="220" t="n">
        <v>46164</v>
      </c>
      <c r="E340" s="335">
        <f>IF(D340="","",DATE(YEAR(D340),MONTH(D340),1))</f>
        <v>46143.0</v>
      </c>
      <c r="F340" s="218" t="inlineStr">
        <is>
          <t>CORR PLASTIK INDUSTRIAL LTDA</t>
        </is>
      </c>
      <c r="G340" s="218" t="inlineStr">
        <is>
          <t>Material aplicado - Tubos</t>
        </is>
      </c>
      <c r="H340" s="218" t="inlineStr">
        <is>
          <t>342590</t>
        </is>
      </c>
      <c r="I340" s="219" t="n">
        <v>30750</v>
      </c>
      <c r="J340" s="218" t="inlineStr">
        <is>
          <t>NAO CONSTA</t>
        </is>
      </c>
      <c r="K340" s="218" t="inlineStr">
        <is>
          <t>MATERIAIS E FERRAMENTAS</t>
        </is>
      </c>
      <c r="L340" s="222" t="str">
        <f>IF(B340&lt;&gt;"DESPESA","",IFERROR(VLOOKUP(K340,$P$5:$Q$16,2,FALSE),"?"))</f>
        <v>MAT</v>
      </c>
      <c r="M340" s="218" t="inlineStr">
        <is>
          <t>PROGRAMADO (maio)</t>
        </is>
      </c>
      <c r="N340" s="272" t="inlineStr">
        <is>
          <t>Custos Mensais - Maio 26.xlsx / Contrato 30000415-25 (2) / linha 69 (item 59); NAO consta na aba MAIO | REPETIDA: mesmo NF 342590, fornecedor e valor (~30750) aparece 2x (vencimentos: 2026-04-22, 2026-05-22); parcela ou duplicidade, conferir</t>
        </is>
      </c>
    </row>
    <row r="341">
      <c r="A341" s="222" t="n">
        <v>338</v>
      </c>
      <c r="B341" s="218" t="inlineStr">
        <is>
          <t>DESPESA</t>
        </is>
      </c>
      <c r="C341" s="220" t="n">
        <v>46135</v>
      </c>
      <c r="D341" s="220" t="n">
        <v>46165</v>
      </c>
      <c r="E341" s="335">
        <f>IF(D341="","",DATE(YEAR(D341),MONTH(D341),1))</f>
        <v>46143.0</v>
      </c>
      <c r="F341" s="218" t="inlineStr">
        <is>
          <t>CASA DOS POSTOS</t>
        </is>
      </c>
      <c r="G341" s="218" t="inlineStr">
        <is>
          <t>Ferramental</t>
        </is>
      </c>
      <c r="H341" s="218" t="inlineStr">
        <is>
          <t>42674</t>
        </is>
      </c>
      <c r="I341" s="219" t="n">
        <v>360</v>
      </c>
      <c r="J341" s="218" t="inlineStr">
        <is>
          <t>NAO CONSTA</t>
        </is>
      </c>
      <c r="K341" s="218" t="inlineStr">
        <is>
          <t>MATERIAIS E FERRAMENTAS</t>
        </is>
      </c>
      <c r="L341" s="222" t="str">
        <f>IF(B341&lt;&gt;"DESPESA","",IFERROR(VLOOKUP(K341,$P$5:$Q$16,2,FALSE),"?"))</f>
        <v>MAT</v>
      </c>
      <c r="M341" s="218" t="inlineStr">
        <is>
          <t>PROGRAMADO (maio)</t>
        </is>
      </c>
      <c r="N341" s="272" t="inlineStr">
        <is>
          <t>Custos Mensais - Maio 26.xlsx / Contrato 30000415-25 (2) / linha 70 (item 60); NAO consta na aba MAIO</t>
        </is>
      </c>
    </row>
    <row r="342">
      <c r="A342" s="222" t="n">
        <v>339</v>
      </c>
      <c r="B342" s="218" t="inlineStr">
        <is>
          <t>DESPESA</t>
        </is>
      </c>
      <c r="C342" s="220" t="n">
        <v>46142</v>
      </c>
      <c r="D342" s="220" t="n">
        <v>46167</v>
      </c>
      <c r="E342" s="335">
        <f>IF(D342="","",DATE(YEAR(D342),MONTH(D342),1))</f>
        <v>46143.0</v>
      </c>
      <c r="F342" s="218" t="inlineStr">
        <is>
          <t>ALBERICO MARQUES MOREIRA</t>
        </is>
      </c>
      <c r="G342" s="218" t="inlineStr">
        <is>
          <t>Madeiramento Obra</t>
        </is>
      </c>
      <c r="H342" s="218" t="inlineStr">
        <is>
          <t>473</t>
        </is>
      </c>
      <c r="I342" s="219" t="n">
        <v>1050</v>
      </c>
      <c r="J342" s="218" t="inlineStr">
        <is>
          <t>CIVIL</t>
        </is>
      </c>
      <c r="K342" s="218" t="inlineStr">
        <is>
          <t>MATERIAIS E FERRAMENTAS</t>
        </is>
      </c>
      <c r="L342" s="222" t="str">
        <f>IF(B342&lt;&gt;"DESPESA","",IFERROR(VLOOKUP(K342,$P$5:$Q$16,2,FALSE),"?"))</f>
        <v>MAT</v>
      </c>
      <c r="M342" s="218" t="inlineStr">
        <is>
          <t>PROGRAMADO (maio)</t>
        </is>
      </c>
      <c r="N342" s="272" t="inlineStr">
        <is>
          <t>Custos Mensais - Maio 26.xlsx / Contrato 30000415-25 (2) / linha 71 (item 61); tambem em SANEAGO_MOZARLANDIA_CUSTOS 30.04.2026.xlsx / MAIO / linha 61</t>
        </is>
      </c>
    </row>
    <row r="343">
      <c r="A343" s="222" t="n">
        <v>340</v>
      </c>
      <c r="B343" s="218" t="inlineStr">
        <is>
          <t>DESPESA</t>
        </is>
      </c>
      <c r="C343" s="220" t="n">
        <v>46146</v>
      </c>
      <c r="D343" s="220" t="n">
        <v>46167</v>
      </c>
      <c r="E343" s="335">
        <f>IF(D343="","",DATE(YEAR(D343),MONTH(D343),1))</f>
        <v>46143.0</v>
      </c>
      <c r="F343" s="218" t="inlineStr">
        <is>
          <t>AREIAS LANDY LTDA</t>
        </is>
      </c>
      <c r="G343" s="218" t="inlineStr">
        <is>
          <t>Material aplicado</t>
        </is>
      </c>
      <c r="H343" s="218" t="inlineStr">
        <is>
          <t>139</t>
        </is>
      </c>
      <c r="I343" s="219" t="n">
        <v>1200</v>
      </c>
      <c r="J343" s="218" t="inlineStr">
        <is>
          <t>NAO CONSTA</t>
        </is>
      </c>
      <c r="K343" s="218" t="inlineStr">
        <is>
          <t>MATERIAIS E FERRAMENTAS</t>
        </is>
      </c>
      <c r="L343" s="222" t="str">
        <f>IF(B343&lt;&gt;"DESPESA","",IFERROR(VLOOKUP(K343,$P$5:$Q$16,2,FALSE),"?"))</f>
        <v>MAT</v>
      </c>
      <c r="M343" s="218" t="inlineStr">
        <is>
          <t>PROGRAMADO (maio)</t>
        </is>
      </c>
      <c r="N343" s="272" t="inlineStr">
        <is>
          <t>Custos Mensais - Maio 26.xlsx / Contrato 30000415-25 (2) / linha 72 (item 62); NAO consta na aba MAIO</t>
        </is>
      </c>
    </row>
    <row r="344">
      <c r="A344" s="222" t="n">
        <v>341</v>
      </c>
      <c r="B344" s="218" t="inlineStr">
        <is>
          <t>DESPESA</t>
        </is>
      </c>
      <c r="C344" s="220" t="n">
        <v>46142</v>
      </c>
      <c r="D344" s="220" t="n">
        <v>46170</v>
      </c>
      <c r="E344" s="335">
        <f>IF(D344="","",DATE(YEAR(D344),MONTH(D344),1))</f>
        <v>46143.0</v>
      </c>
      <c r="F344" s="218" t="inlineStr">
        <is>
          <t>JM APROTETORA COMERCIO DE EPI LTDA</t>
        </is>
      </c>
      <c r="G344" s="218" t="inlineStr">
        <is>
          <t>Material segurança - EPIs</t>
        </is>
      </c>
      <c r="H344" s="218" t="inlineStr">
        <is>
          <t>1919</t>
        </is>
      </c>
      <c r="I344" s="219" t="n">
        <v>612.25</v>
      </c>
      <c r="J344" s="218" t="inlineStr">
        <is>
          <t>ADMINISTRATIVO</t>
        </is>
      </c>
      <c r="K344" s="218" t="inlineStr">
        <is>
          <t>SEGURANCA DO TRABALHO (EPI/UNIFORMES)</t>
        </is>
      </c>
      <c r="L344" s="222" t="str">
        <f>IF(B344&lt;&gt;"DESPESA","",IFERROR(VLOOKUP(K344,$P$5:$Q$16,2,FALSE),"?"))</f>
        <v>ADM</v>
      </c>
      <c r="M344" s="218" t="inlineStr">
        <is>
          <t>PROGRAMADO (maio)</t>
        </is>
      </c>
      <c r="N344" s="272" t="inlineStr">
        <is>
          <t>Custos Mensais - Maio 26.xlsx / Contrato 30000415-25 (2) / linha 73 (item 63); tambem em SANEAGO_MOZARLANDIA_CUSTOS 30.04.2026.xlsx / MAIO / linha 62</t>
        </is>
      </c>
    </row>
    <row r="345">
      <c r="A345" s="222" t="n">
        <v>342</v>
      </c>
      <c r="B345" s="218" t="inlineStr">
        <is>
          <t>DESPESA</t>
        </is>
      </c>
      <c r="C345" s="220" t="n">
        <v>46142</v>
      </c>
      <c r="D345" s="220" t="n">
        <v>46172</v>
      </c>
      <c r="E345" s="335">
        <f>IF(D345="","",DATE(YEAR(D345),MONTH(D345),1))</f>
        <v>46143.0</v>
      </c>
      <c r="F345" s="218" t="inlineStr">
        <is>
          <t>AF DE OLIVEIRA</t>
        </is>
      </c>
      <c r="G345" s="218" t="inlineStr">
        <is>
          <t>Utensilios alojamento</t>
        </is>
      </c>
      <c r="H345" s="218" t="inlineStr">
        <is>
          <t>17275</t>
        </is>
      </c>
      <c r="I345" s="219" t="n">
        <v>516.58</v>
      </c>
      <c r="J345" s="218" t="inlineStr">
        <is>
          <t>ADMINISTRATIVO</t>
        </is>
      </c>
      <c r="K345" s="218" t="inlineStr">
        <is>
          <t>ALOJAMENTO, ALIMENTACAO E UTILIDADES</t>
        </is>
      </c>
      <c r="L345" s="222" t="str">
        <f>IF(B345&lt;&gt;"DESPESA","",IFERROR(VLOOKUP(K345,$P$5:$Q$16,2,FALSE),"?"))</f>
        <v>ADM</v>
      </c>
      <c r="M345" s="218" t="inlineStr">
        <is>
          <t>PROGRAMADO (maio)</t>
        </is>
      </c>
      <c r="N345" s="272" t="inlineStr">
        <is>
          <t>Custos Mensais - Maio 26.xlsx / Contrato 30000415-25 (2) / linha 74 (item 64); tambem em SANEAGO_MOZARLANDIA_CUSTOS 30.04.2026.xlsx / MAIO / linha 63</t>
        </is>
      </c>
    </row>
  </sheetData>
  <autoFilter ref="A3:N345"/>
  <conditionalFormatting sqref="Q32:Q33">
    <cfRule type="cellIs" priority="1" operator="equal" dxfId="27">
      <formula>"PENDENTE"</formula>
    </cfRule>
  </conditionalFormatting>
  <dataValidations count="1">
    <dataValidation sqref="B4:B603" showDropDown="0" showInputMessage="0" showErrorMessage="0" allowBlank="1" type="list">
      <formula1>"DESPESA,APORTE,REPASSE"</formula1>
    </dataValidation>
  </dataValidations>
  <hyperlinks>
    <hyperlink ref="R1" location="'00A. MENU'!A1" display="◀ MENU"/>
  </hyperlinks>
  <pageMargins left="0.75" right="0.75" top="1" bottom="1" header="0.5" footer="0.5"/>
</worksheet>
</file>

<file path=xl/worksheets/sheet26.xml><?xml version="1.0" encoding="utf-8"?>
<worksheet xmlns="http://schemas.openxmlformats.org/spreadsheetml/2006/main">
  <sheetPr>
    <tabColor rgb="FFA6A6A6"/>
    <outlinePr summaryBelow="1" summaryRight="1"/>
    <pageSetUpPr fitToPage="1"/>
  </sheetPr>
  <dimension ref="A1:Q12"/>
  <sheetViews>
    <sheetView showGridLines="0" workbookViewId="0">
      <selection activeCell="A1" sqref="A1"/>
    </sheetView>
  </sheetViews>
  <sheetFormatPr baseColWidth="8" defaultRowHeight="15"/>
  <cols>
    <col width="44" customWidth="1" style="71" min="1" max="1"/>
    <col width="16" customWidth="1" style="71" min="2" max="2"/>
    <col width="16" customWidth="1" style="71" min="3" max="3"/>
    <col width="12" customWidth="1" style="71" min="4" max="4"/>
    <col width="16" customWidth="1" style="71" min="5" max="5"/>
    <col width="16" customWidth="1" style="71" min="6" max="6"/>
    <col width="16" customWidth="1" style="71" min="7" max="7"/>
    <col width="16" customWidth="1" style="71" min="8" max="8"/>
    <col width="16" customWidth="1" style="71" min="9" max="9"/>
    <col width="12" customWidth="1" style="71" min="10" max="10"/>
    <col width="14" customWidth="1" style="71" min="11" max="11"/>
    <col width="15" customWidth="1" style="71" min="12" max="12"/>
    <col width="15" customWidth="1" style="71" min="13" max="13"/>
    <col width="15" customWidth="1" style="71" min="14" max="14"/>
    <col width="15" customWidth="1" style="71" min="15" max="15"/>
    <col width="15" customWidth="1" style="71" min="16" max="16"/>
    <col width="15" customWidth="1" style="71" min="17" max="17"/>
  </cols>
  <sheetData>
    <row r="1" ht="26.1" customHeight="1" s="71">
      <c r="A1" s="1" t="inlineStr">
        <is>
          <t>08B. TODAS AS OBRAS — uma linha por obra</t>
        </is>
      </c>
      <c r="B1" s="2" t="n"/>
      <c r="C1" s="2" t="n"/>
      <c r="D1" s="2" t="n"/>
      <c r="E1" s="2" t="n"/>
      <c r="F1" s="2" t="n"/>
      <c r="G1" s="2" t="n"/>
      <c r="H1" s="2" t="n"/>
      <c r="I1" s="2" t="n"/>
      <c r="J1" s="2" t="n"/>
      <c r="K1" s="2" t="n"/>
      <c r="L1" s="2" t="n"/>
      <c r="M1" s="3" t="inlineStr">
        <is>
          <t>◀ MENU</t>
        </is>
      </c>
      <c r="N1" s="2" t="n"/>
      <c r="O1" s="2" t="n"/>
      <c r="P1" s="2" t="n"/>
      <c r="Q1" s="2" t="n"/>
    </row>
    <row r="2">
      <c r="A2" s="4" t="inlineStr">
        <is>
          <t>Tudo fórmula. Contrato (03), medido (06), recebido (07), custo (08), previsto (04).</t>
        </is>
      </c>
    </row>
    <row r="3"/>
    <row r="4" ht="64" customHeight="1" s="71">
      <c r="A4" s="23" t="inlineStr">
        <is>
          <t>OBRA</t>
        </is>
      </c>
      <c r="B4" s="23" t="inlineStr">
        <is>
          <t>CONTRATO (R$)</t>
        </is>
      </c>
      <c r="C4" s="23" t="inlineStr">
        <is>
          <t>MEDIDO APROVADO ATÉ O CORTE (06: APROVADO, FATURADO OU RECEBIDO)</t>
        </is>
      </c>
      <c r="D4" s="23" t="inlineStr">
        <is>
          <t>% MEDIDO</t>
        </is>
      </c>
      <c r="E4" s="23" t="inlineStr">
        <is>
          <t>MEDIÇÃO PREVISTA ATÉ O ÚLTIMO BM FECHADO (regra na linha 11)</t>
        </is>
      </c>
      <c r="F4" s="23" t="inlineStr">
        <is>
          <t>RECEBIDO</t>
        </is>
      </c>
      <c r="G4" s="23" t="inlineStr">
        <is>
          <t>CUSTO REALIZADO</t>
        </is>
      </c>
      <c r="H4" s="23" t="inlineStr">
        <is>
          <t>CUSTO PREVISTO ATÉ O CORTE</t>
        </is>
      </c>
      <c r="I4" s="23" t="inlineStr">
        <is>
          <t>CAIXA DA OBRA (recebido − pago)</t>
        </is>
      </c>
      <c r="J4" s="23" t="inlineStr">
        <is>
          <t>IDP (medido aprovado ÷ previsto até o último BM fechado)</t>
        </is>
      </c>
      <c r="K4" s="23" t="inlineStr">
        <is>
          <t>ÚLTIMO PAGAMENTO LANÇADO (08)</t>
        </is>
      </c>
      <c r="L4" s="23" t="inlineStr">
        <is>
          <t>MEDIDO ENVIADO, AINDA SEM APROVAÇÃO (06: ENVIADO)</t>
        </is>
      </c>
      <c r="M4" s="23" t="inlineStr">
        <is>
          <t>MÊS DO ÚLTIMO BM APROVADO</t>
        </is>
      </c>
      <c r="N4" s="23" t="inlineStr">
        <is>
          <t>MÊS DO ÚLTIMO BM (aprovado ou enviado)</t>
        </is>
      </c>
      <c r="O4" s="23" t="inlineStr">
        <is>
          <t>IDP COM O ENVIADO (aprovado + enviado ÷ previsto)</t>
        </is>
      </c>
      <c r="P4" s="23" t="inlineStr">
        <is>
          <t>IDP DO MÊS (último BM ÷ previsto do mesmo mês)</t>
        </is>
      </c>
      <c r="Q4" s="23" t="inlineStr">
        <is>
          <t>PARTE DA TAF NA OBRA</t>
        </is>
      </c>
    </row>
    <row r="5">
      <c r="A5" s="5" t="inlineStr">
        <is>
          <t>342 — SANEAGO UTR Santo Antônio do Descoberto</t>
        </is>
      </c>
      <c r="B5" s="297">
        <f>'03. CONTRATOS'!$B$8</f>
        <v>3258000</v>
      </c>
      <c r="C5" s="315">
        <f>SUM(SUMIFS('06. MEDIÇÃO (BM)'!$G$5:$G$44,'06. MEDIÇÃO (BM)'!$B$5:$B$44,"342",'06. MEDIÇÃO (BM)'!$D$5:$D$44,"&lt;="&amp;'02. PARÂMETROS'!$B$5,'06. MEDIÇÃO (BM)'!$F$5:$F$44,{"APROVADO","FATURADO","RECEBIDO"}))</f>
        <v>0</v>
      </c>
      <c r="D5" s="320">
        <f>IFERROR(C5/B5,0)</f>
        <v>0</v>
      </c>
      <c r="E5" s="297">
        <f>SUMPRODUCT('04. PLANO DAS OBRAS'!$C$6:$R$6*(DATE(2026,COLUMN('04. PLANO DAS OBRAS'!$C$6:$R$6)+6,1)&lt;=DATA_GESTAO-19))</f>
        <v>0</v>
      </c>
      <c r="F5" s="315">
        <f>SUMIFS('07. FATURAMENTO E RECEBIMENTO'!$L$5:$L$44,'07. FATURAMENTO E RECEBIMENTO'!$B$5:$B$44,"342")</f>
        <v>0</v>
      </c>
      <c r="G5" s="315">
        <f>SUMIFS('08. CUSTOS'!$F$5:$F$404,'08. CUSTOS'!$C$5:$C$404,"342",'08. CUSTOS'!$B$5:$B$404,"&lt;="&amp;'02. PARÂMETROS'!$B$5)</f>
        <v>0</v>
      </c>
      <c r="H5" s="297">
        <f>'08A. CUSTO POR OBRA'!D14</f>
        <v>29525.98</v>
      </c>
      <c r="I5" s="315" t="str">
        <f>IF(DATA_GESTAO-'08B. TODAS AS OBRAS'!$K$5&gt;'01A. GESTÃO DA SEMANA'!$C$54,"SEM BASE",F5-SUMIFS('08. CUSTOS'!$F$5:$F$404,'08. CUSTOS'!$C$5:$C$404,"342",'08. CUSTOS'!$J$5:$J$404,"PAGO"))</f>
        <v>SEM BASE</v>
      </c>
      <c r="J5" s="58" t="str">
        <f>IF(N(E5)=0,"SEM BASE",C5/E5)</f>
        <v>SEM BASE</v>
      </c>
      <c r="K5" s="337">
        <f>_xlfn.MAXIFS('08. CUSTOS'!$G$5:$G$404,'08. CUSTOS'!$C$5:$C$404,"342")</f>
        <v>0.0</v>
      </c>
      <c r="L5" s="315">
        <f>SUMIFS('06. MEDIÇÃO (BM)'!$G$5:$G$44,'06. MEDIÇÃO (BM)'!$B$5:$B$44,"342",'06. MEDIÇÃO (BM)'!$D$5:$D$44,"&lt;="&amp;DATA_GESTAO,'06. MEDIÇÃO (BM)'!$F$5:$F$44,"ENVIADO")</f>
        <v>0</v>
      </c>
      <c r="M5" s="338">
        <f>MAX(_xlfn.MAXIFS('06. MEDIÇÃO (BM)'!$D$5:$D$44,'06. MEDIÇÃO (BM)'!$B$5:$B$44,"342",'06. MEDIÇÃO (BM)'!$F$5:$F$44,"APROVADO",'06. MEDIÇÃO (BM)'!$D$5:$D$44,"&lt;="&amp;DATA_GESTAO),_xlfn.MAXIFS('06. MEDIÇÃO (BM)'!$D$5:$D$44,'06. MEDIÇÃO (BM)'!$B$5:$B$44,"342",'06. MEDIÇÃO (BM)'!$F$5:$F$44,"FATURADO",'06. MEDIÇÃO (BM)'!$D$5:$D$44,"&lt;="&amp;DATA_GESTAO),_xlfn.MAXIFS('06. MEDIÇÃO (BM)'!$D$5:$D$44,'06. MEDIÇÃO (BM)'!$B$5:$B$44,"342",'06. MEDIÇÃO (BM)'!$F$5:$F$44,"RECEBIDO",'06. MEDIÇÃO (BM)'!$D$5:$D$44,"&lt;="&amp;DATA_GESTAO))</f>
        <v>0.0</v>
      </c>
      <c r="N5" s="338">
        <f>MAX($M5,_xlfn.MAXIFS('06. MEDIÇÃO (BM)'!$D$5:$D$44,'06. MEDIÇÃO (BM)'!$B$5:$B$44,"342",'06. MEDIÇÃO (BM)'!$F$5:$F$44,"ENVIADO",'06. MEDIÇÃO (BM)'!$D$5:$D$44,"&lt;="&amp;DATA_GESTAO))</f>
        <v>0.0</v>
      </c>
      <c r="O5" s="58" t="str">
        <f>IF(N($E5)=0,"SEM BASE",($C5+$L5)/$E5)</f>
        <v>SEM BASE</v>
      </c>
      <c r="P5" s="58" t="str">
        <f>IF($N5=0,"SEM BASE",IF(SUMPRODUCT('04. PLANO DAS OBRAS'!$C$6:$R$6*(DATE(2026,COLUMN('04. PLANO DAS OBRAS'!$C$6:$R$6)+6,1)=DATE(YEAR($N5),MONTH($N5),1)))=0,"SEM BASE",SUM(SUMIFS('06. MEDIÇÃO (BM)'!$G$5:$G$44,'06. MEDIÇÃO (BM)'!$B$5:$B$44,"342",'06. MEDIÇÃO (BM)'!$D$5:$D$44,$N5,'06. MEDIÇÃO (BM)'!$F$5:$F$44,{"APROVADO","FATURADO","RECEBIDO","ENVIADO"}))/SUMPRODUCT('04. PLANO DAS OBRAS'!$C$6:$R$6*(DATE(2026,COLUMN('04. PLANO DAS OBRAS'!$C$6:$R$6)+6,1)=DATE(YEAR($N5),MONTH($N5),1)))))</f>
        <v>SEM BASE</v>
      </c>
      <c r="Q5" s="339" t="n">
        <v>1</v>
      </c>
    </row>
    <row r="6">
      <c r="A6" s="5" t="inlineStr">
        <is>
          <t>343 — CAESB Subadutora Sobradinho</t>
        </is>
      </c>
      <c r="B6" s="297">
        <f>'03. CONTRATOS'!$D$8</f>
        <v>5226634.03</v>
      </c>
      <c r="C6" s="315">
        <f>SUM(SUMIFS('06. MEDIÇÃO (BM)'!$G$5:$G$44,'06. MEDIÇÃO (BM)'!$B$5:$B$44,"343",'06. MEDIÇÃO (BM)'!$D$5:$D$44,"&lt;="&amp;'02. PARÂMETROS'!$B$5,'06. MEDIÇÃO (BM)'!$F$5:$F$44,{"APROVADO","FATURADO","RECEBIDO"}))</f>
        <v>0</v>
      </c>
      <c r="D6" s="320">
        <f>IFERROR(C6/B6,0)</f>
        <v>0</v>
      </c>
      <c r="E6" s="297">
        <f>SUMPRODUCT('04. PLANO DAS OBRAS'!$C$18:$R$18*(DATE(2026,COLUMN('04. PLANO DAS OBRAS'!$C$18:$R$18)+7,0)&lt;DATA_GESTAO))</f>
        <v>0</v>
      </c>
      <c r="F6" s="315">
        <f>SUMIFS('07. FATURAMENTO E RECEBIMENTO'!$L$5:$L$44,'07. FATURAMENTO E RECEBIMENTO'!$B$5:$B$44,"343")</f>
        <v>0</v>
      </c>
      <c r="G6" s="315">
        <f>SUMIFS('08. CUSTOS'!$F$5:$F$404,'08. CUSTOS'!$C$5:$C$404,"343",'08. CUSTOS'!$B$5:$B$404,"&lt;="&amp;'02. PARÂMETROS'!$B$5)</f>
        <v>0</v>
      </c>
      <c r="H6" s="297">
        <f>'08A. CUSTO POR OBRA'!D26</f>
        <v>820642.78</v>
      </c>
      <c r="I6" s="315" t="str">
        <f>IF(DATA_GESTAO-'08B. TODAS AS OBRAS'!$K$6&gt;'01A. GESTÃO DA SEMANA'!$C$54,"SEM BASE",F6-SUMIFS('08. CUSTOS'!$F$5:$F$404,'08. CUSTOS'!$C$5:$C$404,"343",'08. CUSTOS'!$J$5:$J$404,"PAGO"))</f>
        <v>SEM BASE</v>
      </c>
      <c r="J6" s="58" t="str">
        <f>IF(N(E6)=0,"SEM BASE",C6/E6)</f>
        <v>SEM BASE</v>
      </c>
      <c r="K6" s="337">
        <f>_xlfn.MAXIFS('08. CUSTOS'!$G$5:$G$404,'08. CUSTOS'!$C$5:$C$404,"343")</f>
        <v>0.0</v>
      </c>
      <c r="L6" s="315">
        <f>SUMIFS('06. MEDIÇÃO (BM)'!$G$5:$G$44,'06. MEDIÇÃO (BM)'!$B$5:$B$44,"343",'06. MEDIÇÃO (BM)'!$D$5:$D$44,"&lt;="&amp;DATA_GESTAO,'06. MEDIÇÃO (BM)'!$F$5:$F$44,"ENVIADO")</f>
        <v>0</v>
      </c>
      <c r="M6" s="338">
        <f>MAX(_xlfn.MAXIFS('06. MEDIÇÃO (BM)'!$D$5:$D$44,'06. MEDIÇÃO (BM)'!$B$5:$B$44,"343",'06. MEDIÇÃO (BM)'!$F$5:$F$44,"APROVADO",'06. MEDIÇÃO (BM)'!$D$5:$D$44,"&lt;="&amp;DATA_GESTAO),_xlfn.MAXIFS('06. MEDIÇÃO (BM)'!$D$5:$D$44,'06. MEDIÇÃO (BM)'!$B$5:$B$44,"343",'06. MEDIÇÃO (BM)'!$F$5:$F$44,"FATURADO",'06. MEDIÇÃO (BM)'!$D$5:$D$44,"&lt;="&amp;DATA_GESTAO),_xlfn.MAXIFS('06. MEDIÇÃO (BM)'!$D$5:$D$44,'06. MEDIÇÃO (BM)'!$B$5:$B$44,"343",'06. MEDIÇÃO (BM)'!$F$5:$F$44,"RECEBIDO",'06. MEDIÇÃO (BM)'!$D$5:$D$44,"&lt;="&amp;DATA_GESTAO))</f>
        <v>0.0</v>
      </c>
      <c r="N6" s="338">
        <f>MAX($M6,_xlfn.MAXIFS('06. MEDIÇÃO (BM)'!$D$5:$D$44,'06. MEDIÇÃO (BM)'!$B$5:$B$44,"343",'06. MEDIÇÃO (BM)'!$F$5:$F$44,"ENVIADO",'06. MEDIÇÃO (BM)'!$D$5:$D$44,"&lt;="&amp;DATA_GESTAO))</f>
        <v>0.0</v>
      </c>
      <c r="O6" s="58" t="str">
        <f>IF(N($E6)=0,"SEM BASE",($C6+$L6)/$E6)</f>
        <v>SEM BASE</v>
      </c>
      <c r="P6" s="58" t="str">
        <f>IF($N6=0,"SEM BASE",IF(SUMPRODUCT('04. PLANO DAS OBRAS'!$C$18:$R$18*(DATE(2026,COLUMN('04. PLANO DAS OBRAS'!$C$18:$R$18)+6,1)=DATE(YEAR($N6),MONTH($N6),1)))=0,"SEM BASE",SUM(SUMIFS('06. MEDIÇÃO (BM)'!$G$5:$G$44,'06. MEDIÇÃO (BM)'!$B$5:$B$44,"343",'06. MEDIÇÃO (BM)'!$D$5:$D$44,$N6,'06. MEDIÇÃO (BM)'!$F$5:$F$44,{"APROVADO","FATURADO","RECEBIDO","ENVIADO"}))/SUMPRODUCT('04. PLANO DAS OBRAS'!$C$18:$R$18*(DATE(2026,COLUMN('04. PLANO DAS OBRAS'!$C$18:$R$18)+6,1)=DATE(YEAR($N6),MONTH($N6),1)))))</f>
        <v>SEM BASE</v>
      </c>
      <c r="Q6" s="339" t="n">
        <v>1</v>
      </c>
    </row>
    <row r="7">
      <c r="A7" s="5" t="inlineStr">
        <is>
          <t>281 — SANEAGO Mozarlândia (consórcio TAF TECNOBOMBAS)</t>
        </is>
      </c>
      <c r="B7" s="297">
        <f>'03. CONTRATOS'!$F$8</f>
        <v>17120015.74</v>
      </c>
      <c r="C7" s="315">
        <f>SUM(SUMIFS('06. MEDIÇÃO (BM)'!$G$5:$G$44,'06. MEDIÇÃO (BM)'!$B$5:$B$44,"281",'06. MEDIÇÃO (BM)'!$D$5:$D$44,"&lt;="&amp;'02. PARÂMETROS'!$B$5,'06. MEDIÇÃO (BM)'!$F$5:$F$44,{"APROVADO","FATURADO","RECEBIDO"}))</f>
        <v>5719898.31</v>
      </c>
      <c r="D7" s="320">
        <f>IFERROR(C7/B7,0)</f>
        <v>0.334105902521793</v>
      </c>
      <c r="E7" s="297">
        <f>SUMIFS('04. PLANO DAS OBRAS'!$C$42:$Z$42,'04. PLANO DAS OBRAS'!$C$41:$Z$41,"&lt;="&amp;$M7)</f>
        <v>4572249.15</v>
      </c>
      <c r="F7" s="315">
        <f>SUMIFS('07. FATURAMENTO E RECEBIMENTO'!$L$5:$L$44,'07. FATURAMENTO E RECEBIMENTO'!$B$5:$B$44,"281")</f>
        <v>554203.24</v>
      </c>
      <c r="G7" s="315">
        <f>SUMIFS('08. CUSTOS'!$F$5:$F$404,'08. CUSTOS'!$C$5:$C$404,"281",'08. CUSTOS'!$B$5:$B$404,"&lt;="&amp;'02. PARÂMETROS'!$B$5)</f>
        <v>1103553.37</v>
      </c>
      <c r="H7" s="297" t="str">
        <f>"sem plano de custo"</f>
        <v>sem plano de custo</v>
      </c>
      <c r="I7" s="315" t="str">
        <f>IF(SUMIFS('07. FATURAMENTO E RECEBIMENTO'!$F$5:$F$44,'07. FATURAMENTO E RECEBIMENTO'!$B$5:$B$44,"281",'07. FATURAMENTO E RECEBIMENTO'!$C$5:$C$44,"&lt;&gt;*reajuste*")&lt;C7-1,"faltam NFs de BMs na 07",IF(DATA_GESTAO-'08B. TODAS AS OBRAS'!$K$7&gt;'01A. GESTÃO DA SEMANA'!$C$54,"SEM BASE",F7-SUMIFS('08. CUSTOS'!$F$5:$F$404,'08. CUSTOS'!$C$5:$C$404,"281",'08. CUSTOS'!$J$5:$J$404,"PAGO")))</f>
        <v>faltam NFs de BMs na 07</v>
      </c>
      <c r="J7" s="58">
        <f>IF(N(E7)=0,"SEM BASE",C7/E7)</f>
        <v>1.25100319828372</v>
      </c>
      <c r="K7" s="337">
        <f>_xlfn.MAXIFS('08. CUSTOS'!$G$5:$G$404,'08. CUSTOS'!$C$5:$C$404,"281")</f>
        <v>46172.0</v>
      </c>
      <c r="L7" s="315">
        <f>SUMIFS('06. MEDIÇÃO (BM)'!$G$5:$G$44,'06. MEDIÇÃO (BM)'!$B$5:$B$44,"281",'06. MEDIÇÃO (BM)'!$D$5:$D$44,"&lt;="&amp;DATA_GESTAO,'06. MEDIÇÃO (BM)'!$F$5:$F$44,"ENVIADO")</f>
        <v>688711.37</v>
      </c>
      <c r="M7" s="338">
        <f>MAX(_xlfn.MAXIFS('06. MEDIÇÃO (BM)'!$D$5:$D$44,'06. MEDIÇÃO (BM)'!$B$5:$B$44,"281",'06. MEDIÇÃO (BM)'!$F$5:$F$44,"APROVADO",'06. MEDIÇÃO (BM)'!$D$5:$D$44,"&lt;="&amp;DATA_GESTAO),_xlfn.MAXIFS('06. MEDIÇÃO (BM)'!$D$5:$D$44,'06. MEDIÇÃO (BM)'!$B$5:$B$44,"281",'06. MEDIÇÃO (BM)'!$F$5:$F$44,"FATURADO",'06. MEDIÇÃO (BM)'!$D$5:$D$44,"&lt;="&amp;DATA_GESTAO),_xlfn.MAXIFS('06. MEDIÇÃO (BM)'!$D$5:$D$44,'06. MEDIÇÃO (BM)'!$B$5:$B$44,"281",'06. MEDIÇÃO (BM)'!$F$5:$F$44,"RECEBIDO",'06. MEDIÇÃO (BM)'!$D$5:$D$44,"&lt;="&amp;DATA_GESTAO))</f>
        <v>46235.0</v>
      </c>
      <c r="N7" s="338">
        <f>MAX($M7,_xlfn.MAXIFS('06. MEDIÇÃO (BM)'!$D$5:$D$44,'06. MEDIÇÃO (BM)'!$B$5:$B$44,"281",'06. MEDIÇÃO (BM)'!$F$5:$F$44,"ENVIADO",'06. MEDIÇÃO (BM)'!$D$5:$D$44,"&lt;="&amp;DATA_GESTAO))</f>
        <v>46266.0</v>
      </c>
      <c r="O7" s="58">
        <f>IF(N(SUMIFS('04. PLANO DAS OBRAS'!$C$42:$Z$42,'04. PLANO DAS OBRAS'!$C$41:$Z$41,"&lt;="&amp;$N7))=0,"SEM BASE",($C7+$L7)/SUMIFS('04. PLANO DAS OBRAS'!$C$42:$Z$42,'04. PLANO DAS OBRAS'!$C$41:$Z$41,"&lt;="&amp;$N7))</f>
        <v>1.03775415015938</v>
      </c>
      <c r="P7" s="58">
        <f>IF($N7=0,"SEM BASE",IF(SUMPRODUCT('04. PLANO DAS OBRAS'!$C$42:$Z$42*('04. PLANO DAS OBRAS'!$C$41:$Z$41=DATE(YEAR($N7),MONTH($N7),1)))=0,"SEM BASE",SUM(SUMIFS('06. MEDIÇÃO (BM)'!$G$5:$G$44,'06. MEDIÇÃO (BM)'!$B$5:$B$44,"281",'06. MEDIÇÃO (BM)'!$D$5:$D$44,$N7,'06. MEDIÇÃO (BM)'!$F$5:$F$44,{"APROVADO","FATURADO","RECEBIDO","ENVIADO"}))/SUMPRODUCT('04. PLANO DAS OBRAS'!$C$42:$Z$42*('04. PLANO DAS OBRAS'!$C$41:$Z$41=DATE(YEAR($N7),MONTH($N7),1)))))</f>
        <v>0.429582415547765</v>
      </c>
      <c r="Q7" s="340">
        <f>'03. CONTRATOS'!$F$22</f>
        <v>0.5</v>
      </c>
    </row>
    <row r="8">
      <c r="A8" s="56" t="inlineStr">
        <is>
          <t>TODAS AS OBRAS (100% de cada contrato)</t>
        </is>
      </c>
      <c r="B8" s="314">
        <f>SUM(B5:B7)</f>
        <v>25604649.77</v>
      </c>
      <c r="C8" s="314">
        <f>SUM(C5:C7)</f>
        <v>5719898.31</v>
      </c>
      <c r="D8" s="334">
        <f>IFERROR(C8/B8,0)</f>
        <v>0.223392952505907</v>
      </c>
      <c r="E8" s="314">
        <f>SUM(E5:E7)</f>
        <v>4572249.15</v>
      </c>
      <c r="F8" s="314">
        <f>SUM(F5:F7)</f>
        <v>554203.24</v>
      </c>
      <c r="G8" s="314">
        <f>SUM(G5:G7)</f>
        <v>1103553.37</v>
      </c>
      <c r="H8" s="314">
        <f>SUM(H5:H7)</f>
        <v>850168.76</v>
      </c>
      <c r="I8" s="314" t="str">
        <f>IF(COUNT(I5:I7)&lt;3,"SEM BASE",SUM(I5:I7))</f>
        <v>SEM BASE</v>
      </c>
      <c r="J8" s="59">
        <f>IF(N(E8)=0,"SEM BASE",C8/E8)</f>
        <v>1.25100319828372</v>
      </c>
      <c r="K8" s="341">
        <f>MAX(K5:K7)</f>
        <v>46172.0</v>
      </c>
      <c r="L8" s="314">
        <f>SUM(L5:L7)</f>
        <v>688711.37</v>
      </c>
    </row>
    <row r="9">
      <c r="A9" s="56" t="inlineStr">
        <is>
          <t>CARTEIRA DA TAF (parte TAF de cada obra, coluna Q)</t>
        </is>
      </c>
      <c r="B9" s="314">
        <f>SUMPRODUCT(B5:B7,$Q$5:$Q$7)</f>
        <v>17044641.9</v>
      </c>
      <c r="C9" s="314">
        <f>SUMPRODUCT(C5:C7,$Q$5:$Q$7)</f>
        <v>2859949.155</v>
      </c>
      <c r="D9" s="334">
        <f>IF(N(B9)=0,"SEM BASE",C9/B9)</f>
        <v>0.167791683262058</v>
      </c>
      <c r="E9" s="314">
        <f>SUMPRODUCT(E5:E7,$Q$5:$Q$7)</f>
        <v>2286124.575</v>
      </c>
      <c r="F9" s="314">
        <f>SUMPRODUCT(F5:F7,$Q$5:$Q$7)</f>
        <v>277101.62</v>
      </c>
      <c r="G9" s="314">
        <f>SUMPRODUCT(G5:G7,$Q$5:$Q$7)</f>
        <v>551776.685</v>
      </c>
      <c r="H9" s="314" t="n"/>
      <c r="I9" s="314" t="n"/>
      <c r="J9" s="59">
        <f>IF(N(E9)=0,"SEM BASE",C9/E9)</f>
        <v>1.25100319828372</v>
      </c>
      <c r="K9" s="341" t="n"/>
      <c r="L9" s="314">
        <f>SUMPRODUCT(L5:L7,$Q$5:$Q$7)</f>
        <v>344355.685</v>
      </c>
    </row>
    <row r="10"/>
    <row r="11">
      <c r="A11" s="242" t="inlineStr">
        <is>
          <t>E = previsto até o último BM fechado: 342, meses com BM fechado no dia 20; 343, meses já encerrados; 281, até o mês do último BM aprovado (M). J usa só BM aprovado; O soma o BM enviado; P = último BM ÷ previsto do mesmo mês.</t>
        </is>
      </c>
    </row>
    <row r="12">
      <c r="A12" s="242" t="inlineStr">
        <is>
          <t>Q: 342 e 343 = 1 (contrato só da TAF, 03 linha 6); 281 = 03 F22 (consórcio com a TECNOBOMBAS, 50% a confirmar com Thadeu). Custo lançado há mais de 35 dias (01A L14): caixa SEM BASE.</t>
        </is>
      </c>
    </row>
  </sheetData>
  <hyperlinks>
    <hyperlink ref="M1" location="'00A. MENU'!A1" display="◀ MENU"/>
  </hyperlinks>
  <pageMargins left="0.75" right="0.75" top="1" bottom="1" header="0.5" footer="0.5"/>
  <pageSetup orientation="landscape" fitToHeight="0"/>
</worksheet>
</file>

<file path=xl/worksheets/sheet27.xml><?xml version="1.0" encoding="utf-8"?>
<worksheet xmlns="http://schemas.openxmlformats.org/spreadsheetml/2006/main">
  <sheetPr>
    <tabColor rgb="FFA6A6A6"/>
    <outlinePr summaryBelow="1" summaryRight="1"/>
    <pageSetUpPr fitToPage="1"/>
  </sheetPr>
  <dimension ref="A1:G41"/>
  <sheetViews>
    <sheetView showGridLines="0" workbookViewId="0">
      <selection activeCell="A1" sqref="A1"/>
    </sheetView>
  </sheetViews>
  <sheetFormatPr baseColWidth="8" defaultRowHeight="15"/>
  <cols>
    <col width="52" customWidth="1" style="71" min="1" max="1"/>
    <col width="18" customWidth="1" style="71" min="2" max="3"/>
    <col width="40" customWidth="1" style="71" min="4" max="4"/>
  </cols>
  <sheetData>
    <row r="1" ht="26.1" customHeight="1" s="71">
      <c r="A1" s="1" t="inlineStr">
        <is>
          <t>08C. RESULTADO POR OBRA — previsto (motor) × realizado até o corte</t>
        </is>
      </c>
      <c r="B1" s="2" t="n"/>
      <c r="C1" s="2" t="n"/>
      <c r="D1" s="2" t="n"/>
      <c r="E1" s="2" t="n"/>
      <c r="F1" s="2" t="n"/>
      <c r="G1" s="3" t="inlineStr">
        <is>
          <t>◀ MENU</t>
        </is>
      </c>
    </row>
    <row r="2">
      <c r="A2" s="4" t="inlineStr">
        <is>
          <t>Resultado realizado = medido − tributos − custo realizado. Sai antes da administração central (02).</t>
        </is>
      </c>
    </row>
    <row r="3"/>
    <row r="4">
      <c r="A4" s="10" t="inlineStr">
        <is>
          <t>OBRA 342 — SANEAGO UTR Santo Antônio do Descoberto</t>
        </is>
      </c>
      <c r="B4" s="11" t="n"/>
      <c r="C4" s="11" t="n"/>
      <c r="D4" s="11" t="n"/>
    </row>
    <row r="5" ht="30" customHeight="1" s="71">
      <c r="A5" s="23" t="inlineStr">
        <is>
          <t>LINHA</t>
        </is>
      </c>
      <c r="B5" s="23" t="inlineStr">
        <is>
          <t>VALOR</t>
        </is>
      </c>
      <c r="C5" s="23" t="n"/>
      <c r="D5" s="23" t="inlineStr">
        <is>
          <t>COMO FOI CALCULADO</t>
        </is>
      </c>
    </row>
    <row r="6">
      <c r="A6" s="30" t="inlineStr">
        <is>
          <t>Valor do contrato</t>
        </is>
      </c>
      <c r="B6" s="297">
        <f>'03. CONTRATOS'!$B$8</f>
        <v>3258000</v>
      </c>
      <c r="C6" s="24" t="n"/>
      <c r="D6" s="60" t="inlineStr">
        <is>
          <t>03. CONTRATOS</t>
        </is>
      </c>
    </row>
    <row r="7">
      <c r="A7" s="30" t="inlineStr">
        <is>
          <t>Custo total previsto (motor)</t>
        </is>
      </c>
      <c r="B7" s="297">
        <f>'04. PLANO DAS OBRAS'!C30</f>
        <v>3212459.22</v>
      </c>
      <c r="C7" s="24" t="n"/>
      <c r="D7" s="60" t="inlineStr">
        <is>
          <t>04. PLANO, resultado previsto</t>
        </is>
      </c>
    </row>
    <row r="8">
      <c r="A8" s="5" t="inlineStr">
        <is>
          <t>Resultado previsto (motor, antes da adm. central)</t>
        </is>
      </c>
      <c r="B8" s="297">
        <f>'04. PLANO DAS OBRAS'!C31</f>
        <v>-231415.9929</v>
      </c>
      <c r="C8" s="24" t="n"/>
      <c r="D8" s="60" t="inlineStr">
        <is>
          <t>04. PLANO</t>
        </is>
      </c>
    </row>
    <row r="9">
      <c r="A9" s="30" t="inlineStr">
        <is>
          <t>Medido até o corte</t>
        </is>
      </c>
      <c r="B9" s="297">
        <f>'08B. TODAS AS OBRAS'!C5</f>
        <v>0</v>
      </c>
      <c r="C9" s="24" t="n"/>
      <c r="D9" s="60" t="inlineStr">
        <is>
          <t>08B</t>
        </is>
      </c>
    </row>
    <row r="10">
      <c r="A10" s="30" t="inlineStr">
        <is>
          <t>Tributos sobre o medido</t>
        </is>
      </c>
      <c r="B10" s="297">
        <f>B9*('02. PARÂMETROS'!$F$6+'02. PARÂMETROS'!$B$7)</f>
        <v>0</v>
      </c>
      <c r="C10" s="24" t="n"/>
      <c r="D10" s="60" t="inlineStr">
        <is>
          <t>ISS da obra (02 F6) + presumido (02 B7)</t>
        </is>
      </c>
    </row>
    <row r="11">
      <c r="A11" s="30" t="inlineStr">
        <is>
          <t>Custo realizado até o corte</t>
        </is>
      </c>
      <c r="B11" s="297">
        <f>'08B. TODAS AS OBRAS'!G5</f>
        <v>0</v>
      </c>
      <c r="C11" s="24" t="n"/>
      <c r="D11" s="60" t="inlineStr">
        <is>
          <t>08. CUSTOS</t>
        </is>
      </c>
    </row>
    <row r="12">
      <c r="A12" s="5" t="inlineStr">
        <is>
          <t>RESULTADO REALIZADO ATÉ O CORTE</t>
        </is>
      </c>
      <c r="B12" s="324" t="str">
        <f>IF(OR(N(B9)=0,N(B11)=0),"SEM BASE",IF(DATA_GESTAO-'08B. TODAS AS OBRAS'!K5&gt;'01A. GESTÃO DA SEMANA'!$C$54,"custo lançado só até "&amp;TEXT(DAY('08B. TODAS AS OBRAS'!K5),"00")&amp;"/"&amp;TEXT(MONTH('08B. TODAS AS OBRAS'!K5),"00")&amp;"/"&amp;RIGHT(YEAR('08B. TODAS AS OBRAS'!K5),2),B9-B10-B11))</f>
        <v>SEM BASE</v>
      </c>
      <c r="C12" s="24" t="n"/>
      <c r="D12" s="60" t="inlineStr">
        <is>
          <t>= medido − tributos − custo</t>
        </is>
      </c>
    </row>
    <row r="13">
      <c r="A13" s="30" t="inlineStr">
        <is>
          <t>Margem realizada sobre o medido</t>
        </is>
      </c>
      <c r="B13" s="320" t="str">
        <f>IF(ISNUMBER(B12),IFERROR(B12/B9,"SEM BASE"),"SEM BASE")</f>
        <v>SEM BASE</v>
      </c>
      <c r="C13" s="24" t="n"/>
      <c r="D13" s="60" t="n"/>
    </row>
    <row r="14">
      <c r="A14" s="30" t="inlineStr">
        <is>
          <t>Administração central sobre o medido (informativo)</t>
        </is>
      </c>
      <c r="B14" s="297">
        <f>B9*'02. PARÂMETROS'!$B$9</f>
        <v>0</v>
      </c>
      <c r="C14" s="24" t="n"/>
      <c r="D14" s="60" t="inlineStr">
        <is>
          <t>02</t>
        </is>
      </c>
    </row>
    <row r="15"/>
    <row r="16">
      <c r="A16" s="10" t="inlineStr">
        <is>
          <t>OBRA 343 — CAESB Subadutora Sobradinho</t>
        </is>
      </c>
      <c r="B16" s="11" t="n"/>
      <c r="C16" s="11" t="n"/>
      <c r="D16" s="11" t="n"/>
    </row>
    <row r="17" ht="30" customHeight="1" s="71">
      <c r="A17" s="23" t="inlineStr">
        <is>
          <t>LINHA</t>
        </is>
      </c>
      <c r="B17" s="23" t="inlineStr">
        <is>
          <t>VALOR</t>
        </is>
      </c>
      <c r="C17" s="23" t="n"/>
      <c r="D17" s="23" t="inlineStr">
        <is>
          <t>COMO FOI CALCULADO</t>
        </is>
      </c>
    </row>
    <row r="18">
      <c r="A18" s="30" t="inlineStr">
        <is>
          <t>Valor do contrato</t>
        </is>
      </c>
      <c r="B18" s="297">
        <f>'03. CONTRATOS'!$D$8</f>
        <v>5226634.03</v>
      </c>
      <c r="C18" s="24" t="n"/>
      <c r="D18" s="60" t="inlineStr">
        <is>
          <t>03. CONTRATOS</t>
        </is>
      </c>
    </row>
    <row r="19">
      <c r="A19" s="30" t="inlineStr">
        <is>
          <t>Custo total previsto (motor)</t>
        </is>
      </c>
      <c r="B19" s="297">
        <f>'04. PLANO DAS OBRAS'!D30</f>
        <v>3702036.00044884</v>
      </c>
      <c r="C19" s="24" t="n"/>
      <c r="D19" s="60" t="inlineStr">
        <is>
          <t>04. PLANO, resultado previsto</t>
        </is>
      </c>
    </row>
    <row r="20">
      <c r="A20" s="5" t="inlineStr">
        <is>
          <t>Resultado previsto (motor, antes da adm. central)</t>
        </is>
      </c>
      <c r="B20" s="297">
        <f>'04. PLANO DAS OBRAS'!D31</f>
        <v>1080334.13700116</v>
      </c>
      <c r="C20" s="24" t="n"/>
      <c r="D20" s="60" t="inlineStr">
        <is>
          <t>04. PLANO</t>
        </is>
      </c>
    </row>
    <row r="21">
      <c r="A21" s="30" t="inlineStr">
        <is>
          <t>Medido até o corte</t>
        </is>
      </c>
      <c r="B21" s="297">
        <f>'08B. TODAS AS OBRAS'!C6</f>
        <v>0</v>
      </c>
      <c r="C21" s="24" t="n"/>
      <c r="D21" s="60" t="inlineStr">
        <is>
          <t>08B</t>
        </is>
      </c>
    </row>
    <row r="22">
      <c r="A22" s="30" t="inlineStr">
        <is>
          <t>Tributos sobre o medido</t>
        </is>
      </c>
      <c r="B22" s="297">
        <f>B21*('02. PARÂMETROS'!$G$6+'02. PARÂMETROS'!$B$7)</f>
        <v>0</v>
      </c>
      <c r="C22" s="24" t="n"/>
      <c r="D22" s="60" t="inlineStr">
        <is>
          <t>ISS da obra (02 G6) + presumido (02 B7)</t>
        </is>
      </c>
    </row>
    <row r="23">
      <c r="A23" s="30" t="inlineStr">
        <is>
          <t>Custo realizado até o corte</t>
        </is>
      </c>
      <c r="B23" s="297">
        <f>'08B. TODAS AS OBRAS'!G6</f>
        <v>0</v>
      </c>
      <c r="C23" s="24" t="n"/>
      <c r="D23" s="60" t="inlineStr">
        <is>
          <t>08. CUSTOS</t>
        </is>
      </c>
    </row>
    <row r="24">
      <c r="A24" s="5" t="inlineStr">
        <is>
          <t>RESULTADO REALIZADO ATÉ O CORTE</t>
        </is>
      </c>
      <c r="B24" s="324" t="str">
        <f>IF(OR(N(B21)=0,N(B23)=0),"SEM BASE",IF(DATA_GESTAO-'08B. TODAS AS OBRAS'!K6&gt;'01A. GESTÃO DA SEMANA'!$C$54,"custo lançado só até "&amp;TEXT(DAY('08B. TODAS AS OBRAS'!K6),"00")&amp;"/"&amp;TEXT(MONTH('08B. TODAS AS OBRAS'!K6),"00")&amp;"/"&amp;RIGHT(YEAR('08B. TODAS AS OBRAS'!K6),2),B21-B22-B23))</f>
        <v>SEM BASE</v>
      </c>
      <c r="C24" s="24" t="n"/>
      <c r="D24" s="60" t="inlineStr">
        <is>
          <t>= medido − tributos − custo</t>
        </is>
      </c>
    </row>
    <row r="25">
      <c r="A25" s="30" t="inlineStr">
        <is>
          <t>Margem realizada sobre o medido</t>
        </is>
      </c>
      <c r="B25" s="320" t="str">
        <f>IF(ISNUMBER(B24),IFERROR(B24/B21,"SEM BASE"),"SEM BASE")</f>
        <v>SEM BASE</v>
      </c>
      <c r="C25" s="24" t="n"/>
      <c r="D25" s="60" t="n"/>
    </row>
    <row r="26">
      <c r="A26" s="30" t="inlineStr">
        <is>
          <t>Administração central sobre o medido (informativo)</t>
        </is>
      </c>
      <c r="B26" s="297">
        <f>B21*'02. PARÂMETROS'!$B$9</f>
        <v>0</v>
      </c>
      <c r="C26" s="24" t="n"/>
      <c r="D26" s="60" t="inlineStr">
        <is>
          <t>02</t>
        </is>
      </c>
    </row>
    <row r="27"/>
    <row r="28">
      <c r="A28" s="10" t="inlineStr">
        <is>
          <t>OBRA 281 — SANEAGO Mozarlândia (consórcio TAF TECNOBOMBAS)</t>
        </is>
      </c>
      <c r="B28" s="11" t="n"/>
      <c r="C28" s="11" t="n"/>
      <c r="D28" s="11" t="n"/>
    </row>
    <row r="29">
      <c r="A29" s="23" t="inlineStr">
        <is>
          <t>LINHA</t>
        </is>
      </c>
      <c r="B29" s="23" t="inlineStr">
        <is>
          <t>VALOR</t>
        </is>
      </c>
      <c r="C29" s="23" t="n"/>
      <c r="D29" s="23" t="inlineStr">
        <is>
          <t>COMO FOI CALCULADO</t>
        </is>
      </c>
    </row>
    <row r="30">
      <c r="A30" s="30" t="inlineStr">
        <is>
          <t>Valor do contrato</t>
        </is>
      </c>
      <c r="B30" s="297">
        <f>'03. CONTRATOS'!$F$8</f>
        <v>17120015.74</v>
      </c>
      <c r="C30" s="24" t="n"/>
      <c r="D30" s="60" t="inlineStr">
        <is>
          <t>03. CONTRATOS</t>
        </is>
      </c>
    </row>
    <row r="31">
      <c r="A31" s="30" t="inlineStr">
        <is>
          <t>Custo total previsto (motor)</t>
        </is>
      </c>
      <c r="B31" s="297" t="str">
        <f>IF(N('04. PLANO DAS OBRAS'!E30)=0,"sem orçamento de custo",'04. PLANO DAS OBRAS'!E30)</f>
        <v>sem orçamento de custo</v>
      </c>
      <c r="C31" s="24" t="n"/>
      <c r="D31" s="60" t="inlineStr">
        <is>
          <t>04. PLANO, resultado previsto (281 sem orçamento de custo)</t>
        </is>
      </c>
    </row>
    <row r="32">
      <c r="A32" s="5" t="inlineStr">
        <is>
          <t>Resultado previsto (motor, antes da adm. central)</t>
        </is>
      </c>
      <c r="B32" s="297">
        <f>'04. PLANO DAS OBRAS'!E31</f>
      </c>
      <c r="C32" s="24" t="n"/>
      <c r="D32" s="60" t="inlineStr">
        <is>
          <t>04. PLANO</t>
        </is>
      </c>
    </row>
    <row r="33">
      <c r="A33" s="30" t="inlineStr">
        <is>
          <t>Medido até o corte</t>
        </is>
      </c>
      <c r="B33" s="297">
        <f>'08B. TODAS AS OBRAS'!C7</f>
        <v>5719898.31</v>
      </c>
      <c r="C33" s="24" t="n"/>
      <c r="D33" s="60" t="inlineStr">
        <is>
          <t>08B</t>
        </is>
      </c>
    </row>
    <row r="34">
      <c r="A34" s="30" t="inlineStr">
        <is>
          <t>Tributos sobre o medido (nota da TECNOBOMBAS, 03 F21)</t>
        </is>
      </c>
      <c r="B34" s="297">
        <f>B33*('02. PARÂMETROS'!$H$6+'02. PARÂMETROS'!$B$7)</f>
        <v>486191.35635</v>
      </c>
      <c r="C34" s="24" t="n"/>
      <c r="D34" s="60" t="inlineStr">
        <is>
          <t>ISS da obra (02 H6) + presumido (02 B7)</t>
        </is>
      </c>
    </row>
    <row r="35">
      <c r="A35" s="30" t="inlineStr">
        <is>
          <t>Custo realizado até o corte</t>
        </is>
      </c>
      <c r="B35" s="297">
        <f>'08B. TODAS AS OBRAS'!G7</f>
        <v>1103553.37</v>
      </c>
      <c r="C35" s="24" t="n"/>
      <c r="D35" s="60" t="inlineStr">
        <is>
          <t>08. CUSTOS</t>
        </is>
      </c>
    </row>
    <row r="36">
      <c r="A36" s="5" t="inlineStr">
        <is>
          <t>RESULTADO REALIZADO DO CONSÓRCIO ATÉ O CORTE (100%)</t>
        </is>
      </c>
      <c r="B36" s="324" t="str">
        <f>IF(DATA_GESTAO-'08B. TODAS AS OBRAS'!K7&gt;'01A. GESTÃO DA SEMANA'!$C$54,"custo lançado só até "&amp;TEXT(DAY('08B. TODAS AS OBRAS'!K7),"00")&amp;"/"&amp;TEXT(MONTH('08B. TODAS AS OBRAS'!K7),"00")&amp;"/"&amp;RIGHT(YEAR('08B. TODAS AS OBRAS'!K7),2),B33-B34-B35)</f>
        <v>custo lançado só até 30/05/26</v>
      </c>
      <c r="C36" s="24" t="n"/>
      <c r="D36" s="60" t="inlineStr">
        <is>
          <t>medido − tributos − custo; texto quando o custo lançado está atrasado (01A, C54)</t>
        </is>
      </c>
    </row>
    <row r="37">
      <c r="A37" s="30" t="inlineStr">
        <is>
          <t>Margem realizada sobre o medido</t>
        </is>
      </c>
      <c r="B37" s="320" t="str">
        <f>IF(ISNUMBER(B36),IFERROR(B36/B33,0),"SEM BASE")</f>
        <v>SEM BASE</v>
      </c>
      <c r="C37" s="24" t="n"/>
      <c r="D37" s="60" t="n"/>
    </row>
    <row r="38">
      <c r="A38" s="30" t="inlineStr">
        <is>
          <t>Administração central da TAF sobre a parte dela (informativo)</t>
        </is>
      </c>
      <c r="B38" s="297" t="str">
        <f>IF($B$39&lt;&gt;"SIM","SEM BASE",B33*'03. CONTRATOS'!$F$22*'02. PARÂMETROS'!$B$9)</f>
        <v>SEM BASE</v>
      </c>
      <c r="C38" s="24" t="n"/>
      <c r="D38" s="60" t="inlineStr">
        <is>
          <t>02 B9 × parte da TAF (03 F22), só com o termo</t>
        </is>
      </c>
    </row>
    <row r="39">
      <c r="A39" s="30" t="inlineStr">
        <is>
          <t>Termo do consórcio recebido? (SIM ou NÃO; Thadeu envia)</t>
        </is>
      </c>
      <c r="B39" s="321" t="inlineStr">
        <is>
          <t>NÃO</t>
        </is>
      </c>
      <c r="D39" s="60" t="inlineStr">
        <is>
          <t>03 F22 e G22</t>
        </is>
      </c>
    </row>
    <row r="40">
      <c r="A40" s="5" t="inlineStr">
        <is>
          <t>RESULTADO DA TAF NA 281 (parte dela no resultado do consórcio)</t>
        </is>
      </c>
      <c r="B40" s="324" t="str">
        <f>IF(B39&lt;&gt;"SIM","SEM BASE",IF(ISNUMBER(B36),B36*'03. CONTRATOS'!$F$22,B36))</f>
        <v>SEM BASE</v>
      </c>
      <c r="D40" s="60" t="inlineStr">
        <is>
          <t>B36 × parte da TAF (03 F22), só com o termo</t>
        </is>
      </c>
    </row>
    <row r="41">
      <c r="A41" s="30" t="inlineStr">
        <is>
          <t>Reajuste de BM aprovado sem NF (estimativa, 100% do consórcio)</t>
        </is>
      </c>
      <c r="B41" s="297">
        <f>IF(COUNT('07. FATURAMENTO E RECEBIMENTO'!$S$5:$S$44)=0,"SEM BASE",SUM('07. FATURAMENTO E RECEBIMENTO'!$S$5:$S$44))</f>
        <v>538031.932485096</v>
      </c>
      <c r="D41" s="60" t="inlineStr">
        <is>
          <t>07, coluna S (BM aprovado × % da NF 403)</t>
        </is>
      </c>
    </row>
  </sheetData>
  <conditionalFormatting sqref="B38:B41">
    <cfRule type="cellIs" priority="1" operator="equal" dxfId="24">
      <formula>"VERDE"</formula>
    </cfRule>
    <cfRule type="cellIs" priority="2" operator="equal" dxfId="27">
      <formula>"AMARELO"</formula>
    </cfRule>
    <cfRule type="cellIs" priority="3" operator="equal" dxfId="23">
      <formula>"VERMELHO"</formula>
    </cfRule>
    <cfRule type="cellIs" priority="4" operator="equal" dxfId="26">
      <formula>"SEM BASE"</formula>
    </cfRule>
  </conditionalFormatting>
  <dataValidations count="1">
    <dataValidation sqref="B39" showDropDown="0" showInputMessage="0" showErrorMessage="0" allowBlank="1" type="list">
      <formula1>"SIM,NÃO"</formula1>
    </dataValidation>
  </dataValidations>
  <hyperlinks>
    <hyperlink ref="G1" location="'00A. MENU'!A1" display="◀ MENU"/>
  </hyperlinks>
  <pageMargins left="0.75" right="0.75" top="1" bottom="1" header="0.5" footer="0.5"/>
  <pageSetup orientation="landscape" fitToHeight="0"/>
</worksheet>
</file>

<file path=xl/worksheets/sheet28.xml><?xml version="1.0" encoding="utf-8"?>
<worksheet xmlns="http://schemas.openxmlformats.org/spreadsheetml/2006/main">
  <sheetPr>
    <tabColor rgb="FFA6A6A6"/>
    <outlinePr summaryBelow="1" summaryRight="1"/>
    <pageSetUpPr fitToPage="1"/>
  </sheetPr>
  <dimension ref="A1:S2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style="71" min="1" max="1"/>
    <col width="46" customWidth="1" style="71" min="2" max="2"/>
    <col width="12" customWidth="1" style="71" min="3" max="18"/>
    <col width="12" customWidth="1" style="71" min="4" max="4"/>
    <col width="12" customWidth="1" style="71" min="5" max="5"/>
    <col width="12" customWidth="1" style="71" min="6" max="6"/>
    <col width="12" customWidth="1" style="71" min="7" max="7"/>
    <col width="12" customWidth="1" style="71" min="8" max="8"/>
    <col width="12" customWidth="1" style="71" min="9" max="9"/>
    <col width="12" customWidth="1" style="71" min="10" max="10"/>
    <col width="12" customWidth="1" style="71" min="11" max="11"/>
    <col width="12" customWidth="1" style="71" min="12" max="12"/>
    <col width="12" customWidth="1" style="71" min="13" max="13"/>
    <col width="12" customWidth="1" style="71" min="14" max="14"/>
    <col width="12" customWidth="1" style="71" min="15" max="15"/>
    <col width="12" customWidth="1" style="71" min="16" max="16"/>
    <col width="12" customWidth="1" style="71" min="17" max="17"/>
    <col width="12" customWidth="1" style="71" min="18" max="18"/>
    <col width="12" customWidth="1" style="71" min="19" max="19"/>
  </cols>
  <sheetData>
    <row r="1" ht="26.1" customHeight="1" s="71">
      <c r="A1" s="1" t="inlineStr">
        <is>
          <t>10. CAIXA — previsto pelo motor × realizado, as duas obras juntas</t>
        </is>
      </c>
      <c r="B1" s="2" t="n"/>
      <c r="C1" s="2" t="n"/>
      <c r="D1" s="2" t="n"/>
      <c r="E1" s="2" t="n"/>
      <c r="F1" s="2" t="n"/>
      <c r="G1" s="2" t="n"/>
      <c r="H1" s="2" t="n"/>
      <c r="I1" s="2" t="n"/>
      <c r="J1" s="2" t="n"/>
      <c r="K1" s="2" t="n"/>
      <c r="L1" s="2" t="n"/>
      <c r="M1" s="2" t="n"/>
      <c r="N1" s="2" t="n"/>
      <c r="O1" s="2" t="n"/>
      <c r="P1" s="2" t="n"/>
      <c r="Q1" s="2" t="n"/>
      <c r="R1" s="2" t="n"/>
      <c r="S1" s="3" t="inlineStr">
        <is>
          <t>◀ MENU</t>
        </is>
      </c>
    </row>
    <row r="2">
      <c r="A2" s="4" t="inlineStr">
        <is>
          <t>Previsto: entradas líquidas de tributos (FLUXO, linha 70) e saídas do plano (04) da 342 e da 343, mais administração central, aportes na 281 e juro (linhas 25 a 28). Realizado: recebimentos (07) e custos pagos (08) da 342 e da 343, mais aportes e repasses da TAF na 281 (08D).</t>
        </is>
      </c>
    </row>
    <row r="3">
      <c r="C3" s="62" t="n">
        <v>46266</v>
      </c>
      <c r="D3" s="62" t="n">
        <v>46296</v>
      </c>
      <c r="E3" s="62" t="n">
        <v>46327</v>
      </c>
      <c r="F3" s="62" t="n">
        <v>46357</v>
      </c>
      <c r="G3" s="62" t="n">
        <v>46388</v>
      </c>
      <c r="H3" s="62" t="n">
        <v>46419</v>
      </c>
      <c r="I3" s="62" t="n">
        <v>46447</v>
      </c>
      <c r="J3" s="62" t="n">
        <v>46478</v>
      </c>
      <c r="K3" s="62" t="n">
        <v>46508</v>
      </c>
      <c r="L3" s="62" t="n">
        <v>46539</v>
      </c>
      <c r="M3" s="62" t="n">
        <v>46569</v>
      </c>
      <c r="N3" s="62" t="n">
        <v>46600</v>
      </c>
      <c r="O3" s="62" t="n">
        <v>46631</v>
      </c>
      <c r="P3" s="62" t="n">
        <v>46661</v>
      </c>
      <c r="Q3" s="62" t="n">
        <v>46692</v>
      </c>
      <c r="R3" s="62" t="n">
        <v>46722</v>
      </c>
    </row>
    <row r="4" ht="30" customHeight="1" s="71">
      <c r="A4" s="23" t="n"/>
      <c r="B4" s="23" t="inlineStr">
        <is>
          <t>LINHA</t>
        </is>
      </c>
      <c r="C4" s="23" t="inlineStr">
        <is>
          <t>set/26</t>
        </is>
      </c>
      <c r="D4" s="23" t="inlineStr">
        <is>
          <t>out/26</t>
        </is>
      </c>
      <c r="E4" s="23" t="inlineStr">
        <is>
          <t>nov/26</t>
        </is>
      </c>
      <c r="F4" s="23" t="inlineStr">
        <is>
          <t>dez/26</t>
        </is>
      </c>
      <c r="G4" s="23" t="inlineStr">
        <is>
          <t>jan/27</t>
        </is>
      </c>
      <c r="H4" s="23" t="inlineStr">
        <is>
          <t>fev/27</t>
        </is>
      </c>
      <c r="I4" s="23" t="inlineStr">
        <is>
          <t>mar/27</t>
        </is>
      </c>
      <c r="J4" s="23" t="inlineStr">
        <is>
          <t>abr/27</t>
        </is>
      </c>
      <c r="K4" s="23" t="inlineStr">
        <is>
          <t>mai/27</t>
        </is>
      </c>
      <c r="L4" s="23" t="inlineStr">
        <is>
          <t>jun/27</t>
        </is>
      </c>
      <c r="M4" s="23" t="inlineStr">
        <is>
          <t>jul/27</t>
        </is>
      </c>
      <c r="N4" s="23" t="inlineStr">
        <is>
          <t>ago/27</t>
        </is>
      </c>
      <c r="O4" s="23" t="inlineStr">
        <is>
          <t>set/27</t>
        </is>
      </c>
      <c r="P4" s="23" t="inlineStr">
        <is>
          <t>out/27</t>
        </is>
      </c>
      <c r="Q4" s="23" t="inlineStr">
        <is>
          <t>nov/27</t>
        </is>
      </c>
      <c r="R4" s="23" t="inlineStr">
        <is>
          <t>dez/27</t>
        </is>
      </c>
    </row>
    <row r="5">
      <c r="B5" s="30" t="inlineStr">
        <is>
          <t>Entradas previstas 342 + 343 (líquidas de tributos, FLUXO linha 70)</t>
        </is>
      </c>
      <c r="C5" s="297">
        <f>'FLUXO PROJETADO TAF'!C70</f>
        <v>0</v>
      </c>
      <c r="D5" s="297">
        <f>'FLUXO PROJETADO TAF'!D70</f>
        <v>0</v>
      </c>
      <c r="E5" s="297">
        <f>'FLUXO PROJETADO TAF'!E70</f>
        <v>0</v>
      </c>
      <c r="F5" s="297">
        <f>'FLUXO PROJETADO TAF'!F70</f>
        <v>2065907.6424</v>
      </c>
      <c r="G5" s="297">
        <f>'FLUXO PROJETADO TAF'!G70</f>
        <v>0</v>
      </c>
      <c r="H5" s="297">
        <f>'FLUXO PROJETADO TAF'!H70</f>
        <v>663501.9654</v>
      </c>
      <c r="I5" s="297">
        <f>'FLUXO PROJETADO TAF'!I70</f>
        <v>1863091.14885</v>
      </c>
      <c r="J5" s="297">
        <f>'FLUXO PROJETADO TAF'!J70</f>
        <v>286581.5319</v>
      </c>
      <c r="K5" s="297">
        <f>'FLUXO PROJETADO TAF'!K70</f>
        <v>1389908.9547</v>
      </c>
      <c r="L5" s="297">
        <f>'FLUXO PROJETADO TAF'!L70</f>
        <v>730065.38805</v>
      </c>
      <c r="M5" s="297">
        <f>'FLUXO PROJETADO TAF'!M70</f>
        <v>660864.2766</v>
      </c>
      <c r="N5" s="297">
        <f>'FLUXO PROJETADO TAF'!N70</f>
        <v>46445.766</v>
      </c>
      <c r="O5" s="297">
        <f>'FLUXO PROJETADO TAF'!O70</f>
        <v>61238.6625</v>
      </c>
      <c r="P5" s="297">
        <f>'FLUXO PROJETADO TAF'!P70</f>
        <v>0</v>
      </c>
      <c r="Q5" s="297">
        <f>'FLUXO PROJETADO TAF'!Q70</f>
        <v>2558.03805</v>
      </c>
      <c r="R5" s="297">
        <f>'FLUXO PROJETADO TAF'!R70</f>
        <v>0</v>
      </c>
    </row>
    <row r="6">
      <c r="B6" s="30" t="inlineStr">
        <is>
          <t>Saídas previstas 342 + 343 (04)</t>
        </is>
      </c>
      <c r="C6" s="297">
        <f>'04. PLANO DAS OBRAS'!C12+'04. PLANO DAS OBRAS'!C24</f>
        <v>55670.76</v>
      </c>
      <c r="D6" s="297">
        <f>'04. PLANO DAS OBRAS'!D12+'04. PLANO DAS OBRAS'!D24</f>
        <v>794498</v>
      </c>
      <c r="E6" s="297">
        <f>'04. PLANO DAS OBRAS'!E12+'04. PLANO DAS OBRAS'!E24</f>
        <v>859795.28</v>
      </c>
      <c r="F6" s="297">
        <f>'04. PLANO DAS OBRAS'!F12+'04. PLANO DAS OBRAS'!F24</f>
        <v>811829.7</v>
      </c>
      <c r="G6" s="297">
        <f>'04. PLANO DAS OBRAS'!G12+'04. PLANO DAS OBRAS'!G24</f>
        <v>869482.92</v>
      </c>
      <c r="H6" s="297">
        <f>'04. PLANO DAS OBRAS'!H12+'04. PLANO DAS OBRAS'!H24</f>
        <v>593454.29</v>
      </c>
      <c r="I6" s="297">
        <f>'04. PLANO DAS OBRAS'!I12+'04. PLANO DAS OBRAS'!I24</f>
        <v>686692.88</v>
      </c>
      <c r="J6" s="297">
        <f>'04. PLANO DAS OBRAS'!J12+'04. PLANO DAS OBRAS'!J24</f>
        <v>554799.79</v>
      </c>
      <c r="K6" s="297">
        <f>'04. PLANO DAS OBRAS'!K12+'04. PLANO DAS OBRAS'!K24</f>
        <v>854835.72</v>
      </c>
      <c r="L6" s="297">
        <f>'04. PLANO DAS OBRAS'!L12+'04. PLANO DAS OBRAS'!L24</f>
        <v>292769.23</v>
      </c>
      <c r="M6" s="297">
        <f>'04. PLANO DAS OBRAS'!M12+'04. PLANO DAS OBRAS'!M24</f>
        <v>237629.3</v>
      </c>
      <c r="N6" s="297">
        <f>'04. PLANO DAS OBRAS'!N12+'04. PLANO DAS OBRAS'!N24</f>
        <v>163887.89</v>
      </c>
      <c r="O6" s="297">
        <f>'04. PLANO DAS OBRAS'!O12+'04. PLANO DAS OBRAS'!O24</f>
        <v>42731.16</v>
      </c>
      <c r="P6" s="297">
        <f>'04. PLANO DAS OBRAS'!P12+'04. PLANO DAS OBRAS'!P24</f>
        <v>0</v>
      </c>
      <c r="Q6" s="297">
        <f>'04. PLANO DAS OBRAS'!Q12+'04. PLANO DAS OBRAS'!Q24</f>
        <v>0</v>
      </c>
      <c r="R6" s="297">
        <f>'04. PLANO DAS OBRAS'!R12+'04. PLANO DAS OBRAS'!R24</f>
        <v>0</v>
      </c>
    </row>
    <row r="7">
      <c r="B7" s="30" t="inlineStr">
        <is>
          <t>Saldo previsto do mês (com as linhas 25, 27 e 28)</t>
        </is>
      </c>
      <c r="C7" s="315">
        <f>C5-C6+N(C25)-N(C27)+C28</f>
        <v>-55670.76</v>
      </c>
      <c r="D7" s="315">
        <f>D5-D6+N(D25)-N(D27)+D28</f>
        <v>-795333.0614</v>
      </c>
      <c r="E7" s="315">
        <f>E5-E6+N(E25)-N(E27)+E28</f>
        <v>-872560.337321</v>
      </c>
      <c r="F7" s="315">
        <f>F5-F6+N(F25)-N(F27)+F28</f>
        <v>1228224.48001919</v>
      </c>
      <c r="G7" s="315">
        <f>G5-G6+N(G25)-N(G27)+G28</f>
        <v>-876913.015180527</v>
      </c>
      <c r="H7" s="315">
        <f>H5-H6+N(H25)-N(H27)+H28</f>
        <v>49463.8849917649</v>
      </c>
      <c r="I7" s="315">
        <f>I5-I6+N(I25)-N(I27)+I28</f>
        <v>1156556.43671664</v>
      </c>
      <c r="J7" s="315">
        <f>J5-J6+N(J25)-N(J27)+J28</f>
        <v>-270711.743682609</v>
      </c>
      <c r="K7" s="315">
        <f>K5-K6+N(K25)-N(K27)+K28</f>
        <v>528519.072962152</v>
      </c>
      <c r="L7" s="315">
        <f>L5-L6+N(L25)-N(L27)+L28</f>
        <v>437296.15805</v>
      </c>
      <c r="M7" s="315">
        <f>M5-M6+N(M25)-N(M27)+M28</f>
        <v>423234.9766</v>
      </c>
      <c r="N7" s="315">
        <f>N5-N6+N(N25)-N(N27)+N28</f>
        <v>-117442.124</v>
      </c>
      <c r="O7" s="315">
        <f>O5-O6+N(O25)-N(O27)+O28</f>
        <v>18507.5025</v>
      </c>
      <c r="P7" s="315">
        <f>P5-P6+N(P25)-N(P27)+P28</f>
        <v>0</v>
      </c>
      <c r="Q7" s="315">
        <f>Q5-Q6+N(Q25)-N(Q27)+Q28</f>
        <v>2558.03805</v>
      </c>
      <c r="R7" s="315">
        <f>R5-R6+N(R25)-N(R27)+R28</f>
        <v>0</v>
      </c>
    </row>
    <row r="8">
      <c r="B8" s="5" t="inlineStr">
        <is>
          <t>ACUMULADO PREVISTO (recomeça do banco, linha 21)</t>
        </is>
      </c>
      <c r="C8" s="324">
        <f>IF(AND(ISNUMBER($C$21),ISNUMBER($D$21)),IF(C$3&lt;EOMONTH($D$21,-1)+1,"antes do extrato",IF(C$3&lt;EOMONTH($D$21,0)+1,$C$21,$C$21+C7)),C7)</f>
        <v>-55670.76</v>
      </c>
      <c r="D8" s="324">
        <f>IF(AND(ISNUMBER($C$21),ISNUMBER($D$21)),IF(D$3&lt;EOMONTH($D$21,-1)+1,"antes do extrato",IF(D$3&lt;EOMONTH($D$21,0)+1,$C$21,IF(ISNUMBER(C8),C8,$C$21)+D7)),C8+D7)</f>
        <v>-851003.8214</v>
      </c>
      <c r="E8" s="324">
        <f>IF(AND(ISNUMBER($C$21),ISNUMBER($D$21)),IF(E$3&lt;EOMONTH($D$21,-1)+1,"antes do extrato",IF(E$3&lt;EOMONTH($D$21,0)+1,$C$21,IF(ISNUMBER(D8),D8,$C$21)+E7)),D8+E7)</f>
        <v>-1723564.158721</v>
      </c>
      <c r="F8" s="324">
        <f>IF(AND(ISNUMBER($C$21),ISNUMBER($D$21)),IF(F$3&lt;EOMONTH($D$21,-1)+1,"antes do extrato",IF(F$3&lt;EOMONTH($D$21,0)+1,$C$21,IF(ISNUMBER(E8),E8,$C$21)+F7)),E8+F7)</f>
        <v>-495339.678701815</v>
      </c>
      <c r="G8" s="324">
        <f>IF(AND(ISNUMBER($C$21),ISNUMBER($D$21)),IF(G$3&lt;EOMONTH($D$21,-1)+1,"antes do extrato",IF(G$3&lt;EOMONTH($D$21,0)+1,$C$21,IF(ISNUMBER(F8),F8,$C$21)+G7)),F8+G7)</f>
        <v>-1372252.69388234</v>
      </c>
      <c r="H8" s="324">
        <f>IF(AND(ISNUMBER($C$21),ISNUMBER($D$21)),IF(H$3&lt;EOMONTH($D$21,-1)+1,"antes do extrato",IF(H$3&lt;EOMONTH($D$21,0)+1,$C$21,IF(ISNUMBER(G8),G8,$C$21)+H7)),G8+H7)</f>
        <v>-1322788.80889058</v>
      </c>
      <c r="I8" s="324">
        <f>IF(AND(ISNUMBER($C$21),ISNUMBER($D$21)),IF(I$3&lt;EOMONTH($D$21,-1)+1,"antes do extrato",IF(I$3&lt;EOMONTH($D$21,0)+1,$C$21,IF(ISNUMBER(H8),H8,$C$21)+I7)),H8+I7)</f>
        <v>-166232.372173935</v>
      </c>
      <c r="J8" s="324">
        <f>IF(AND(ISNUMBER($C$21),ISNUMBER($D$21)),IF(J$3&lt;EOMONTH($D$21,-1)+1,"antes do extrato",IF(J$3&lt;EOMONTH($D$21,0)+1,$C$21,IF(ISNUMBER(I8),I8,$C$21)+J7)),I8+J7)</f>
        <v>-436944.115856544</v>
      </c>
      <c r="K8" s="324">
        <f>IF(AND(ISNUMBER($C$21),ISNUMBER($D$21)),IF(K$3&lt;EOMONTH($D$21,-1)+1,"antes do extrato",IF(K$3&lt;EOMONTH($D$21,0)+1,$C$21,IF(ISNUMBER(J8),J8,$C$21)+K7)),J8+K7)</f>
        <v>91574.9571056073</v>
      </c>
      <c r="L8" s="324">
        <f>IF(AND(ISNUMBER($C$21),ISNUMBER($D$21)),IF(L$3&lt;EOMONTH($D$21,-1)+1,"antes do extrato",IF(L$3&lt;EOMONTH($D$21,0)+1,$C$21,IF(ISNUMBER(K8),K8,$C$21)+L7)),K8+L7)</f>
        <v>528871.115155607</v>
      </c>
      <c r="M8" s="324">
        <f>IF(AND(ISNUMBER($C$21),ISNUMBER($D$21)),IF(M$3&lt;EOMONTH($D$21,-1)+1,"antes do extrato",IF(M$3&lt;EOMONTH($D$21,0)+1,$C$21,IF(ISNUMBER(L8),L8,$C$21)+M7)),L8+M7)</f>
        <v>952106.091755607</v>
      </c>
      <c r="N8" s="324">
        <f>IF(AND(ISNUMBER($C$21),ISNUMBER($D$21)),IF(N$3&lt;EOMONTH($D$21,-1)+1,"antes do extrato",IF(N$3&lt;EOMONTH($D$21,0)+1,$C$21,IF(ISNUMBER(M8),M8,$C$21)+N7)),M8+N7)</f>
        <v>834663.967755607</v>
      </c>
      <c r="O8" s="324">
        <f>IF(AND(ISNUMBER($C$21),ISNUMBER($D$21)),IF(O$3&lt;EOMONTH($D$21,-1)+1,"antes do extrato",IF(O$3&lt;EOMONTH($D$21,0)+1,$C$21,IF(ISNUMBER(N8),N8,$C$21)+O7)),N8+O7)</f>
        <v>853171.470255607</v>
      </c>
      <c r="P8" s="324">
        <f>IF(AND(ISNUMBER($C$21),ISNUMBER($D$21)),IF(P$3&lt;EOMONTH($D$21,-1)+1,"antes do extrato",IF(P$3&lt;EOMONTH($D$21,0)+1,$C$21,IF(ISNUMBER(O8),O8,$C$21)+P7)),O8+P7)</f>
        <v>853171.470255607</v>
      </c>
      <c r="Q8" s="324">
        <f>IF(AND(ISNUMBER($C$21),ISNUMBER($D$21)),IF(Q$3&lt;EOMONTH($D$21,-1)+1,"antes do extrato",IF(Q$3&lt;EOMONTH($D$21,0)+1,$C$21,IF(ISNUMBER(P8),P8,$C$21)+Q7)),P8+Q7)</f>
        <v>855729.508305607</v>
      </c>
      <c r="R8" s="324">
        <f>IF(AND(ISNUMBER($C$21),ISNUMBER($D$21)),IF(R$3&lt;EOMONTH($D$21,-1)+1,"antes do extrato",IF(R$3&lt;EOMONTH($D$21,0)+1,$C$21,IF(ISNUMBER(Q8),Q8,$C$21)+R7)),Q8+R7)</f>
        <v>855729.508305607</v>
      </c>
    </row>
    <row r="9"/>
    <row r="10">
      <c r="B10" s="30" t="inlineStr">
        <is>
          <t>Entradas realizadas (07 da 342 e da 343; repasses da 281, 08D)</t>
        </is>
      </c>
      <c r="C10" s="315">
        <f>SUM(SUMIFS('07. FATURAMENTO E RECEBIMENTO'!$L$5:$L$44,'07. FATURAMENTO E RECEBIMENTO'!$K$5:$K$44,"&gt;="&amp;C$3,'07. FATURAMENTO E RECEBIMENTO'!$K$5:$K$44,"&lt;"&amp;EDATE(C$3,1),'07. FATURAMENTO E RECEBIMENTO'!$B$5:$B$44,{"342","343"}))+SUMIFS('08D. LANÇAMENTOS 281'!$I$4:$I$603,'08D. LANÇAMENTOS 281'!$B$4:$B$603,"REPASSE",'08D. LANÇAMENTOS 281'!$F$4:$F$603,"TAF*",'08D. LANÇAMENTOS 281'!$D$4:$D$603,"&gt;="&amp;C$3,'08D. LANÇAMENTOS 281'!$D$4:$D$603,"&lt;"&amp;EDATE(C$3,1))</f>
        <v>0</v>
      </c>
      <c r="D10" s="315">
        <f>SUM(SUMIFS('07. FATURAMENTO E RECEBIMENTO'!$L$5:$L$44,'07. FATURAMENTO E RECEBIMENTO'!$K$5:$K$44,"&gt;="&amp;D$3,'07. FATURAMENTO E RECEBIMENTO'!$K$5:$K$44,"&lt;"&amp;EDATE(D$3,1),'07. FATURAMENTO E RECEBIMENTO'!$B$5:$B$44,{"342","343"}))+SUMIFS('08D. LANÇAMENTOS 281'!$I$4:$I$603,'08D. LANÇAMENTOS 281'!$B$4:$B$603,"REPASSE",'08D. LANÇAMENTOS 281'!$F$4:$F$603,"TAF*",'08D. LANÇAMENTOS 281'!$D$4:$D$603,"&gt;="&amp;D$3,'08D. LANÇAMENTOS 281'!$D$4:$D$603,"&lt;"&amp;EDATE(D$3,1))</f>
        <v>0</v>
      </c>
      <c r="E10" s="315">
        <f>SUM(SUMIFS('07. FATURAMENTO E RECEBIMENTO'!$L$5:$L$44,'07. FATURAMENTO E RECEBIMENTO'!$K$5:$K$44,"&gt;="&amp;E$3,'07. FATURAMENTO E RECEBIMENTO'!$K$5:$K$44,"&lt;"&amp;EDATE(E$3,1),'07. FATURAMENTO E RECEBIMENTO'!$B$5:$B$44,{"342","343"}))+SUMIFS('08D. LANÇAMENTOS 281'!$I$4:$I$603,'08D. LANÇAMENTOS 281'!$B$4:$B$603,"REPASSE",'08D. LANÇAMENTOS 281'!$F$4:$F$603,"TAF*",'08D. LANÇAMENTOS 281'!$D$4:$D$603,"&gt;="&amp;E$3,'08D. LANÇAMENTOS 281'!$D$4:$D$603,"&lt;"&amp;EDATE(E$3,1))</f>
        <v>0</v>
      </c>
      <c r="F10" s="315">
        <f>SUM(SUMIFS('07. FATURAMENTO E RECEBIMENTO'!$L$5:$L$44,'07. FATURAMENTO E RECEBIMENTO'!$K$5:$K$44,"&gt;="&amp;F$3,'07. FATURAMENTO E RECEBIMENTO'!$K$5:$K$44,"&lt;"&amp;EDATE(F$3,1),'07. FATURAMENTO E RECEBIMENTO'!$B$5:$B$44,{"342","343"}))+SUMIFS('08D. LANÇAMENTOS 281'!$I$4:$I$603,'08D. LANÇAMENTOS 281'!$B$4:$B$603,"REPASSE",'08D. LANÇAMENTOS 281'!$F$4:$F$603,"TAF*",'08D. LANÇAMENTOS 281'!$D$4:$D$603,"&gt;="&amp;F$3,'08D. LANÇAMENTOS 281'!$D$4:$D$603,"&lt;"&amp;EDATE(F$3,1))</f>
        <v>0</v>
      </c>
      <c r="G10" s="315">
        <f>SUM(SUMIFS('07. FATURAMENTO E RECEBIMENTO'!$L$5:$L$44,'07. FATURAMENTO E RECEBIMENTO'!$K$5:$K$44,"&gt;="&amp;G$3,'07. FATURAMENTO E RECEBIMENTO'!$K$5:$K$44,"&lt;"&amp;EDATE(G$3,1),'07. FATURAMENTO E RECEBIMENTO'!$B$5:$B$44,{"342","343"}))+SUMIFS('08D. LANÇAMENTOS 281'!$I$4:$I$603,'08D. LANÇAMENTOS 281'!$B$4:$B$603,"REPASSE",'08D. LANÇAMENTOS 281'!$F$4:$F$603,"TAF*",'08D. LANÇAMENTOS 281'!$D$4:$D$603,"&gt;="&amp;G$3,'08D. LANÇAMENTOS 281'!$D$4:$D$603,"&lt;"&amp;EDATE(G$3,1))</f>
        <v>0</v>
      </c>
      <c r="H10" s="315">
        <f>SUM(SUMIFS('07. FATURAMENTO E RECEBIMENTO'!$L$5:$L$44,'07. FATURAMENTO E RECEBIMENTO'!$K$5:$K$44,"&gt;="&amp;H$3,'07. FATURAMENTO E RECEBIMENTO'!$K$5:$K$44,"&lt;"&amp;EDATE(H$3,1),'07. FATURAMENTO E RECEBIMENTO'!$B$5:$B$44,{"342","343"}))+SUMIFS('08D. LANÇAMENTOS 281'!$I$4:$I$603,'08D. LANÇAMENTOS 281'!$B$4:$B$603,"REPASSE",'08D. LANÇAMENTOS 281'!$F$4:$F$603,"TAF*",'08D. LANÇAMENTOS 281'!$D$4:$D$603,"&gt;="&amp;H$3,'08D. LANÇAMENTOS 281'!$D$4:$D$603,"&lt;"&amp;EDATE(H$3,1))</f>
        <v>0</v>
      </c>
      <c r="I10" s="315">
        <f>SUM(SUMIFS('07. FATURAMENTO E RECEBIMENTO'!$L$5:$L$44,'07. FATURAMENTO E RECEBIMENTO'!$K$5:$K$44,"&gt;="&amp;I$3,'07. FATURAMENTO E RECEBIMENTO'!$K$5:$K$44,"&lt;"&amp;EDATE(I$3,1),'07. FATURAMENTO E RECEBIMENTO'!$B$5:$B$44,{"342","343"}))+SUMIFS('08D. LANÇAMENTOS 281'!$I$4:$I$603,'08D. LANÇAMENTOS 281'!$B$4:$B$603,"REPASSE",'08D. LANÇAMENTOS 281'!$F$4:$F$603,"TAF*",'08D. LANÇAMENTOS 281'!$D$4:$D$603,"&gt;="&amp;I$3,'08D. LANÇAMENTOS 281'!$D$4:$D$603,"&lt;"&amp;EDATE(I$3,1))</f>
        <v>0</v>
      </c>
      <c r="J10" s="315">
        <f>SUM(SUMIFS('07. FATURAMENTO E RECEBIMENTO'!$L$5:$L$44,'07. FATURAMENTO E RECEBIMENTO'!$K$5:$K$44,"&gt;="&amp;J$3,'07. FATURAMENTO E RECEBIMENTO'!$K$5:$K$44,"&lt;"&amp;EDATE(J$3,1),'07. FATURAMENTO E RECEBIMENTO'!$B$5:$B$44,{"342","343"}))+SUMIFS('08D. LANÇAMENTOS 281'!$I$4:$I$603,'08D. LANÇAMENTOS 281'!$B$4:$B$603,"REPASSE",'08D. LANÇAMENTOS 281'!$F$4:$F$603,"TAF*",'08D. LANÇAMENTOS 281'!$D$4:$D$603,"&gt;="&amp;J$3,'08D. LANÇAMENTOS 281'!$D$4:$D$603,"&lt;"&amp;EDATE(J$3,1))</f>
        <v>0</v>
      </c>
      <c r="K10" s="315">
        <f>SUM(SUMIFS('07. FATURAMENTO E RECEBIMENTO'!$L$5:$L$44,'07. FATURAMENTO E RECEBIMENTO'!$K$5:$K$44,"&gt;="&amp;K$3,'07. FATURAMENTO E RECEBIMENTO'!$K$5:$K$44,"&lt;"&amp;EDATE(K$3,1),'07. FATURAMENTO E RECEBIMENTO'!$B$5:$B$44,{"342","343"}))+SUMIFS('08D. LANÇAMENTOS 281'!$I$4:$I$603,'08D. LANÇAMENTOS 281'!$B$4:$B$603,"REPASSE",'08D. LANÇAMENTOS 281'!$F$4:$F$603,"TAF*",'08D. LANÇAMENTOS 281'!$D$4:$D$603,"&gt;="&amp;K$3,'08D. LANÇAMENTOS 281'!$D$4:$D$603,"&lt;"&amp;EDATE(K$3,1))</f>
        <v>0</v>
      </c>
      <c r="L10" s="315">
        <f>SUM(SUMIFS('07. FATURAMENTO E RECEBIMENTO'!$L$5:$L$44,'07. FATURAMENTO E RECEBIMENTO'!$K$5:$K$44,"&gt;="&amp;L$3,'07. FATURAMENTO E RECEBIMENTO'!$K$5:$K$44,"&lt;"&amp;EDATE(L$3,1),'07. FATURAMENTO E RECEBIMENTO'!$B$5:$B$44,{"342","343"}))+SUMIFS('08D. LANÇAMENTOS 281'!$I$4:$I$603,'08D. LANÇAMENTOS 281'!$B$4:$B$603,"REPASSE",'08D. LANÇAMENTOS 281'!$F$4:$F$603,"TAF*",'08D. LANÇAMENTOS 281'!$D$4:$D$603,"&gt;="&amp;L$3,'08D. LANÇAMENTOS 281'!$D$4:$D$603,"&lt;"&amp;EDATE(L$3,1))</f>
        <v>0</v>
      </c>
      <c r="M10" s="315">
        <f>SUM(SUMIFS('07. FATURAMENTO E RECEBIMENTO'!$L$5:$L$44,'07. FATURAMENTO E RECEBIMENTO'!$K$5:$K$44,"&gt;="&amp;M$3,'07. FATURAMENTO E RECEBIMENTO'!$K$5:$K$44,"&lt;"&amp;EDATE(M$3,1),'07. FATURAMENTO E RECEBIMENTO'!$B$5:$B$44,{"342","343"}))+SUMIFS('08D. LANÇAMENTOS 281'!$I$4:$I$603,'08D. LANÇAMENTOS 281'!$B$4:$B$603,"REPASSE",'08D. LANÇAMENTOS 281'!$F$4:$F$603,"TAF*",'08D. LANÇAMENTOS 281'!$D$4:$D$603,"&gt;="&amp;M$3,'08D. LANÇAMENTOS 281'!$D$4:$D$603,"&lt;"&amp;EDATE(M$3,1))</f>
        <v>0</v>
      </c>
      <c r="N10" s="315">
        <f>SUM(SUMIFS('07. FATURAMENTO E RECEBIMENTO'!$L$5:$L$44,'07. FATURAMENTO E RECEBIMENTO'!$K$5:$K$44,"&gt;="&amp;N$3,'07. FATURAMENTO E RECEBIMENTO'!$K$5:$K$44,"&lt;"&amp;EDATE(N$3,1),'07. FATURAMENTO E RECEBIMENTO'!$B$5:$B$44,{"342","343"}))+SUMIFS('08D. LANÇAMENTOS 281'!$I$4:$I$603,'08D. LANÇAMENTOS 281'!$B$4:$B$603,"REPASSE",'08D. LANÇAMENTOS 281'!$F$4:$F$603,"TAF*",'08D. LANÇAMENTOS 281'!$D$4:$D$603,"&gt;="&amp;N$3,'08D. LANÇAMENTOS 281'!$D$4:$D$603,"&lt;"&amp;EDATE(N$3,1))</f>
        <v>0</v>
      </c>
      <c r="O10" s="315">
        <f>SUM(SUMIFS('07. FATURAMENTO E RECEBIMENTO'!$L$5:$L$44,'07. FATURAMENTO E RECEBIMENTO'!$K$5:$K$44,"&gt;="&amp;O$3,'07. FATURAMENTO E RECEBIMENTO'!$K$5:$K$44,"&lt;"&amp;EDATE(O$3,1),'07. FATURAMENTO E RECEBIMENTO'!$B$5:$B$44,{"342","343"}))+SUMIFS('08D. LANÇAMENTOS 281'!$I$4:$I$603,'08D. LANÇAMENTOS 281'!$B$4:$B$603,"REPASSE",'08D. LANÇAMENTOS 281'!$F$4:$F$603,"TAF*",'08D. LANÇAMENTOS 281'!$D$4:$D$603,"&gt;="&amp;O$3,'08D. LANÇAMENTOS 281'!$D$4:$D$603,"&lt;"&amp;EDATE(O$3,1))</f>
        <v>0</v>
      </c>
      <c r="P10" s="315">
        <f>SUM(SUMIFS('07. FATURAMENTO E RECEBIMENTO'!$L$5:$L$44,'07. FATURAMENTO E RECEBIMENTO'!$K$5:$K$44,"&gt;="&amp;P$3,'07. FATURAMENTO E RECEBIMENTO'!$K$5:$K$44,"&lt;"&amp;EDATE(P$3,1),'07. FATURAMENTO E RECEBIMENTO'!$B$5:$B$44,{"342","343"}))+SUMIFS('08D. LANÇAMENTOS 281'!$I$4:$I$603,'08D. LANÇAMENTOS 281'!$B$4:$B$603,"REPASSE",'08D. LANÇAMENTOS 281'!$F$4:$F$603,"TAF*",'08D. LANÇAMENTOS 281'!$D$4:$D$603,"&gt;="&amp;P$3,'08D. LANÇAMENTOS 281'!$D$4:$D$603,"&lt;"&amp;EDATE(P$3,1))</f>
        <v>0</v>
      </c>
      <c r="Q10" s="315">
        <f>SUM(SUMIFS('07. FATURAMENTO E RECEBIMENTO'!$L$5:$L$44,'07. FATURAMENTO E RECEBIMENTO'!$K$5:$K$44,"&gt;="&amp;Q$3,'07. FATURAMENTO E RECEBIMENTO'!$K$5:$K$44,"&lt;"&amp;EDATE(Q$3,1),'07. FATURAMENTO E RECEBIMENTO'!$B$5:$B$44,{"342","343"}))+SUMIFS('08D. LANÇAMENTOS 281'!$I$4:$I$603,'08D. LANÇAMENTOS 281'!$B$4:$B$603,"REPASSE",'08D. LANÇAMENTOS 281'!$F$4:$F$603,"TAF*",'08D. LANÇAMENTOS 281'!$D$4:$D$603,"&gt;="&amp;Q$3,'08D. LANÇAMENTOS 281'!$D$4:$D$603,"&lt;"&amp;EDATE(Q$3,1))</f>
        <v>0</v>
      </c>
      <c r="R10" s="315">
        <f>SUM(SUMIFS('07. FATURAMENTO E RECEBIMENTO'!$L$5:$L$44,'07. FATURAMENTO E RECEBIMENTO'!$K$5:$K$44,"&gt;="&amp;R$3,'07. FATURAMENTO E RECEBIMENTO'!$K$5:$K$44,"&lt;"&amp;EDATE(R$3,1),'07. FATURAMENTO E RECEBIMENTO'!$B$5:$B$44,{"342","343"}))+SUMIFS('08D. LANÇAMENTOS 281'!$I$4:$I$603,'08D. LANÇAMENTOS 281'!$B$4:$B$603,"REPASSE",'08D. LANÇAMENTOS 281'!$F$4:$F$603,"TAF*",'08D. LANÇAMENTOS 281'!$D$4:$D$603,"&gt;="&amp;R$3,'08D. LANÇAMENTOS 281'!$D$4:$D$603,"&lt;"&amp;EDATE(R$3,1))</f>
        <v>0</v>
      </c>
    </row>
    <row r="11">
      <c r="B11" s="30" t="inlineStr">
        <is>
          <t>Saídas realizadas (08 da 342 e da 343; aportes na 281, 08D)</t>
        </is>
      </c>
      <c r="C11" s="315">
        <f>SUM(SUMIFS('08. CUSTOS'!$F$5:$F$404,'08. CUSTOS'!$G$5:$G$404,"&gt;="&amp;C$3,'08. CUSTOS'!$G$5:$G$404,"&lt;"&amp;EDATE(C$3,1),'08. CUSTOS'!$C$5:$C$404,{"342","343"}))+SUMIFS('08D. LANÇAMENTOS 281'!$I$4:$I$603,'08D. LANÇAMENTOS 281'!$B$4:$B$603,"APORTE",'08D. LANÇAMENTOS 281'!$F$4:$F$603,"TAF*",'08D. LANÇAMENTOS 281'!$D$4:$D$603,"&gt;="&amp;C$3,'08D. LANÇAMENTOS 281'!$D$4:$D$603,"&lt;"&amp;EDATE(C$3,1))</f>
        <v>0</v>
      </c>
      <c r="D11" s="315">
        <f>SUM(SUMIFS('08. CUSTOS'!$F$5:$F$404,'08. CUSTOS'!$G$5:$G$404,"&gt;="&amp;D$3,'08. CUSTOS'!$G$5:$G$404,"&lt;"&amp;EDATE(D$3,1),'08. CUSTOS'!$C$5:$C$404,{"342","343"}))+SUMIFS('08D. LANÇAMENTOS 281'!$I$4:$I$603,'08D. LANÇAMENTOS 281'!$B$4:$B$603,"APORTE",'08D. LANÇAMENTOS 281'!$F$4:$F$603,"TAF*",'08D. LANÇAMENTOS 281'!$D$4:$D$603,"&gt;="&amp;D$3,'08D. LANÇAMENTOS 281'!$D$4:$D$603,"&lt;"&amp;EDATE(D$3,1))</f>
        <v>0</v>
      </c>
      <c r="E11" s="315">
        <f>SUM(SUMIFS('08. CUSTOS'!$F$5:$F$404,'08. CUSTOS'!$G$5:$G$404,"&gt;="&amp;E$3,'08. CUSTOS'!$G$5:$G$404,"&lt;"&amp;EDATE(E$3,1),'08. CUSTOS'!$C$5:$C$404,{"342","343"}))+SUMIFS('08D. LANÇAMENTOS 281'!$I$4:$I$603,'08D. LANÇAMENTOS 281'!$B$4:$B$603,"APORTE",'08D. LANÇAMENTOS 281'!$F$4:$F$603,"TAF*",'08D. LANÇAMENTOS 281'!$D$4:$D$603,"&gt;="&amp;E$3,'08D. LANÇAMENTOS 281'!$D$4:$D$603,"&lt;"&amp;EDATE(E$3,1))</f>
        <v>0</v>
      </c>
      <c r="F11" s="315">
        <f>SUM(SUMIFS('08. CUSTOS'!$F$5:$F$404,'08. CUSTOS'!$G$5:$G$404,"&gt;="&amp;F$3,'08. CUSTOS'!$G$5:$G$404,"&lt;"&amp;EDATE(F$3,1),'08. CUSTOS'!$C$5:$C$404,{"342","343"}))+SUMIFS('08D. LANÇAMENTOS 281'!$I$4:$I$603,'08D. LANÇAMENTOS 281'!$B$4:$B$603,"APORTE",'08D. LANÇAMENTOS 281'!$F$4:$F$603,"TAF*",'08D. LANÇAMENTOS 281'!$D$4:$D$603,"&gt;="&amp;F$3,'08D. LANÇAMENTOS 281'!$D$4:$D$603,"&lt;"&amp;EDATE(F$3,1))</f>
        <v>0</v>
      </c>
      <c r="G11" s="315">
        <f>SUM(SUMIFS('08. CUSTOS'!$F$5:$F$404,'08. CUSTOS'!$G$5:$G$404,"&gt;="&amp;G$3,'08. CUSTOS'!$G$5:$G$404,"&lt;"&amp;EDATE(G$3,1),'08. CUSTOS'!$C$5:$C$404,{"342","343"}))+SUMIFS('08D. LANÇAMENTOS 281'!$I$4:$I$603,'08D. LANÇAMENTOS 281'!$B$4:$B$603,"APORTE",'08D. LANÇAMENTOS 281'!$F$4:$F$603,"TAF*",'08D. LANÇAMENTOS 281'!$D$4:$D$603,"&gt;="&amp;G$3,'08D. LANÇAMENTOS 281'!$D$4:$D$603,"&lt;"&amp;EDATE(G$3,1))</f>
        <v>0</v>
      </c>
      <c r="H11" s="315">
        <f>SUM(SUMIFS('08. CUSTOS'!$F$5:$F$404,'08. CUSTOS'!$G$5:$G$404,"&gt;="&amp;H$3,'08. CUSTOS'!$G$5:$G$404,"&lt;"&amp;EDATE(H$3,1),'08. CUSTOS'!$C$5:$C$404,{"342","343"}))+SUMIFS('08D. LANÇAMENTOS 281'!$I$4:$I$603,'08D. LANÇAMENTOS 281'!$B$4:$B$603,"APORTE",'08D. LANÇAMENTOS 281'!$F$4:$F$603,"TAF*",'08D. LANÇAMENTOS 281'!$D$4:$D$603,"&gt;="&amp;H$3,'08D. LANÇAMENTOS 281'!$D$4:$D$603,"&lt;"&amp;EDATE(H$3,1))</f>
        <v>0</v>
      </c>
      <c r="I11" s="315">
        <f>SUM(SUMIFS('08. CUSTOS'!$F$5:$F$404,'08. CUSTOS'!$G$5:$G$404,"&gt;="&amp;I$3,'08. CUSTOS'!$G$5:$G$404,"&lt;"&amp;EDATE(I$3,1),'08. CUSTOS'!$C$5:$C$404,{"342","343"}))+SUMIFS('08D. LANÇAMENTOS 281'!$I$4:$I$603,'08D. LANÇAMENTOS 281'!$B$4:$B$603,"APORTE",'08D. LANÇAMENTOS 281'!$F$4:$F$603,"TAF*",'08D. LANÇAMENTOS 281'!$D$4:$D$603,"&gt;="&amp;I$3,'08D. LANÇAMENTOS 281'!$D$4:$D$603,"&lt;"&amp;EDATE(I$3,1))</f>
        <v>0</v>
      </c>
      <c r="J11" s="315">
        <f>SUM(SUMIFS('08. CUSTOS'!$F$5:$F$404,'08. CUSTOS'!$G$5:$G$404,"&gt;="&amp;J$3,'08. CUSTOS'!$G$5:$G$404,"&lt;"&amp;EDATE(J$3,1),'08. CUSTOS'!$C$5:$C$404,{"342","343"}))+SUMIFS('08D. LANÇAMENTOS 281'!$I$4:$I$603,'08D. LANÇAMENTOS 281'!$B$4:$B$603,"APORTE",'08D. LANÇAMENTOS 281'!$F$4:$F$603,"TAF*",'08D. LANÇAMENTOS 281'!$D$4:$D$603,"&gt;="&amp;J$3,'08D. LANÇAMENTOS 281'!$D$4:$D$603,"&lt;"&amp;EDATE(J$3,1))</f>
        <v>0</v>
      </c>
      <c r="K11" s="315">
        <f>SUM(SUMIFS('08. CUSTOS'!$F$5:$F$404,'08. CUSTOS'!$G$5:$G$404,"&gt;="&amp;K$3,'08. CUSTOS'!$G$5:$G$404,"&lt;"&amp;EDATE(K$3,1),'08. CUSTOS'!$C$5:$C$404,{"342","343"}))+SUMIFS('08D. LANÇAMENTOS 281'!$I$4:$I$603,'08D. LANÇAMENTOS 281'!$B$4:$B$603,"APORTE",'08D. LANÇAMENTOS 281'!$F$4:$F$603,"TAF*",'08D. LANÇAMENTOS 281'!$D$4:$D$603,"&gt;="&amp;K$3,'08D. LANÇAMENTOS 281'!$D$4:$D$603,"&lt;"&amp;EDATE(K$3,1))</f>
        <v>0</v>
      </c>
      <c r="L11" s="315">
        <f>SUM(SUMIFS('08. CUSTOS'!$F$5:$F$404,'08. CUSTOS'!$G$5:$G$404,"&gt;="&amp;L$3,'08. CUSTOS'!$G$5:$G$404,"&lt;"&amp;EDATE(L$3,1),'08. CUSTOS'!$C$5:$C$404,{"342","343"}))+SUMIFS('08D. LANÇAMENTOS 281'!$I$4:$I$603,'08D. LANÇAMENTOS 281'!$B$4:$B$603,"APORTE",'08D. LANÇAMENTOS 281'!$F$4:$F$603,"TAF*",'08D. LANÇAMENTOS 281'!$D$4:$D$603,"&gt;="&amp;L$3,'08D. LANÇAMENTOS 281'!$D$4:$D$603,"&lt;"&amp;EDATE(L$3,1))</f>
        <v>0</v>
      </c>
      <c r="M11" s="315">
        <f>SUM(SUMIFS('08. CUSTOS'!$F$5:$F$404,'08. CUSTOS'!$G$5:$G$404,"&gt;="&amp;M$3,'08. CUSTOS'!$G$5:$G$404,"&lt;"&amp;EDATE(M$3,1),'08. CUSTOS'!$C$5:$C$404,{"342","343"}))+SUMIFS('08D. LANÇAMENTOS 281'!$I$4:$I$603,'08D. LANÇAMENTOS 281'!$B$4:$B$603,"APORTE",'08D. LANÇAMENTOS 281'!$F$4:$F$603,"TAF*",'08D. LANÇAMENTOS 281'!$D$4:$D$603,"&gt;="&amp;M$3,'08D. LANÇAMENTOS 281'!$D$4:$D$603,"&lt;"&amp;EDATE(M$3,1))</f>
        <v>0</v>
      </c>
      <c r="N11" s="315">
        <f>SUM(SUMIFS('08. CUSTOS'!$F$5:$F$404,'08. CUSTOS'!$G$5:$G$404,"&gt;="&amp;N$3,'08. CUSTOS'!$G$5:$G$404,"&lt;"&amp;EDATE(N$3,1),'08. CUSTOS'!$C$5:$C$404,{"342","343"}))+SUMIFS('08D. LANÇAMENTOS 281'!$I$4:$I$603,'08D. LANÇAMENTOS 281'!$B$4:$B$603,"APORTE",'08D. LANÇAMENTOS 281'!$F$4:$F$603,"TAF*",'08D. LANÇAMENTOS 281'!$D$4:$D$603,"&gt;="&amp;N$3,'08D. LANÇAMENTOS 281'!$D$4:$D$603,"&lt;"&amp;EDATE(N$3,1))</f>
        <v>0</v>
      </c>
      <c r="O11" s="315">
        <f>SUM(SUMIFS('08. CUSTOS'!$F$5:$F$404,'08. CUSTOS'!$G$5:$G$404,"&gt;="&amp;O$3,'08. CUSTOS'!$G$5:$G$404,"&lt;"&amp;EDATE(O$3,1),'08. CUSTOS'!$C$5:$C$404,{"342","343"}))+SUMIFS('08D. LANÇAMENTOS 281'!$I$4:$I$603,'08D. LANÇAMENTOS 281'!$B$4:$B$603,"APORTE",'08D. LANÇAMENTOS 281'!$F$4:$F$603,"TAF*",'08D. LANÇAMENTOS 281'!$D$4:$D$603,"&gt;="&amp;O$3,'08D. LANÇAMENTOS 281'!$D$4:$D$603,"&lt;"&amp;EDATE(O$3,1))</f>
        <v>0</v>
      </c>
      <c r="P11" s="315">
        <f>SUM(SUMIFS('08. CUSTOS'!$F$5:$F$404,'08. CUSTOS'!$G$5:$G$404,"&gt;="&amp;P$3,'08. CUSTOS'!$G$5:$G$404,"&lt;"&amp;EDATE(P$3,1),'08. CUSTOS'!$C$5:$C$404,{"342","343"}))+SUMIFS('08D. LANÇAMENTOS 281'!$I$4:$I$603,'08D. LANÇAMENTOS 281'!$B$4:$B$603,"APORTE",'08D. LANÇAMENTOS 281'!$F$4:$F$603,"TAF*",'08D. LANÇAMENTOS 281'!$D$4:$D$603,"&gt;="&amp;P$3,'08D. LANÇAMENTOS 281'!$D$4:$D$603,"&lt;"&amp;EDATE(P$3,1))</f>
        <v>0</v>
      </c>
      <c r="Q11" s="315">
        <f>SUM(SUMIFS('08. CUSTOS'!$F$5:$F$404,'08. CUSTOS'!$G$5:$G$404,"&gt;="&amp;Q$3,'08. CUSTOS'!$G$5:$G$404,"&lt;"&amp;EDATE(Q$3,1),'08. CUSTOS'!$C$5:$C$404,{"342","343"}))+SUMIFS('08D. LANÇAMENTOS 281'!$I$4:$I$603,'08D. LANÇAMENTOS 281'!$B$4:$B$603,"APORTE",'08D. LANÇAMENTOS 281'!$F$4:$F$603,"TAF*",'08D. LANÇAMENTOS 281'!$D$4:$D$603,"&gt;="&amp;Q$3,'08D. LANÇAMENTOS 281'!$D$4:$D$603,"&lt;"&amp;EDATE(Q$3,1))</f>
        <v>0</v>
      </c>
      <c r="R11" s="315">
        <f>SUM(SUMIFS('08. CUSTOS'!$F$5:$F$404,'08. CUSTOS'!$G$5:$G$404,"&gt;="&amp;R$3,'08. CUSTOS'!$G$5:$G$404,"&lt;"&amp;EDATE(R$3,1),'08. CUSTOS'!$C$5:$C$404,{"342","343"}))+SUMIFS('08D. LANÇAMENTOS 281'!$I$4:$I$603,'08D. LANÇAMENTOS 281'!$B$4:$B$603,"APORTE",'08D. LANÇAMENTOS 281'!$F$4:$F$603,"TAF*",'08D. LANÇAMENTOS 281'!$D$4:$D$603,"&gt;="&amp;R$3,'08D. LANÇAMENTOS 281'!$D$4:$D$603,"&lt;"&amp;EDATE(R$3,1))</f>
        <v>0</v>
      </c>
    </row>
    <row r="12">
      <c r="B12" s="30" t="inlineStr">
        <is>
          <t>Saldo realizado do mês</t>
        </is>
      </c>
      <c r="C12" s="315">
        <f>C10-C11</f>
        <v>0</v>
      </c>
      <c r="D12" s="315">
        <f>D10-D11</f>
        <v>0</v>
      </c>
      <c r="E12" s="315">
        <f>E10-E11</f>
        <v>0</v>
      </c>
      <c r="F12" s="315">
        <f>F10-F11</f>
        <v>0</v>
      </c>
      <c r="G12" s="315">
        <f>G10-G11</f>
        <v>0</v>
      </c>
      <c r="H12" s="315">
        <f>H10-H11</f>
        <v>0</v>
      </c>
      <c r="I12" s="315">
        <f>I10-I11</f>
        <v>0</v>
      </c>
      <c r="J12" s="315">
        <f>J10-J11</f>
        <v>0</v>
      </c>
      <c r="K12" s="315">
        <f>K10-K11</f>
        <v>0</v>
      </c>
      <c r="L12" s="315">
        <f>L10-L11</f>
        <v>0</v>
      </c>
      <c r="M12" s="315">
        <f>M10-M11</f>
        <v>0</v>
      </c>
      <c r="N12" s="315">
        <f>N10-N11</f>
        <v>0</v>
      </c>
      <c r="O12" s="315">
        <f>O10-O11</f>
        <v>0</v>
      </c>
      <c r="P12" s="315">
        <f>P10-P11</f>
        <v>0</v>
      </c>
      <c r="Q12" s="315">
        <f>Q10-Q11</f>
        <v>0</v>
      </c>
      <c r="R12" s="315">
        <f>R10-R11</f>
        <v>0</v>
      </c>
    </row>
    <row r="13">
      <c r="B13" s="5" t="inlineStr">
        <is>
          <t>ACUMULADO REALIZADO (recomeça do banco, linha 21)</t>
        </is>
      </c>
      <c r="C13" s="324">
        <f>IF(AND(ISNUMBER($C$21),ISNUMBER($D$21)),IF(C$3&lt;EOMONTH($D$21,-1)+1,"antes do extrato",IF(C$3&lt;EOMONTH($D$21,0)+1,$C$21,$C$21+C12)),C12)</f>
        <v>0</v>
      </c>
      <c r="D13" s="324">
        <f>IF(AND(ISNUMBER($C$21),ISNUMBER($D$21)),IF(D$3&lt;EOMONTH($D$21,-1)+1,"antes do extrato",IF(D$3&lt;EOMONTH($D$21,0)+1,$C$21,IF(ISNUMBER(C13),C13,$C$21)+D12)),C13+D12)</f>
        <v>0</v>
      </c>
      <c r="E13" s="324">
        <f>IF(AND(ISNUMBER($C$21),ISNUMBER($D$21)),IF(E$3&lt;EOMONTH($D$21,-1)+1,"antes do extrato",IF(E$3&lt;EOMONTH($D$21,0)+1,$C$21,IF(ISNUMBER(D13),D13,$C$21)+E12)),D13+E12)</f>
        <v>0</v>
      </c>
      <c r="F13" s="324">
        <f>IF(AND(ISNUMBER($C$21),ISNUMBER($D$21)),IF(F$3&lt;EOMONTH($D$21,-1)+1,"antes do extrato",IF(F$3&lt;EOMONTH($D$21,0)+1,$C$21,IF(ISNUMBER(E13),E13,$C$21)+F12)),E13+F12)</f>
        <v>0</v>
      </c>
      <c r="G13" s="324">
        <f>IF(AND(ISNUMBER($C$21),ISNUMBER($D$21)),IF(G$3&lt;EOMONTH($D$21,-1)+1,"antes do extrato",IF(G$3&lt;EOMONTH($D$21,0)+1,$C$21,IF(ISNUMBER(F13),F13,$C$21)+G12)),F13+G12)</f>
        <v>0</v>
      </c>
      <c r="H13" s="324">
        <f>IF(AND(ISNUMBER($C$21),ISNUMBER($D$21)),IF(H$3&lt;EOMONTH($D$21,-1)+1,"antes do extrato",IF(H$3&lt;EOMONTH($D$21,0)+1,$C$21,IF(ISNUMBER(G13),G13,$C$21)+H12)),G13+H12)</f>
        <v>0</v>
      </c>
      <c r="I13" s="324">
        <f>IF(AND(ISNUMBER($C$21),ISNUMBER($D$21)),IF(I$3&lt;EOMONTH($D$21,-1)+1,"antes do extrato",IF(I$3&lt;EOMONTH($D$21,0)+1,$C$21,IF(ISNUMBER(H13),H13,$C$21)+I12)),H13+I12)</f>
        <v>0</v>
      </c>
      <c r="J13" s="324">
        <f>IF(AND(ISNUMBER($C$21),ISNUMBER($D$21)),IF(J$3&lt;EOMONTH($D$21,-1)+1,"antes do extrato",IF(J$3&lt;EOMONTH($D$21,0)+1,$C$21,IF(ISNUMBER(I13),I13,$C$21)+J12)),I13+J12)</f>
        <v>0</v>
      </c>
      <c r="K13" s="324">
        <f>IF(AND(ISNUMBER($C$21),ISNUMBER($D$21)),IF(K$3&lt;EOMONTH($D$21,-1)+1,"antes do extrato",IF(K$3&lt;EOMONTH($D$21,0)+1,$C$21,IF(ISNUMBER(J13),J13,$C$21)+K12)),J13+K12)</f>
        <v>0</v>
      </c>
      <c r="L13" s="324">
        <f>IF(AND(ISNUMBER($C$21),ISNUMBER($D$21)),IF(L$3&lt;EOMONTH($D$21,-1)+1,"antes do extrato",IF(L$3&lt;EOMONTH($D$21,0)+1,$C$21,IF(ISNUMBER(K13),K13,$C$21)+L12)),K13+L12)</f>
        <v>0</v>
      </c>
      <c r="M13" s="324">
        <f>IF(AND(ISNUMBER($C$21),ISNUMBER($D$21)),IF(M$3&lt;EOMONTH($D$21,-1)+1,"antes do extrato",IF(M$3&lt;EOMONTH($D$21,0)+1,$C$21,IF(ISNUMBER(L13),L13,$C$21)+M12)),L13+M12)</f>
        <v>0</v>
      </c>
      <c r="N13" s="324">
        <f>IF(AND(ISNUMBER($C$21),ISNUMBER($D$21)),IF(N$3&lt;EOMONTH($D$21,-1)+1,"antes do extrato",IF(N$3&lt;EOMONTH($D$21,0)+1,$C$21,IF(ISNUMBER(M13),M13,$C$21)+N12)),M13+N12)</f>
        <v>0</v>
      </c>
      <c r="O13" s="324">
        <f>IF(AND(ISNUMBER($C$21),ISNUMBER($D$21)),IF(O$3&lt;EOMONTH($D$21,-1)+1,"antes do extrato",IF(O$3&lt;EOMONTH($D$21,0)+1,$C$21,IF(ISNUMBER(N13),N13,$C$21)+O12)),N13+O12)</f>
        <v>0</v>
      </c>
      <c r="P13" s="324">
        <f>IF(AND(ISNUMBER($C$21),ISNUMBER($D$21)),IF(P$3&lt;EOMONTH($D$21,-1)+1,"antes do extrato",IF(P$3&lt;EOMONTH($D$21,0)+1,$C$21,IF(ISNUMBER(O13),O13,$C$21)+P12)),O13+P12)</f>
        <v>0</v>
      </c>
      <c r="Q13" s="324">
        <f>IF(AND(ISNUMBER($C$21),ISNUMBER($D$21)),IF(Q$3&lt;EOMONTH($D$21,-1)+1,"antes do extrato",IF(Q$3&lt;EOMONTH($D$21,0)+1,$C$21,IF(ISNUMBER(P13),P13,$C$21)+Q12)),P13+Q12)</f>
        <v>0</v>
      </c>
      <c r="R13" s="324">
        <f>IF(AND(ISNUMBER($C$21),ISNUMBER($D$21)),IF(R$3&lt;EOMONTH($D$21,-1)+1,"antes do extrato",IF(R$3&lt;EOMONTH($D$21,0)+1,$C$21,IF(ISNUMBER(Q13),Q13,$C$21)+R12)),Q13+R12)</f>
        <v>0</v>
      </c>
    </row>
    <row r="14"/>
    <row r="15">
      <c r="B15" s="18" t="inlineStr">
        <is>
          <t>Pior ponto previsto (acumulado)</t>
        </is>
      </c>
      <c r="C15" s="342">
        <f>MIN(C8:R8)</f>
        <v>-1723564.158721</v>
      </c>
      <c r="D15" s="343">
        <f>IFERROR(INDEX($C$3:$R$3,MATCH(C15,$C$8:$R$8,0)),"")</f>
        <v>46327.0</v>
      </c>
    </row>
    <row r="16">
      <c r="B16" s="18" t="inlineStr">
        <is>
          <t>Pior ponto realizado até agora</t>
        </is>
      </c>
      <c r="C16" s="342">
        <f>MIN(C13:R13)</f>
        <v>0</v>
      </c>
    </row>
    <row r="17">
      <c r="B17" s="18" t="inlineStr">
        <is>
          <t>Capital de giro recomendado (pior previsto × fator da 02 B13)</t>
        </is>
      </c>
      <c r="C17" s="344">
        <f>-MIN(0,C15)*'02. PARÂMETROS'!$B$13</f>
        <v>1982098.78252915</v>
      </c>
    </row>
    <row r="18"/>
    <row r="19">
      <c r="A19" s="10" t="inlineStr">
        <is>
          <t>CAIXA DA EMPRESA: BANCO, ADMINISTRAÇÃO CENTRAL, APORTES NA 281, JURO E REAJUSTE</t>
        </is>
      </c>
      <c r="B19" s="11" t="n"/>
      <c r="C19" s="11" t="n"/>
      <c r="D19" s="11" t="n"/>
      <c r="E19" s="11" t="n"/>
      <c r="F19" s="11" t="n"/>
      <c r="G19" s="11" t="n"/>
      <c r="H19" s="11" t="n"/>
      <c r="I19" s="11" t="n"/>
      <c r="J19" s="11" t="n"/>
      <c r="K19" s="11" t="n"/>
      <c r="L19" s="11" t="n"/>
      <c r="M19" s="11" t="n"/>
      <c r="N19" s="11" t="n"/>
      <c r="O19" s="11" t="n"/>
      <c r="P19" s="11" t="n"/>
      <c r="Q19" s="11" t="n"/>
      <c r="R19" s="11" t="n"/>
      <c r="S19" s="11" t="n"/>
    </row>
    <row r="20" ht="30" customHeight="1" s="71">
      <c r="B20" s="215" t="inlineStr">
        <is>
          <t>DADO</t>
        </is>
      </c>
      <c r="C20" s="215" t="inlineStr">
        <is>
          <t>VALOR (R$)</t>
        </is>
      </c>
      <c r="D20" s="215" t="inlineStr">
        <is>
          <t>DATA</t>
        </is>
      </c>
      <c r="E20" s="215" t="inlineStr">
        <is>
          <t>SITUAÇÃO</t>
        </is>
      </c>
    </row>
    <row r="21">
      <c r="B21" s="234" t="inlineStr">
        <is>
          <t>Saldo em banco da TAF (extrato)</t>
        </is>
      </c>
      <c r="C21" s="321" t="n"/>
      <c r="D21" s="224" t="n"/>
      <c r="E21" s="222" t="str">
        <f>IF(AND(ISNUMBER(C21),ISNUMBER(D21)),"OK","PENDENTE")</f>
        <v>PENDENTE</v>
      </c>
      <c r="F21" s="242" t="inlineStr">
        <is>
          <t>Financeiro TAF passa, do extrato. As linhas 8 e 13 recomeçam deste saldo no mês da data.</t>
        </is>
      </c>
    </row>
    <row r="22">
      <c r="B22" s="234" t="inlineStr">
        <is>
          <t>Administração central real da TAF (R$ por mês)</t>
        </is>
      </c>
      <c r="C22" s="321" t="n"/>
      <c r="E22" s="222" t="str">
        <f>IF(ISNUMBER(C22),"OK","PENDENTE")</f>
        <v>PENDENTE</v>
      </c>
      <c r="F22" s="242" t="inlineStr">
        <is>
          <t>Financeiro TAF passa o custo real do escritório. A 02 B9 (5% do preço) é só o teto, na linha 26.</t>
        </is>
      </c>
    </row>
    <row r="23"/>
    <row r="24">
      <c r="B24" s="23" t="inlineStr">
        <is>
          <t>LINHA (R$ por mês)</t>
        </is>
      </c>
      <c r="C24" s="23" t="str">
        <f>C$4</f>
        <v>set/26</v>
      </c>
      <c r="D24" s="23" t="str">
        <f>D$4</f>
        <v>out/26</v>
      </c>
      <c r="E24" s="23" t="str">
        <f>E$4</f>
        <v>nov/26</v>
      </c>
      <c r="F24" s="23" t="str">
        <f>F$4</f>
        <v>dez/26</v>
      </c>
      <c r="G24" s="23" t="str">
        <f>G$4</f>
        <v>jan/27</v>
      </c>
      <c r="H24" s="23" t="str">
        <f>H$4</f>
        <v>fev/27</v>
      </c>
      <c r="I24" s="23" t="str">
        <f>I$4</f>
        <v>mar/27</v>
      </c>
      <c r="J24" s="23" t="str">
        <f>J$4</f>
        <v>abr/27</v>
      </c>
      <c r="K24" s="23" t="str">
        <f>K$4</f>
        <v>mai/27</v>
      </c>
      <c r="L24" s="23" t="str">
        <f>L$4</f>
        <v>jun/27</v>
      </c>
      <c r="M24" s="23" t="str">
        <f>M$4</f>
        <v>jul/27</v>
      </c>
      <c r="N24" s="23" t="str">
        <f>N$4</f>
        <v>ago/27</v>
      </c>
      <c r="O24" s="23" t="str">
        <f>O$4</f>
        <v>set/27</v>
      </c>
      <c r="P24" s="23" t="str">
        <f>P$4</f>
        <v>out/27</v>
      </c>
      <c r="Q24" s="23" t="str">
        <f>Q$4</f>
        <v>nov/27</v>
      </c>
      <c r="R24" s="23" t="str">
        <f>R$4</f>
        <v>dez/27</v>
      </c>
      <c r="S24" s="23" t="inlineStr">
        <is>
          <t>TOTAL</t>
        </is>
      </c>
    </row>
    <row r="25">
      <c r="B25" s="30" t="inlineStr">
        <is>
          <t>Administração central (linha 22)</t>
        </is>
      </c>
      <c r="C25" s="297" t="str">
        <f>IF(ISNUMBER($C$22),-$C$22,"PENDENTE")</f>
        <v>PENDENTE</v>
      </c>
      <c r="D25" s="297" t="str">
        <f>IF(ISNUMBER($C$22),-$C$22,"PENDENTE")</f>
        <v>PENDENTE</v>
      </c>
      <c r="E25" s="297" t="str">
        <f>IF(ISNUMBER($C$22),-$C$22,"PENDENTE")</f>
        <v>PENDENTE</v>
      </c>
      <c r="F25" s="297" t="str">
        <f>IF(ISNUMBER($C$22),-$C$22,"PENDENTE")</f>
        <v>PENDENTE</v>
      </c>
      <c r="G25" s="297" t="str">
        <f>IF(ISNUMBER($C$22),-$C$22,"PENDENTE")</f>
        <v>PENDENTE</v>
      </c>
      <c r="H25" s="297" t="str">
        <f>IF(ISNUMBER($C$22),-$C$22,"PENDENTE")</f>
        <v>PENDENTE</v>
      </c>
      <c r="I25" s="297" t="str">
        <f>IF(ISNUMBER($C$22),-$C$22,"PENDENTE")</f>
        <v>PENDENTE</v>
      </c>
      <c r="J25" s="297" t="str">
        <f>IF(ISNUMBER($C$22),-$C$22,"PENDENTE")</f>
        <v>PENDENTE</v>
      </c>
      <c r="K25" s="297" t="str">
        <f>IF(ISNUMBER($C$22),-$C$22,"PENDENTE")</f>
        <v>PENDENTE</v>
      </c>
      <c r="L25" s="297" t="str">
        <f>IF(ISNUMBER($C$22),-$C$22,"PENDENTE")</f>
        <v>PENDENTE</v>
      </c>
      <c r="M25" s="297" t="str">
        <f>IF(ISNUMBER($C$22),-$C$22,"PENDENTE")</f>
        <v>PENDENTE</v>
      </c>
      <c r="N25" s="297" t="str">
        <f>IF(ISNUMBER($C$22),-$C$22,"PENDENTE")</f>
        <v>PENDENTE</v>
      </c>
      <c r="O25" s="297" t="str">
        <f>IF(ISNUMBER($C$22),-$C$22,"PENDENTE")</f>
        <v>PENDENTE</v>
      </c>
      <c r="P25" s="297" t="str">
        <f>IF(ISNUMBER($C$22),-$C$22,"PENDENTE")</f>
        <v>PENDENTE</v>
      </c>
      <c r="Q25" s="297" t="str">
        <f>IF(ISNUMBER($C$22),-$C$22,"PENDENTE")</f>
        <v>PENDENTE</v>
      </c>
      <c r="R25" s="297" t="str">
        <f>IF(ISNUMBER($C$22),-$C$22,"PENDENTE")</f>
        <v>PENDENTE</v>
      </c>
      <c r="S25" s="297" t="str">
        <f>IF(ISNUMBER($C$22),SUM(C25:R25),"PENDENTE")</f>
        <v>PENDENTE</v>
      </c>
    </row>
    <row r="26">
      <c r="B26" s="30" t="inlineStr">
        <is>
          <t>Teto pela 02 B9 (5% da medição prevista; só referência, não soma)</t>
        </is>
      </c>
      <c r="C26" s="345">
        <f>-'02. PARÂMETROS'!$B$9*'FLUXO PROJETADO TAF'!C67</f>
        <v>0</v>
      </c>
      <c r="D26" s="345">
        <f>-'02. PARÂMETROS'!$B$9*'FLUXO PROJETADO TAF'!D67</f>
        <v>-59084.2045</v>
      </c>
      <c r="E26" s="345">
        <f>-'02. PARÂMETROS'!$B$9*'FLUXO PROJETADO TAF'!E67</f>
        <v>-53806.9235</v>
      </c>
      <c r="F26" s="345">
        <f>-'02. PARÂMETROS'!$B$9*'FLUXO PROJETADO TAF'!F67</f>
        <v>-36256.938</v>
      </c>
      <c r="G26" s="345">
        <f>-'02. PARÂMETROS'!$B$9*'FLUXO PROJETADO TAF'!G67</f>
        <v>-75756.4955</v>
      </c>
      <c r="H26" s="345">
        <f>-'02. PARÂMETROS'!$B$9*'FLUXO PROJETADO TAF'!H67</f>
        <v>-26051.764</v>
      </c>
      <c r="I26" s="345">
        <f>-'02. PARÂMETROS'!$B$9*'FLUXO PROJETADO TAF'!I67</f>
        <v>-46410.861</v>
      </c>
      <c r="J26" s="345">
        <f>-'02. PARÂMETROS'!$B$9*'FLUXO PROJETADO TAF'!J67</f>
        <v>-72412.9225</v>
      </c>
      <c r="K26" s="345">
        <f>-'02. PARÂMETROS'!$B$9*'FLUXO PROJETADO TAF'!K67</f>
        <v>-28028.008</v>
      </c>
      <c r="L26" s="345">
        <f>-'02. PARÂMETROS'!$B$9*'FLUXO PROJETADO TAF'!L67</f>
        <v>-20766.796</v>
      </c>
      <c r="M26" s="345">
        <f>-'02. PARÂMETROS'!$B$9*'FLUXO PROJETADO TAF'!M67</f>
        <v>-2538.02</v>
      </c>
      <c r="N26" s="345">
        <f>-'02. PARÂMETROS'!$B$9*'FLUXO PROJETADO TAF'!N67</f>
        <v>-3346.375</v>
      </c>
      <c r="O26" s="345">
        <f>-'02. PARÂMETROS'!$B$9*'FLUXO PROJETADO TAF'!O67</f>
        <v>-139.7835</v>
      </c>
      <c r="P26" s="345">
        <f>-'02. PARÂMETROS'!$B$9*'FLUXO PROJETADO TAF'!P67</f>
        <v>0</v>
      </c>
      <c r="Q26" s="345">
        <f>-'02. PARÂMETROS'!$B$9*'FLUXO PROJETADO TAF'!Q67</f>
        <v>0</v>
      </c>
      <c r="R26" s="345">
        <f>-'02. PARÂMETROS'!$B$9*'FLUXO PROJETADO TAF'!R67</f>
        <v>0</v>
      </c>
      <c r="S26" s="345">
        <f>SUM(C26:R26)</f>
        <v>-424599.0915</v>
      </c>
    </row>
    <row r="27">
      <c r="B27" s="30" t="inlineStr">
        <is>
          <t>Aportes da TAF previstos na 281 (Thadeu passa; decisão na PAUTA)</t>
        </is>
      </c>
      <c r="C27" s="319" t="n"/>
      <c r="D27" s="319" t="n"/>
      <c r="E27" s="319" t="n"/>
      <c r="F27" s="319" t="n"/>
      <c r="G27" s="319" t="n"/>
      <c r="H27" s="319" t="n"/>
      <c r="I27" s="319" t="n"/>
      <c r="J27" s="319" t="n"/>
      <c r="K27" s="319" t="n"/>
      <c r="L27" s="319" t="n"/>
      <c r="M27" s="319" t="n"/>
      <c r="N27" s="319" t="n"/>
      <c r="O27" s="319" t="n"/>
      <c r="P27" s="319" t="n"/>
      <c r="Q27" s="319" t="n"/>
      <c r="R27" s="319" t="n"/>
      <c r="S27" s="297" t="str">
        <f>IF(COUNT(C27:R27)=0,"PENDENTE",SUM(C27:R27))</f>
        <v>PENDENTE</v>
      </c>
    </row>
    <row r="28">
      <c r="B28" s="30" t="inlineStr">
        <is>
          <t>Juro sobre o saldo negativo do mês anterior (02 B10)</t>
        </is>
      </c>
      <c r="C28" s="297">
        <f>MIN(0,IF(AND(AND(ISNUMBER($C$21),ISNUMBER($D$21)),C$3&gt;=EOMONTH($D$21,0)+1),$C$21,0))*'02. PARÂMETROS'!$B$10</f>
        <v>0</v>
      </c>
      <c r="D28" s="297">
        <f>MIN(0,N(C8))*'02. PARÂMETROS'!$B$10</f>
        <v>-835.0614</v>
      </c>
      <c r="E28" s="297">
        <f>MIN(0,N(D8))*'02. PARÂMETROS'!$B$10</f>
        <v>-12765.057321</v>
      </c>
      <c r="F28" s="297">
        <f>MIN(0,N(E8))*'02. PARÂMETROS'!$B$10</f>
        <v>-25853.462380815</v>
      </c>
      <c r="G28" s="297">
        <f>MIN(0,N(F8))*'02. PARÂMETROS'!$B$10</f>
        <v>-7430.09518052722</v>
      </c>
      <c r="H28" s="297">
        <f>MIN(0,N(G8))*'02. PARÂMETROS'!$B$10</f>
        <v>-20583.7904082351</v>
      </c>
      <c r="I28" s="297">
        <f>MIN(0,N(H8))*'02. PARÂMETROS'!$B$10</f>
        <v>-19841.8321333587</v>
      </c>
      <c r="J28" s="297">
        <f>MIN(0,N(I8))*'02. PARÂMETROS'!$B$10</f>
        <v>-2493.48558260903</v>
      </c>
      <c r="K28" s="297">
        <f>MIN(0,N(J8))*'02. PARÂMETROS'!$B$10</f>
        <v>-6554.16173784817</v>
      </c>
      <c r="L28" s="297">
        <f>MIN(0,N(K8))*'02. PARÂMETROS'!$B$10</f>
        <v>0</v>
      </c>
      <c r="M28" s="297">
        <f>MIN(0,N(L8))*'02. PARÂMETROS'!$B$10</f>
        <v>0</v>
      </c>
      <c r="N28" s="297">
        <f>MIN(0,N(M8))*'02. PARÂMETROS'!$B$10</f>
        <v>0</v>
      </c>
      <c r="O28" s="297">
        <f>MIN(0,N(N8))*'02. PARÂMETROS'!$B$10</f>
        <v>0</v>
      </c>
      <c r="P28" s="297">
        <f>MIN(0,N(O8))*'02. PARÂMETROS'!$B$10</f>
        <v>0</v>
      </c>
      <c r="Q28" s="297">
        <f>MIN(0,N(P8))*'02. PARÂMETROS'!$B$10</f>
        <v>0</v>
      </c>
      <c r="R28" s="297">
        <f>MIN(0,N(Q8))*'02. PARÂMETROS'!$B$10</f>
        <v>0</v>
      </c>
      <c r="S28" s="297">
        <f>SUM(C28:R28)</f>
        <v>-96356.9461443932</v>
      </c>
    </row>
    <row r="29">
      <c r="B29" s="30" t="inlineStr">
        <is>
          <t>Reajuste da 342 (cenário da FLUXO C11; fora da linha 7)</t>
        </is>
      </c>
      <c r="C29" s="297">
        <f>'FLUXO PROJETADO TAF'!C79</f>
        <v>0</v>
      </c>
      <c r="D29" s="297">
        <f>'FLUXO PROJETADO TAF'!D79</f>
        <v>0</v>
      </c>
      <c r="E29" s="297">
        <f>'FLUXO PROJETADO TAF'!E79</f>
        <v>0</v>
      </c>
      <c r="F29" s="297">
        <f>'FLUXO PROJETADO TAF'!F79</f>
        <v>0</v>
      </c>
      <c r="G29" s="297">
        <f>'FLUXO PROJETADO TAF'!G79</f>
        <v>0</v>
      </c>
      <c r="H29" s="297">
        <f>'FLUXO PROJETADO TAF'!H79</f>
        <v>0</v>
      </c>
      <c r="I29" s="297">
        <f>'FLUXO PROJETADO TAF'!I79</f>
        <v>0</v>
      </c>
      <c r="J29" s="297">
        <f>'FLUXO PROJETADO TAF'!J79</f>
        <v>0</v>
      </c>
      <c r="K29" s="297">
        <f>'FLUXO PROJETADO TAF'!K79</f>
        <v>0</v>
      </c>
      <c r="L29" s="297">
        <f>'FLUXO PROJETADO TAF'!L79</f>
        <v>0</v>
      </c>
      <c r="M29" s="297">
        <f>'FLUXO PROJETADO TAF'!M79</f>
        <v>0</v>
      </c>
      <c r="N29" s="297">
        <f>'FLUXO PROJETADO TAF'!N79</f>
        <v>0</v>
      </c>
      <c r="O29" s="297">
        <f>'FLUXO PROJETADO TAF'!O79</f>
        <v>0</v>
      </c>
      <c r="P29" s="297">
        <f>'FLUXO PROJETADO TAF'!P79</f>
        <v>0</v>
      </c>
      <c r="Q29" s="297">
        <f>'FLUXO PROJETADO TAF'!Q79</f>
        <v>0</v>
      </c>
      <c r="R29" s="297">
        <f>'FLUXO PROJETADO TAF'!R79</f>
        <v>0</v>
      </c>
      <c r="S29" s="297">
        <f>SUM(C29:R29)</f>
        <v>0</v>
      </c>
    </row>
  </sheetData>
  <conditionalFormatting sqref="E21:E22">
    <cfRule type="cellIs" priority="1" operator="equal" dxfId="27">
      <formula>"PENDENTE"</formula>
    </cfRule>
    <cfRule type="cellIs" priority="4" operator="equal" dxfId="24">
      <formula>"OK"</formula>
    </cfRule>
  </conditionalFormatting>
  <conditionalFormatting sqref="C25:S25">
    <cfRule type="cellIs" priority="2" operator="equal" dxfId="27">
      <formula>"PENDENTE"</formula>
    </cfRule>
  </conditionalFormatting>
  <conditionalFormatting sqref="S27">
    <cfRule type="cellIs" priority="3" operator="equal" dxfId="27">
      <formula>"PENDENTE"</formula>
    </cfRule>
  </conditionalFormatting>
  <hyperlinks>
    <hyperlink ref="S1" location="'00A. MENU'!A1" display="◀ MENU"/>
  </hyperlinks>
  <pageMargins left="0.75" right="0.75" top="1" bottom="1" header="0.5" footer="0.5"/>
  <pageSetup orientation="landscape" fitToHeight="0"/>
</worksheet>
</file>

<file path=xl/worksheets/sheet29.xml><?xml version="1.0" encoding="utf-8"?>
<worksheet xmlns="http://schemas.openxmlformats.org/spreadsheetml/2006/main">
  <sheetPr>
    <tabColor rgb="FFA6A6A6"/>
    <outlinePr summaryBelow="1" summaryRight="1"/>
    <pageSetUpPr fitToPage="1"/>
  </sheetPr>
  <dimension ref="A1:S38"/>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8" customWidth="1" style="71" min="1" max="1"/>
    <col width="34" customWidth="1" style="71" min="2" max="2"/>
    <col width="11" customWidth="1" style="71" min="3" max="18"/>
  </cols>
  <sheetData>
    <row r="1" ht="26.1" customHeight="1" s="71">
      <c r="A1" s="1" t="inlineStr">
        <is>
          <t>12. EVM E CURVA S — valor planejado × valor medido × custo real, acumulados</t>
        </is>
      </c>
      <c r="B1" s="2" t="n"/>
      <c r="C1" s="2" t="n"/>
      <c r="D1" s="2" t="n"/>
      <c r="E1" s="2" t="n"/>
      <c r="F1" s="2" t="n"/>
      <c r="G1" s="2" t="n"/>
      <c r="H1" s="2" t="n"/>
      <c r="I1" s="2" t="n"/>
      <c r="J1" s="2" t="n"/>
      <c r="K1" s="2" t="n"/>
      <c r="L1" s="2" t="n"/>
      <c r="M1" s="2" t="n"/>
      <c r="N1" s="2" t="n"/>
      <c r="O1" s="2" t="n"/>
      <c r="P1" s="2" t="n"/>
      <c r="Q1" s="2" t="n"/>
      <c r="R1" s="2" t="n"/>
      <c r="S1" s="3" t="inlineStr">
        <is>
          <t>◀ MENU</t>
        </is>
      </c>
    </row>
    <row r="2">
      <c r="A2" s="4" t="inlineStr">
        <is>
          <t>VP = medição prevista acumulada (04). VA = medido aprovado acumulado (06: APROVADO, FATURADO ou RECEBIDO). CR = custo realizado acumulado (08). IDP só nos meses com BM fechado. IDC a custo = valor agregado a custo ÷ CR (linhas 23 a 38).</t>
        </is>
      </c>
    </row>
    <row r="3">
      <c r="C3" s="62" t="n">
        <v>46266</v>
      </c>
      <c r="D3" s="62" t="n">
        <v>46296</v>
      </c>
      <c r="E3" s="62" t="n">
        <v>46327</v>
      </c>
      <c r="F3" s="62" t="n">
        <v>46357</v>
      </c>
      <c r="G3" s="62" t="n">
        <v>46388</v>
      </c>
      <c r="H3" s="62" t="n">
        <v>46419</v>
      </c>
      <c r="I3" s="62" t="n">
        <v>46447</v>
      </c>
      <c r="J3" s="62" t="n">
        <v>46478</v>
      </c>
      <c r="K3" s="62" t="n">
        <v>46508</v>
      </c>
      <c r="L3" s="62" t="n">
        <v>46539</v>
      </c>
      <c r="M3" s="62" t="n">
        <v>46569</v>
      </c>
      <c r="N3" s="62" t="n">
        <v>46600</v>
      </c>
      <c r="O3" s="62" t="n">
        <v>46631</v>
      </c>
      <c r="P3" s="62" t="n">
        <v>46661</v>
      </c>
      <c r="Q3" s="62" t="n">
        <v>46692</v>
      </c>
      <c r="R3" s="62" t="n">
        <v>46722</v>
      </c>
    </row>
    <row r="4" ht="30" customHeight="1" s="71">
      <c r="A4" s="23" t="n"/>
      <c r="B4" s="23" t="inlineStr">
        <is>
          <t>LINHA</t>
        </is>
      </c>
      <c r="C4" s="23" t="inlineStr">
        <is>
          <t>set/26</t>
        </is>
      </c>
      <c r="D4" s="23" t="inlineStr">
        <is>
          <t>out/26</t>
        </is>
      </c>
      <c r="E4" s="23" t="inlineStr">
        <is>
          <t>nov/26</t>
        </is>
      </c>
      <c r="F4" s="23" t="inlineStr">
        <is>
          <t>dez/26</t>
        </is>
      </c>
      <c r="G4" s="23" t="inlineStr">
        <is>
          <t>jan/27</t>
        </is>
      </c>
      <c r="H4" s="23" t="inlineStr">
        <is>
          <t>fev/27</t>
        </is>
      </c>
      <c r="I4" s="23" t="inlineStr">
        <is>
          <t>mar/27</t>
        </is>
      </c>
      <c r="J4" s="23" t="inlineStr">
        <is>
          <t>abr/27</t>
        </is>
      </c>
      <c r="K4" s="23" t="inlineStr">
        <is>
          <t>mai/27</t>
        </is>
      </c>
      <c r="L4" s="23" t="inlineStr">
        <is>
          <t>jun/27</t>
        </is>
      </c>
      <c r="M4" s="23" t="inlineStr">
        <is>
          <t>jul/27</t>
        </is>
      </c>
      <c r="N4" s="23" t="inlineStr">
        <is>
          <t>ago/27</t>
        </is>
      </c>
      <c r="O4" s="23" t="inlineStr">
        <is>
          <t>set/27</t>
        </is>
      </c>
      <c r="P4" s="23" t="inlineStr">
        <is>
          <t>out/27</t>
        </is>
      </c>
      <c r="Q4" s="23" t="inlineStr">
        <is>
          <t>nov/27</t>
        </is>
      </c>
      <c r="R4" s="23" t="inlineStr">
        <is>
          <t>dez/27</t>
        </is>
      </c>
    </row>
    <row r="5">
      <c r="A5" s="18" t="inlineStr">
        <is>
          <t>342</t>
        </is>
      </c>
      <c r="B5" s="30" t="inlineStr">
        <is>
          <t>VP — medição prevista acumulada</t>
        </is>
      </c>
      <c r="C5" s="297">
        <f>SUM('04. PLANO DAS OBRAS'!$C$6:C6)</f>
        <v>0</v>
      </c>
      <c r="D5" s="297">
        <f>SUM('04. PLANO DAS OBRAS'!$C$6:D6)</f>
        <v>0</v>
      </c>
      <c r="E5" s="297">
        <f>SUM('04. PLANO DAS OBRAS'!$C$6:E6)</f>
        <v>188227.58</v>
      </c>
      <c r="F5" s="297">
        <f>SUM('04. PLANO DAS OBRAS'!$C$6:F6)</f>
        <v>277425.14</v>
      </c>
      <c r="G5" s="297">
        <f>SUM('04. PLANO DAS OBRAS'!$C$6:G6)</f>
        <v>1233452</v>
      </c>
      <c r="H5" s="297">
        <f>SUM('04. PLANO DAS OBRAS'!$C$6:H6)</f>
        <v>1251294.53</v>
      </c>
      <c r="I5" s="297">
        <f>SUM('04. PLANO DAS OBRAS'!$C$6:I6)</f>
        <v>1564498.39</v>
      </c>
      <c r="J5" s="297">
        <f>SUM('04. PLANO DAS OBRAS'!$C$6:J6)</f>
        <v>2468511.21</v>
      </c>
      <c r="K5" s="297">
        <f>SUM('04. PLANO DAS OBRAS'!$C$6:K6)</f>
        <v>2722151.25</v>
      </c>
      <c r="L5" s="297">
        <f>SUM('04. PLANO DAS OBRAS'!$C$6:L6)</f>
        <v>3137487.17</v>
      </c>
      <c r="M5" s="297">
        <f>SUM('04. PLANO DAS OBRAS'!$C$6:M6)</f>
        <v>3188247.57</v>
      </c>
      <c r="N5" s="297">
        <f>SUM('04. PLANO DAS OBRAS'!$C$6:N6)</f>
        <v>3255175.07</v>
      </c>
      <c r="O5" s="297">
        <f>SUM('04. PLANO DAS OBRAS'!$C$6:O6)</f>
        <v>3257970.74</v>
      </c>
      <c r="P5" s="297">
        <f>SUM('04. PLANO DAS OBRAS'!$C$6:P6)</f>
        <v>3257970.74</v>
      </c>
      <c r="Q5" s="297">
        <f>SUM('04. PLANO DAS OBRAS'!$C$6:Q6)</f>
        <v>3257970.74</v>
      </c>
      <c r="R5" s="297">
        <f>SUM('04. PLANO DAS OBRAS'!$C$6:R6)</f>
        <v>3257970.74</v>
      </c>
    </row>
    <row r="6">
      <c r="B6" s="30" t="inlineStr">
        <is>
          <t>VA: medido aprovado acumulado</t>
        </is>
      </c>
      <c r="C6" s="315">
        <f>SUM(SUMIFS('06. MEDIÇÃO (BM)'!$G$5:$G$44,'06. MEDIÇÃO (BM)'!$B$5:$B$44,"342",'06. MEDIÇÃO (BM)'!$D$5:$D$44,"&lt;"&amp;EDATE(C$3,1),'06. MEDIÇÃO (BM)'!$F$5:$F$44,{"APROVADO","FATURADO","RECEBIDO"}))</f>
        <v>0</v>
      </c>
      <c r="D6" s="315">
        <f>SUM(SUMIFS('06. MEDIÇÃO (BM)'!$G$5:$G$44,'06. MEDIÇÃO (BM)'!$B$5:$B$44,"342",'06. MEDIÇÃO (BM)'!$D$5:$D$44,"&lt;"&amp;EDATE(D$3,1),'06. MEDIÇÃO (BM)'!$F$5:$F$44,{"APROVADO","FATURADO","RECEBIDO"}))</f>
        <v>0</v>
      </c>
      <c r="E6" s="315">
        <f>SUM(SUMIFS('06. MEDIÇÃO (BM)'!$G$5:$G$44,'06. MEDIÇÃO (BM)'!$B$5:$B$44,"342",'06. MEDIÇÃO (BM)'!$D$5:$D$44,"&lt;"&amp;EDATE(E$3,1),'06. MEDIÇÃO (BM)'!$F$5:$F$44,{"APROVADO","FATURADO","RECEBIDO"}))</f>
        <v>0</v>
      </c>
      <c r="F6" s="315">
        <f>SUM(SUMIFS('06. MEDIÇÃO (BM)'!$G$5:$G$44,'06. MEDIÇÃO (BM)'!$B$5:$B$44,"342",'06. MEDIÇÃO (BM)'!$D$5:$D$44,"&lt;"&amp;EDATE(F$3,1),'06. MEDIÇÃO (BM)'!$F$5:$F$44,{"APROVADO","FATURADO","RECEBIDO"}))</f>
        <v>0</v>
      </c>
      <c r="G6" s="315">
        <f>SUM(SUMIFS('06. MEDIÇÃO (BM)'!$G$5:$G$44,'06. MEDIÇÃO (BM)'!$B$5:$B$44,"342",'06. MEDIÇÃO (BM)'!$D$5:$D$44,"&lt;"&amp;EDATE(G$3,1),'06. MEDIÇÃO (BM)'!$F$5:$F$44,{"APROVADO","FATURADO","RECEBIDO"}))</f>
        <v>0</v>
      </c>
      <c r="H6" s="315">
        <f>SUM(SUMIFS('06. MEDIÇÃO (BM)'!$G$5:$G$44,'06. MEDIÇÃO (BM)'!$B$5:$B$44,"342",'06. MEDIÇÃO (BM)'!$D$5:$D$44,"&lt;"&amp;EDATE(H$3,1),'06. MEDIÇÃO (BM)'!$F$5:$F$44,{"APROVADO","FATURADO","RECEBIDO"}))</f>
        <v>0</v>
      </c>
      <c r="I6" s="315">
        <f>SUM(SUMIFS('06. MEDIÇÃO (BM)'!$G$5:$G$44,'06. MEDIÇÃO (BM)'!$B$5:$B$44,"342",'06. MEDIÇÃO (BM)'!$D$5:$D$44,"&lt;"&amp;EDATE(I$3,1),'06. MEDIÇÃO (BM)'!$F$5:$F$44,{"APROVADO","FATURADO","RECEBIDO"}))</f>
        <v>0</v>
      </c>
      <c r="J6" s="315">
        <f>SUM(SUMIFS('06. MEDIÇÃO (BM)'!$G$5:$G$44,'06. MEDIÇÃO (BM)'!$B$5:$B$44,"342",'06. MEDIÇÃO (BM)'!$D$5:$D$44,"&lt;"&amp;EDATE(J$3,1),'06. MEDIÇÃO (BM)'!$F$5:$F$44,{"APROVADO","FATURADO","RECEBIDO"}))</f>
        <v>0</v>
      </c>
      <c r="K6" s="315">
        <f>SUM(SUMIFS('06. MEDIÇÃO (BM)'!$G$5:$G$44,'06. MEDIÇÃO (BM)'!$B$5:$B$44,"342",'06. MEDIÇÃO (BM)'!$D$5:$D$44,"&lt;"&amp;EDATE(K$3,1),'06. MEDIÇÃO (BM)'!$F$5:$F$44,{"APROVADO","FATURADO","RECEBIDO"}))</f>
        <v>0</v>
      </c>
      <c r="L6" s="315">
        <f>SUM(SUMIFS('06. MEDIÇÃO (BM)'!$G$5:$G$44,'06. MEDIÇÃO (BM)'!$B$5:$B$44,"342",'06. MEDIÇÃO (BM)'!$D$5:$D$44,"&lt;"&amp;EDATE(L$3,1),'06. MEDIÇÃO (BM)'!$F$5:$F$44,{"APROVADO","FATURADO","RECEBIDO"}))</f>
        <v>0</v>
      </c>
      <c r="M6" s="315">
        <f>SUM(SUMIFS('06. MEDIÇÃO (BM)'!$G$5:$G$44,'06. MEDIÇÃO (BM)'!$B$5:$B$44,"342",'06. MEDIÇÃO (BM)'!$D$5:$D$44,"&lt;"&amp;EDATE(M$3,1),'06. MEDIÇÃO (BM)'!$F$5:$F$44,{"APROVADO","FATURADO","RECEBIDO"}))</f>
        <v>0</v>
      </c>
      <c r="N6" s="315">
        <f>SUM(SUMIFS('06. MEDIÇÃO (BM)'!$G$5:$G$44,'06. MEDIÇÃO (BM)'!$B$5:$B$44,"342",'06. MEDIÇÃO (BM)'!$D$5:$D$44,"&lt;"&amp;EDATE(N$3,1),'06. MEDIÇÃO (BM)'!$F$5:$F$44,{"APROVADO","FATURADO","RECEBIDO"}))</f>
        <v>0</v>
      </c>
      <c r="O6" s="315">
        <f>SUM(SUMIFS('06. MEDIÇÃO (BM)'!$G$5:$G$44,'06. MEDIÇÃO (BM)'!$B$5:$B$44,"342",'06. MEDIÇÃO (BM)'!$D$5:$D$44,"&lt;"&amp;EDATE(O$3,1),'06. MEDIÇÃO (BM)'!$F$5:$F$44,{"APROVADO","FATURADO","RECEBIDO"}))</f>
        <v>0</v>
      </c>
      <c r="P6" s="315">
        <f>SUM(SUMIFS('06. MEDIÇÃO (BM)'!$G$5:$G$44,'06. MEDIÇÃO (BM)'!$B$5:$B$44,"342",'06. MEDIÇÃO (BM)'!$D$5:$D$44,"&lt;"&amp;EDATE(P$3,1),'06. MEDIÇÃO (BM)'!$F$5:$F$44,{"APROVADO","FATURADO","RECEBIDO"}))</f>
        <v>0</v>
      </c>
      <c r="Q6" s="315">
        <f>SUM(SUMIFS('06. MEDIÇÃO (BM)'!$G$5:$G$44,'06. MEDIÇÃO (BM)'!$B$5:$B$44,"342",'06. MEDIÇÃO (BM)'!$D$5:$D$44,"&lt;"&amp;EDATE(Q$3,1),'06. MEDIÇÃO (BM)'!$F$5:$F$44,{"APROVADO","FATURADO","RECEBIDO"}))</f>
        <v>0</v>
      </c>
      <c r="R6" s="315">
        <f>SUM(SUMIFS('06. MEDIÇÃO (BM)'!$G$5:$G$44,'06. MEDIÇÃO (BM)'!$B$5:$B$44,"342",'06. MEDIÇÃO (BM)'!$D$5:$D$44,"&lt;"&amp;EDATE(R$3,1),'06. MEDIÇÃO (BM)'!$F$5:$F$44,{"APROVADO","FATURADO","RECEBIDO"}))</f>
        <v>0</v>
      </c>
    </row>
    <row r="7">
      <c r="B7" s="30" t="inlineStr">
        <is>
          <t>CR — custo realizado acumulado</t>
        </is>
      </c>
      <c r="C7" s="315">
        <f>SUMIFS('08. CUSTOS'!$F$5:$F$404,'08. CUSTOS'!$C$5:$C$404,"342",'08. CUSTOS'!$B$5:$B$404,"&lt;"&amp;EDATE(C$3,1))</f>
        <v>0</v>
      </c>
      <c r="D7" s="315">
        <f>SUMIFS('08. CUSTOS'!$F$5:$F$404,'08. CUSTOS'!$C$5:$C$404,"342",'08. CUSTOS'!$B$5:$B$404,"&lt;"&amp;EDATE(D$3,1))</f>
        <v>0</v>
      </c>
      <c r="E7" s="315">
        <f>SUMIFS('08. CUSTOS'!$F$5:$F$404,'08. CUSTOS'!$C$5:$C$404,"342",'08. CUSTOS'!$B$5:$B$404,"&lt;"&amp;EDATE(E$3,1))</f>
        <v>0</v>
      </c>
      <c r="F7" s="315">
        <f>SUMIFS('08. CUSTOS'!$F$5:$F$404,'08. CUSTOS'!$C$5:$C$404,"342",'08. CUSTOS'!$B$5:$B$404,"&lt;"&amp;EDATE(F$3,1))</f>
        <v>0</v>
      </c>
      <c r="G7" s="315">
        <f>SUMIFS('08. CUSTOS'!$F$5:$F$404,'08. CUSTOS'!$C$5:$C$404,"342",'08. CUSTOS'!$B$5:$B$404,"&lt;"&amp;EDATE(G$3,1))</f>
        <v>0</v>
      </c>
      <c r="H7" s="315">
        <f>SUMIFS('08. CUSTOS'!$F$5:$F$404,'08. CUSTOS'!$C$5:$C$404,"342",'08. CUSTOS'!$B$5:$B$404,"&lt;"&amp;EDATE(H$3,1))</f>
        <v>0</v>
      </c>
      <c r="I7" s="315">
        <f>SUMIFS('08. CUSTOS'!$F$5:$F$404,'08. CUSTOS'!$C$5:$C$404,"342",'08. CUSTOS'!$B$5:$B$404,"&lt;"&amp;EDATE(I$3,1))</f>
        <v>0</v>
      </c>
      <c r="J7" s="315">
        <f>SUMIFS('08. CUSTOS'!$F$5:$F$404,'08. CUSTOS'!$C$5:$C$404,"342",'08. CUSTOS'!$B$5:$B$404,"&lt;"&amp;EDATE(J$3,1))</f>
        <v>0</v>
      </c>
      <c r="K7" s="315">
        <f>SUMIFS('08. CUSTOS'!$F$5:$F$404,'08. CUSTOS'!$C$5:$C$404,"342",'08. CUSTOS'!$B$5:$B$404,"&lt;"&amp;EDATE(K$3,1))</f>
        <v>0</v>
      </c>
      <c r="L7" s="315">
        <f>SUMIFS('08. CUSTOS'!$F$5:$F$404,'08. CUSTOS'!$C$5:$C$404,"342",'08. CUSTOS'!$B$5:$B$404,"&lt;"&amp;EDATE(L$3,1))</f>
        <v>0</v>
      </c>
      <c r="M7" s="315">
        <f>SUMIFS('08. CUSTOS'!$F$5:$F$404,'08. CUSTOS'!$C$5:$C$404,"342",'08. CUSTOS'!$B$5:$B$404,"&lt;"&amp;EDATE(M$3,1))</f>
        <v>0</v>
      </c>
      <c r="N7" s="315">
        <f>SUMIFS('08. CUSTOS'!$F$5:$F$404,'08. CUSTOS'!$C$5:$C$404,"342",'08. CUSTOS'!$B$5:$B$404,"&lt;"&amp;EDATE(N$3,1))</f>
        <v>0</v>
      </c>
      <c r="O7" s="315">
        <f>SUMIFS('08. CUSTOS'!$F$5:$F$404,'08. CUSTOS'!$C$5:$C$404,"342",'08. CUSTOS'!$B$5:$B$404,"&lt;"&amp;EDATE(O$3,1))</f>
        <v>0</v>
      </c>
      <c r="P7" s="315">
        <f>SUMIFS('08. CUSTOS'!$F$5:$F$404,'08. CUSTOS'!$C$5:$C$404,"342",'08. CUSTOS'!$B$5:$B$404,"&lt;"&amp;EDATE(P$3,1))</f>
        <v>0</v>
      </c>
      <c r="Q7" s="315">
        <f>SUMIFS('08. CUSTOS'!$F$5:$F$404,'08. CUSTOS'!$C$5:$C$404,"342",'08. CUSTOS'!$B$5:$B$404,"&lt;"&amp;EDATE(Q$3,1))</f>
        <v>0</v>
      </c>
      <c r="R7" s="315">
        <f>SUMIFS('08. CUSTOS'!$F$5:$F$404,'08. CUSTOS'!$C$5:$C$404,"342",'08. CUSTOS'!$B$5:$B$404,"&lt;"&amp;EDATE(R$3,1))</f>
        <v>0</v>
      </c>
    </row>
    <row r="8">
      <c r="B8" s="30" t="inlineStr">
        <is>
          <t>IDP (prazo) = VA ÷ VP, só mês com BM fechado (dia 20)</t>
        </is>
      </c>
      <c r="C8" s="58" t="str">
        <f>IF(C$3&gt;DATA_GESTAO-19,"",IF(C5=0,"SEM BASE",C6/C5))</f>
        <v>SEM BASE</v>
      </c>
      <c r="D8" s="58">
        <f>IF(D$3&gt;DATA_GESTAO-19,"",IF(D5=0,"SEM BASE",D6/D5))</f>
      </c>
      <c r="E8" s="58">
        <f>IF(E$3&gt;DATA_GESTAO-19,"",IF(E5=0,"SEM BASE",E6/E5))</f>
      </c>
      <c r="F8" s="58">
        <f>IF(F$3&gt;DATA_GESTAO-19,"",IF(F5=0,"SEM BASE",F6/F5))</f>
      </c>
      <c r="G8" s="58">
        <f>IF(G$3&gt;DATA_GESTAO-19,"",IF(G5=0,"SEM BASE",G6/G5))</f>
      </c>
      <c r="H8" s="58">
        <f>IF(H$3&gt;DATA_GESTAO-19,"",IF(H5=0,"SEM BASE",H6/H5))</f>
      </c>
      <c r="I8" s="58">
        <f>IF(I$3&gt;DATA_GESTAO-19,"",IF(I5=0,"SEM BASE",I6/I5))</f>
      </c>
      <c r="J8" s="58">
        <f>IF(J$3&gt;DATA_GESTAO-19,"",IF(J5=0,"SEM BASE",J6/J5))</f>
      </c>
      <c r="K8" s="58">
        <f>IF(K$3&gt;DATA_GESTAO-19,"",IF(K5=0,"SEM BASE",K6/K5))</f>
      </c>
      <c r="L8" s="58">
        <f>IF(L$3&gt;DATA_GESTAO-19,"",IF(L5=0,"SEM BASE",L6/L5))</f>
      </c>
      <c r="M8" s="58">
        <f>IF(M$3&gt;DATA_GESTAO-19,"",IF(M5=0,"SEM BASE",M6/M5))</f>
      </c>
      <c r="N8" s="58">
        <f>IF(N$3&gt;DATA_GESTAO-19,"",IF(N5=0,"SEM BASE",N6/N5))</f>
      </c>
      <c r="O8" s="58">
        <f>IF(O$3&gt;DATA_GESTAO-19,"",IF(O5=0,"SEM BASE",O6/O5))</f>
      </c>
      <c r="P8" s="58">
        <f>IF(P$3&gt;DATA_GESTAO-19,"",IF(P5=0,"SEM BASE",P6/P5))</f>
      </c>
      <c r="Q8" s="58">
        <f>IF(Q$3&gt;DATA_GESTAO-19,"",IF(Q5=0,"SEM BASE",Q6/Q5))</f>
      </c>
      <c r="R8" s="58">
        <f>IF(R$3&gt;DATA_GESTAO-19,"",IF(R5=0,"SEM BASE",R6/R5))</f>
      </c>
    </row>
    <row r="9">
      <c r="B9" s="30" t="inlineStr">
        <is>
          <t>IDC a custo = VA a custo ÷ CR (mês do corte, linha 38)</t>
        </is>
      </c>
      <c r="C9" s="58">
        <f>IF(OR(C$3&gt;DATA_GESTAO,EDATE(C$3,1)&lt;=DATA_GESTAO),"",IF(ISNUMBER($G$38),$G$38,"SEM BASE"))</f>
      </c>
      <c r="D9" s="58" t="str">
        <f>IF(OR(D$3&gt;DATA_GESTAO,EDATE(D$3,1)&lt;=DATA_GESTAO),"",IF(ISNUMBER($G$38),$G$38,"SEM BASE"))</f>
        <v>SEM BASE</v>
      </c>
      <c r="E9" s="58">
        <f>IF(OR(E$3&gt;DATA_GESTAO,EDATE(E$3,1)&lt;=DATA_GESTAO),"",IF(ISNUMBER($G$38),$G$38,"SEM BASE"))</f>
      </c>
      <c r="F9" s="58">
        <f>IF(OR(F$3&gt;DATA_GESTAO,EDATE(F$3,1)&lt;=DATA_GESTAO),"",IF(ISNUMBER($G$38),$G$38,"SEM BASE"))</f>
      </c>
      <c r="G9" s="58">
        <f>IF(OR(G$3&gt;DATA_GESTAO,EDATE(G$3,1)&lt;=DATA_GESTAO),"",IF(ISNUMBER($G$38),$G$38,"SEM BASE"))</f>
      </c>
      <c r="H9" s="58">
        <f>IF(OR(H$3&gt;DATA_GESTAO,EDATE(H$3,1)&lt;=DATA_GESTAO),"",IF(ISNUMBER($G$38),$G$38,"SEM BASE"))</f>
      </c>
      <c r="I9" s="58">
        <f>IF(OR(I$3&gt;DATA_GESTAO,EDATE(I$3,1)&lt;=DATA_GESTAO),"",IF(ISNUMBER($G$38),$G$38,"SEM BASE"))</f>
      </c>
      <c r="J9" s="58">
        <f>IF(OR(J$3&gt;DATA_GESTAO,EDATE(J$3,1)&lt;=DATA_GESTAO),"",IF(ISNUMBER($G$38),$G$38,"SEM BASE"))</f>
      </c>
      <c r="K9" s="58">
        <f>IF(OR(K$3&gt;DATA_GESTAO,EDATE(K$3,1)&lt;=DATA_GESTAO),"",IF(ISNUMBER($G$38),$G$38,"SEM BASE"))</f>
      </c>
      <c r="L9" s="58">
        <f>IF(OR(L$3&gt;DATA_GESTAO,EDATE(L$3,1)&lt;=DATA_GESTAO),"",IF(ISNUMBER($G$38),$G$38,"SEM BASE"))</f>
      </c>
      <c r="M9" s="58">
        <f>IF(OR(M$3&gt;DATA_GESTAO,EDATE(M$3,1)&lt;=DATA_GESTAO),"",IF(ISNUMBER($G$38),$G$38,"SEM BASE"))</f>
      </c>
      <c r="N9" s="58">
        <f>IF(OR(N$3&gt;DATA_GESTAO,EDATE(N$3,1)&lt;=DATA_GESTAO),"",IF(ISNUMBER($G$38),$G$38,"SEM BASE"))</f>
      </c>
      <c r="O9" s="58">
        <f>IF(OR(O$3&gt;DATA_GESTAO,EDATE(O$3,1)&lt;=DATA_GESTAO),"",IF(ISNUMBER($G$38),$G$38,"SEM BASE"))</f>
      </c>
      <c r="P9" s="58">
        <f>IF(OR(P$3&gt;DATA_GESTAO,EDATE(P$3,1)&lt;=DATA_GESTAO),"",IF(ISNUMBER($G$38),$G$38,"SEM BASE"))</f>
      </c>
      <c r="Q9" s="58">
        <f>IF(OR(Q$3&gt;DATA_GESTAO,EDATE(Q$3,1)&lt;=DATA_GESTAO),"",IF(ISNUMBER($G$38),$G$38,"SEM BASE"))</f>
      </c>
      <c r="R9" s="58">
        <f>IF(OR(R$3&gt;DATA_GESTAO,EDATE(R$3,1)&lt;=DATA_GESTAO),"",IF(ISNUMBER($G$38),$G$38,"SEM BASE"))</f>
      </c>
    </row>
    <row r="10"/>
    <row r="11">
      <c r="A11" s="18" t="inlineStr">
        <is>
          <t>343</t>
        </is>
      </c>
      <c r="B11" s="30" t="inlineStr">
        <is>
          <t>VP — medição prevista acumulada</t>
        </is>
      </c>
      <c r="C11" s="297">
        <f>SUM('04. PLANO DAS OBRAS'!$C$18:C18)</f>
        <v>0</v>
      </c>
      <c r="D11" s="297">
        <f>SUM('04. PLANO DAS OBRAS'!$C$18:D18)</f>
        <v>1181684.09</v>
      </c>
      <c r="E11" s="297">
        <f>SUM('04. PLANO DAS OBRAS'!$C$18:E18)</f>
        <v>2069594.98</v>
      </c>
      <c r="F11" s="297">
        <f>SUM('04. PLANO DAS OBRAS'!$C$18:F18)</f>
        <v>2705536.18</v>
      </c>
      <c r="G11" s="297">
        <f>SUM('04. PLANO DAS OBRAS'!$C$18:G18)</f>
        <v>3264639.23</v>
      </c>
      <c r="H11" s="297">
        <f>SUM('04. PLANO DAS OBRAS'!$C$18:H18)</f>
        <v>3767831.98</v>
      </c>
      <c r="I11" s="297">
        <f>SUM('04. PLANO DAS OBRAS'!$C$18:I18)</f>
        <v>4382845.34</v>
      </c>
      <c r="J11" s="297">
        <f>SUM('04. PLANO DAS OBRAS'!$C$18:J18)</f>
        <v>4927090.97</v>
      </c>
      <c r="K11" s="297">
        <f>SUM('04. PLANO DAS OBRAS'!$C$18:K18)</f>
        <v>5234011.09</v>
      </c>
      <c r="L11" s="297">
        <f>SUM('04. PLANO DAS OBRAS'!$C$18:L18)</f>
        <v>5234011.09</v>
      </c>
      <c r="M11" s="297">
        <f>SUM('04. PLANO DAS OBRAS'!$C$18:M18)</f>
        <v>5234011.09</v>
      </c>
      <c r="N11" s="297">
        <f>SUM('04. PLANO DAS OBRAS'!$C$18:N18)</f>
        <v>5234011.09</v>
      </c>
      <c r="O11" s="297">
        <f>SUM('04. PLANO DAS OBRAS'!$C$18:O18)</f>
        <v>5234011.09</v>
      </c>
      <c r="P11" s="297">
        <f>SUM('04. PLANO DAS OBRAS'!$C$18:P18)</f>
        <v>5234011.09</v>
      </c>
      <c r="Q11" s="297">
        <f>SUM('04. PLANO DAS OBRAS'!$C$18:Q18)</f>
        <v>5234011.09</v>
      </c>
      <c r="R11" s="297">
        <f>SUM('04. PLANO DAS OBRAS'!$C$18:R18)</f>
        <v>5234011.09</v>
      </c>
    </row>
    <row r="12">
      <c r="B12" s="30" t="inlineStr">
        <is>
          <t>VA: medido aprovado acumulado</t>
        </is>
      </c>
      <c r="C12" s="315">
        <f>SUM(SUMIFS('06. MEDIÇÃO (BM)'!$G$5:$G$44,'06. MEDIÇÃO (BM)'!$B$5:$B$44,"343",'06. MEDIÇÃO (BM)'!$D$5:$D$44,"&lt;"&amp;EDATE(C$3,1),'06. MEDIÇÃO (BM)'!$F$5:$F$44,{"APROVADO","FATURADO","RECEBIDO"}))</f>
        <v>0</v>
      </c>
      <c r="D12" s="315">
        <f>SUM(SUMIFS('06. MEDIÇÃO (BM)'!$G$5:$G$44,'06. MEDIÇÃO (BM)'!$B$5:$B$44,"343",'06. MEDIÇÃO (BM)'!$D$5:$D$44,"&lt;"&amp;EDATE(D$3,1),'06. MEDIÇÃO (BM)'!$F$5:$F$44,{"APROVADO","FATURADO","RECEBIDO"}))</f>
        <v>0</v>
      </c>
      <c r="E12" s="315">
        <f>SUM(SUMIFS('06. MEDIÇÃO (BM)'!$G$5:$G$44,'06. MEDIÇÃO (BM)'!$B$5:$B$44,"343",'06. MEDIÇÃO (BM)'!$D$5:$D$44,"&lt;"&amp;EDATE(E$3,1),'06. MEDIÇÃO (BM)'!$F$5:$F$44,{"APROVADO","FATURADO","RECEBIDO"}))</f>
        <v>0</v>
      </c>
      <c r="F12" s="315">
        <f>SUM(SUMIFS('06. MEDIÇÃO (BM)'!$G$5:$G$44,'06. MEDIÇÃO (BM)'!$B$5:$B$44,"343",'06. MEDIÇÃO (BM)'!$D$5:$D$44,"&lt;"&amp;EDATE(F$3,1),'06. MEDIÇÃO (BM)'!$F$5:$F$44,{"APROVADO","FATURADO","RECEBIDO"}))</f>
        <v>0</v>
      </c>
      <c r="G12" s="315">
        <f>SUM(SUMIFS('06. MEDIÇÃO (BM)'!$G$5:$G$44,'06. MEDIÇÃO (BM)'!$B$5:$B$44,"343",'06. MEDIÇÃO (BM)'!$D$5:$D$44,"&lt;"&amp;EDATE(G$3,1),'06. MEDIÇÃO (BM)'!$F$5:$F$44,{"APROVADO","FATURADO","RECEBIDO"}))</f>
        <v>0</v>
      </c>
      <c r="H12" s="315">
        <f>SUM(SUMIFS('06. MEDIÇÃO (BM)'!$G$5:$G$44,'06. MEDIÇÃO (BM)'!$B$5:$B$44,"343",'06. MEDIÇÃO (BM)'!$D$5:$D$44,"&lt;"&amp;EDATE(H$3,1),'06. MEDIÇÃO (BM)'!$F$5:$F$44,{"APROVADO","FATURADO","RECEBIDO"}))</f>
        <v>0</v>
      </c>
      <c r="I12" s="315">
        <f>SUM(SUMIFS('06. MEDIÇÃO (BM)'!$G$5:$G$44,'06. MEDIÇÃO (BM)'!$B$5:$B$44,"343",'06. MEDIÇÃO (BM)'!$D$5:$D$44,"&lt;"&amp;EDATE(I$3,1),'06. MEDIÇÃO (BM)'!$F$5:$F$44,{"APROVADO","FATURADO","RECEBIDO"}))</f>
        <v>0</v>
      </c>
      <c r="J12" s="315">
        <f>SUM(SUMIFS('06. MEDIÇÃO (BM)'!$G$5:$G$44,'06. MEDIÇÃO (BM)'!$B$5:$B$44,"343",'06. MEDIÇÃO (BM)'!$D$5:$D$44,"&lt;"&amp;EDATE(J$3,1),'06. MEDIÇÃO (BM)'!$F$5:$F$44,{"APROVADO","FATURADO","RECEBIDO"}))</f>
        <v>0</v>
      </c>
      <c r="K12" s="315">
        <f>SUM(SUMIFS('06. MEDIÇÃO (BM)'!$G$5:$G$44,'06. MEDIÇÃO (BM)'!$B$5:$B$44,"343",'06. MEDIÇÃO (BM)'!$D$5:$D$44,"&lt;"&amp;EDATE(K$3,1),'06. MEDIÇÃO (BM)'!$F$5:$F$44,{"APROVADO","FATURADO","RECEBIDO"}))</f>
        <v>0</v>
      </c>
      <c r="L12" s="315">
        <f>SUM(SUMIFS('06. MEDIÇÃO (BM)'!$G$5:$G$44,'06. MEDIÇÃO (BM)'!$B$5:$B$44,"343",'06. MEDIÇÃO (BM)'!$D$5:$D$44,"&lt;"&amp;EDATE(L$3,1),'06. MEDIÇÃO (BM)'!$F$5:$F$44,{"APROVADO","FATURADO","RECEBIDO"}))</f>
        <v>0</v>
      </c>
      <c r="M12" s="315">
        <f>SUM(SUMIFS('06. MEDIÇÃO (BM)'!$G$5:$G$44,'06. MEDIÇÃO (BM)'!$B$5:$B$44,"343",'06. MEDIÇÃO (BM)'!$D$5:$D$44,"&lt;"&amp;EDATE(M$3,1),'06. MEDIÇÃO (BM)'!$F$5:$F$44,{"APROVADO","FATURADO","RECEBIDO"}))</f>
        <v>0</v>
      </c>
      <c r="N12" s="315">
        <f>SUM(SUMIFS('06. MEDIÇÃO (BM)'!$G$5:$G$44,'06. MEDIÇÃO (BM)'!$B$5:$B$44,"343",'06. MEDIÇÃO (BM)'!$D$5:$D$44,"&lt;"&amp;EDATE(N$3,1),'06. MEDIÇÃO (BM)'!$F$5:$F$44,{"APROVADO","FATURADO","RECEBIDO"}))</f>
        <v>0</v>
      </c>
      <c r="O12" s="315">
        <f>SUM(SUMIFS('06. MEDIÇÃO (BM)'!$G$5:$G$44,'06. MEDIÇÃO (BM)'!$B$5:$B$44,"343",'06. MEDIÇÃO (BM)'!$D$5:$D$44,"&lt;"&amp;EDATE(O$3,1),'06. MEDIÇÃO (BM)'!$F$5:$F$44,{"APROVADO","FATURADO","RECEBIDO"}))</f>
        <v>0</v>
      </c>
      <c r="P12" s="315">
        <f>SUM(SUMIFS('06. MEDIÇÃO (BM)'!$G$5:$G$44,'06. MEDIÇÃO (BM)'!$B$5:$B$44,"343",'06. MEDIÇÃO (BM)'!$D$5:$D$44,"&lt;"&amp;EDATE(P$3,1),'06. MEDIÇÃO (BM)'!$F$5:$F$44,{"APROVADO","FATURADO","RECEBIDO"}))</f>
        <v>0</v>
      </c>
      <c r="Q12" s="315">
        <f>SUM(SUMIFS('06. MEDIÇÃO (BM)'!$G$5:$G$44,'06. MEDIÇÃO (BM)'!$B$5:$B$44,"343",'06. MEDIÇÃO (BM)'!$D$5:$D$44,"&lt;"&amp;EDATE(Q$3,1),'06. MEDIÇÃO (BM)'!$F$5:$F$44,{"APROVADO","FATURADO","RECEBIDO"}))</f>
        <v>0</v>
      </c>
      <c r="R12" s="315">
        <f>SUM(SUMIFS('06. MEDIÇÃO (BM)'!$G$5:$G$44,'06. MEDIÇÃO (BM)'!$B$5:$B$44,"343",'06. MEDIÇÃO (BM)'!$D$5:$D$44,"&lt;"&amp;EDATE(R$3,1),'06. MEDIÇÃO (BM)'!$F$5:$F$44,{"APROVADO","FATURADO","RECEBIDO"}))</f>
        <v>0</v>
      </c>
    </row>
    <row r="13">
      <c r="B13" s="30" t="inlineStr">
        <is>
          <t>CR — custo realizado acumulado</t>
        </is>
      </c>
      <c r="C13" s="315">
        <f>SUMIFS('08. CUSTOS'!$F$5:$F$404,'08. CUSTOS'!$C$5:$C$404,"343",'08. CUSTOS'!$B$5:$B$404,"&lt;"&amp;EDATE(C$3,1))</f>
        <v>0</v>
      </c>
      <c r="D13" s="315">
        <f>SUMIFS('08. CUSTOS'!$F$5:$F$404,'08. CUSTOS'!$C$5:$C$404,"343",'08. CUSTOS'!$B$5:$B$404,"&lt;"&amp;EDATE(D$3,1))</f>
        <v>0</v>
      </c>
      <c r="E13" s="315">
        <f>SUMIFS('08. CUSTOS'!$F$5:$F$404,'08. CUSTOS'!$C$5:$C$404,"343",'08. CUSTOS'!$B$5:$B$404,"&lt;"&amp;EDATE(E$3,1))</f>
        <v>0</v>
      </c>
      <c r="F13" s="315">
        <f>SUMIFS('08. CUSTOS'!$F$5:$F$404,'08. CUSTOS'!$C$5:$C$404,"343",'08. CUSTOS'!$B$5:$B$404,"&lt;"&amp;EDATE(F$3,1))</f>
        <v>0</v>
      </c>
      <c r="G13" s="315">
        <f>SUMIFS('08. CUSTOS'!$F$5:$F$404,'08. CUSTOS'!$C$5:$C$404,"343",'08. CUSTOS'!$B$5:$B$404,"&lt;"&amp;EDATE(G$3,1))</f>
        <v>0</v>
      </c>
      <c r="H13" s="315">
        <f>SUMIFS('08. CUSTOS'!$F$5:$F$404,'08. CUSTOS'!$C$5:$C$404,"343",'08. CUSTOS'!$B$5:$B$404,"&lt;"&amp;EDATE(H$3,1))</f>
        <v>0</v>
      </c>
      <c r="I13" s="315">
        <f>SUMIFS('08. CUSTOS'!$F$5:$F$404,'08. CUSTOS'!$C$5:$C$404,"343",'08. CUSTOS'!$B$5:$B$404,"&lt;"&amp;EDATE(I$3,1))</f>
        <v>0</v>
      </c>
      <c r="J13" s="315">
        <f>SUMIFS('08. CUSTOS'!$F$5:$F$404,'08. CUSTOS'!$C$5:$C$404,"343",'08. CUSTOS'!$B$5:$B$404,"&lt;"&amp;EDATE(J$3,1))</f>
        <v>0</v>
      </c>
      <c r="K13" s="315">
        <f>SUMIFS('08. CUSTOS'!$F$5:$F$404,'08. CUSTOS'!$C$5:$C$404,"343",'08. CUSTOS'!$B$5:$B$404,"&lt;"&amp;EDATE(K$3,1))</f>
        <v>0</v>
      </c>
      <c r="L13" s="315">
        <f>SUMIFS('08. CUSTOS'!$F$5:$F$404,'08. CUSTOS'!$C$5:$C$404,"343",'08. CUSTOS'!$B$5:$B$404,"&lt;"&amp;EDATE(L$3,1))</f>
        <v>0</v>
      </c>
      <c r="M13" s="315">
        <f>SUMIFS('08. CUSTOS'!$F$5:$F$404,'08. CUSTOS'!$C$5:$C$404,"343",'08. CUSTOS'!$B$5:$B$404,"&lt;"&amp;EDATE(M$3,1))</f>
        <v>0</v>
      </c>
      <c r="N13" s="315">
        <f>SUMIFS('08. CUSTOS'!$F$5:$F$404,'08. CUSTOS'!$C$5:$C$404,"343",'08. CUSTOS'!$B$5:$B$404,"&lt;"&amp;EDATE(N$3,1))</f>
        <v>0</v>
      </c>
      <c r="O13" s="315">
        <f>SUMIFS('08. CUSTOS'!$F$5:$F$404,'08. CUSTOS'!$C$5:$C$404,"343",'08. CUSTOS'!$B$5:$B$404,"&lt;"&amp;EDATE(O$3,1))</f>
        <v>0</v>
      </c>
      <c r="P13" s="315">
        <f>SUMIFS('08. CUSTOS'!$F$5:$F$404,'08. CUSTOS'!$C$5:$C$404,"343",'08. CUSTOS'!$B$5:$B$404,"&lt;"&amp;EDATE(P$3,1))</f>
        <v>0</v>
      </c>
      <c r="Q13" s="315">
        <f>SUMIFS('08. CUSTOS'!$F$5:$F$404,'08. CUSTOS'!$C$5:$C$404,"343",'08. CUSTOS'!$B$5:$B$404,"&lt;"&amp;EDATE(Q$3,1))</f>
        <v>0</v>
      </c>
      <c r="R13" s="315">
        <f>SUMIFS('08. CUSTOS'!$F$5:$F$404,'08. CUSTOS'!$C$5:$C$404,"343",'08. CUSTOS'!$B$5:$B$404,"&lt;"&amp;EDATE(R$3,1))</f>
        <v>0</v>
      </c>
    </row>
    <row r="14">
      <c r="B14" s="30" t="inlineStr">
        <is>
          <t>IDP (prazo) = VA ÷ VP, só mês já encerrado</t>
        </is>
      </c>
      <c r="C14" s="58" t="str">
        <f>IF(DATE(YEAR(C$3),MONTH(C$3)+1,0)&gt;=DATA_GESTAO,"",IF(C11=0,"SEM BASE",C12/C11))</f>
        <v>SEM BASE</v>
      </c>
      <c r="D14" s="58">
        <f>IF(DATE(YEAR(D$3),MONTH(D$3)+1,0)&gt;=DATA_GESTAO,"",IF(D11=0,"SEM BASE",D12/D11))</f>
      </c>
      <c r="E14" s="58">
        <f>IF(DATE(YEAR(E$3),MONTH(E$3)+1,0)&gt;=DATA_GESTAO,"",IF(E11=0,"SEM BASE",E12/E11))</f>
      </c>
      <c r="F14" s="58">
        <f>IF(DATE(YEAR(F$3),MONTH(F$3)+1,0)&gt;=DATA_GESTAO,"",IF(F11=0,"SEM BASE",F12/F11))</f>
      </c>
      <c r="G14" s="58">
        <f>IF(DATE(YEAR(G$3),MONTH(G$3)+1,0)&gt;=DATA_GESTAO,"",IF(G11=0,"SEM BASE",G12/G11))</f>
      </c>
      <c r="H14" s="58">
        <f>IF(DATE(YEAR(H$3),MONTH(H$3)+1,0)&gt;=DATA_GESTAO,"",IF(H11=0,"SEM BASE",H12/H11))</f>
      </c>
      <c r="I14" s="58">
        <f>IF(DATE(YEAR(I$3),MONTH(I$3)+1,0)&gt;=DATA_GESTAO,"",IF(I11=0,"SEM BASE",I12/I11))</f>
      </c>
      <c r="J14" s="58">
        <f>IF(DATE(YEAR(J$3),MONTH(J$3)+1,0)&gt;=DATA_GESTAO,"",IF(J11=0,"SEM BASE",J12/J11))</f>
      </c>
      <c r="K14" s="58">
        <f>IF(DATE(YEAR(K$3),MONTH(K$3)+1,0)&gt;=DATA_GESTAO,"",IF(K11=0,"SEM BASE",K12/K11))</f>
      </c>
      <c r="L14" s="58">
        <f>IF(DATE(YEAR(L$3),MONTH(L$3)+1,0)&gt;=DATA_GESTAO,"",IF(L11=0,"SEM BASE",L12/L11))</f>
      </c>
      <c r="M14" s="58">
        <f>IF(DATE(YEAR(M$3),MONTH(M$3)+1,0)&gt;=DATA_GESTAO,"",IF(M11=0,"SEM BASE",M12/M11))</f>
      </c>
      <c r="N14" s="58">
        <f>IF(DATE(YEAR(N$3),MONTH(N$3)+1,0)&gt;=DATA_GESTAO,"",IF(N11=0,"SEM BASE",N12/N11))</f>
      </c>
      <c r="O14" s="58">
        <f>IF(DATE(YEAR(O$3),MONTH(O$3)+1,0)&gt;=DATA_GESTAO,"",IF(O11=0,"SEM BASE",O12/O11))</f>
      </c>
      <c r="P14" s="58">
        <f>IF(DATE(YEAR(P$3),MONTH(P$3)+1,0)&gt;=DATA_GESTAO,"",IF(P11=0,"SEM BASE",P12/P11))</f>
      </c>
      <c r="Q14" s="58">
        <f>IF(DATE(YEAR(Q$3),MONTH(Q$3)+1,0)&gt;=DATA_GESTAO,"",IF(Q11=0,"SEM BASE",Q12/Q11))</f>
      </c>
      <c r="R14" s="58">
        <f>IF(DATE(YEAR(R$3),MONTH(R$3)+1,0)&gt;=DATA_GESTAO,"",IF(R11=0,"SEM BASE",R12/R11))</f>
      </c>
    </row>
    <row r="15">
      <c r="B15" s="30" t="inlineStr">
        <is>
          <t>IDC a custo = VA × custo ÷ medição do plano (04) ÷ CR</t>
        </is>
      </c>
      <c r="C15" s="58" t="str">
        <f>IF(C$3&gt;DATA_GESTAO,"",IF(OR(N(C13)=0,N('04. PLANO DAS OBRAS'!$S$18)=0,DATA_GESTAO-'08B. TODAS AS OBRAS'!$K$6&gt;'01A. GESTÃO DA SEMANA'!$C$54),"SEM BASE",C12*'04. PLANO DAS OBRAS'!$S$24/'04. PLANO DAS OBRAS'!$S$18/C13))</f>
        <v>SEM BASE</v>
      </c>
      <c r="D15" s="58" t="str">
        <f>IF(D$3&gt;DATA_GESTAO,"",IF(OR(N(D13)=0,N('04. PLANO DAS OBRAS'!$S$18)=0,DATA_GESTAO-'08B. TODAS AS OBRAS'!$K$6&gt;'01A. GESTÃO DA SEMANA'!$C$54),"SEM BASE",D12*'04. PLANO DAS OBRAS'!$S$24/'04. PLANO DAS OBRAS'!$S$18/D13))</f>
        <v>SEM BASE</v>
      </c>
      <c r="E15" s="58">
        <f>IF(E$3&gt;DATA_GESTAO,"",IF(OR(N(E13)=0,N('04. PLANO DAS OBRAS'!$S$18)=0,DATA_GESTAO-'08B. TODAS AS OBRAS'!$K$6&gt;'01A. GESTÃO DA SEMANA'!$C$54),"SEM BASE",E12*'04. PLANO DAS OBRAS'!$S$24/'04. PLANO DAS OBRAS'!$S$18/E13))</f>
      </c>
      <c r="F15" s="58">
        <f>IF(F$3&gt;DATA_GESTAO,"",IF(OR(N(F13)=0,N('04. PLANO DAS OBRAS'!$S$18)=0,DATA_GESTAO-'08B. TODAS AS OBRAS'!$K$6&gt;'01A. GESTÃO DA SEMANA'!$C$54),"SEM BASE",F12*'04. PLANO DAS OBRAS'!$S$24/'04. PLANO DAS OBRAS'!$S$18/F13))</f>
      </c>
      <c r="G15" s="58">
        <f>IF(G$3&gt;DATA_GESTAO,"",IF(OR(N(G13)=0,N('04. PLANO DAS OBRAS'!$S$18)=0,DATA_GESTAO-'08B. TODAS AS OBRAS'!$K$6&gt;'01A. GESTÃO DA SEMANA'!$C$54),"SEM BASE",G12*'04. PLANO DAS OBRAS'!$S$24/'04. PLANO DAS OBRAS'!$S$18/G13))</f>
      </c>
      <c r="H15" s="58">
        <f>IF(H$3&gt;DATA_GESTAO,"",IF(OR(N(H13)=0,N('04. PLANO DAS OBRAS'!$S$18)=0,DATA_GESTAO-'08B. TODAS AS OBRAS'!$K$6&gt;'01A. GESTÃO DA SEMANA'!$C$54),"SEM BASE",H12*'04. PLANO DAS OBRAS'!$S$24/'04. PLANO DAS OBRAS'!$S$18/H13))</f>
      </c>
      <c r="I15" s="58">
        <f>IF(I$3&gt;DATA_GESTAO,"",IF(OR(N(I13)=0,N('04. PLANO DAS OBRAS'!$S$18)=0,DATA_GESTAO-'08B. TODAS AS OBRAS'!$K$6&gt;'01A. GESTÃO DA SEMANA'!$C$54),"SEM BASE",I12*'04. PLANO DAS OBRAS'!$S$24/'04. PLANO DAS OBRAS'!$S$18/I13))</f>
      </c>
      <c r="J15" s="58">
        <f>IF(J$3&gt;DATA_GESTAO,"",IF(OR(N(J13)=0,N('04. PLANO DAS OBRAS'!$S$18)=0,DATA_GESTAO-'08B. TODAS AS OBRAS'!$K$6&gt;'01A. GESTÃO DA SEMANA'!$C$54),"SEM BASE",J12*'04. PLANO DAS OBRAS'!$S$24/'04. PLANO DAS OBRAS'!$S$18/J13))</f>
      </c>
      <c r="K15" s="58">
        <f>IF(K$3&gt;DATA_GESTAO,"",IF(OR(N(K13)=0,N('04. PLANO DAS OBRAS'!$S$18)=0,DATA_GESTAO-'08B. TODAS AS OBRAS'!$K$6&gt;'01A. GESTÃO DA SEMANA'!$C$54),"SEM BASE",K12*'04. PLANO DAS OBRAS'!$S$24/'04. PLANO DAS OBRAS'!$S$18/K13))</f>
      </c>
      <c r="L15" s="58">
        <f>IF(L$3&gt;DATA_GESTAO,"",IF(OR(N(L13)=0,N('04. PLANO DAS OBRAS'!$S$18)=0,DATA_GESTAO-'08B. TODAS AS OBRAS'!$K$6&gt;'01A. GESTÃO DA SEMANA'!$C$54),"SEM BASE",L12*'04. PLANO DAS OBRAS'!$S$24/'04. PLANO DAS OBRAS'!$S$18/L13))</f>
      </c>
      <c r="M15" s="58">
        <f>IF(M$3&gt;DATA_GESTAO,"",IF(OR(N(M13)=0,N('04. PLANO DAS OBRAS'!$S$18)=0,DATA_GESTAO-'08B. TODAS AS OBRAS'!$K$6&gt;'01A. GESTÃO DA SEMANA'!$C$54),"SEM BASE",M12*'04. PLANO DAS OBRAS'!$S$24/'04. PLANO DAS OBRAS'!$S$18/M13))</f>
      </c>
      <c r="N15" s="58">
        <f>IF(N$3&gt;DATA_GESTAO,"",IF(OR(N(N13)=0,N('04. PLANO DAS OBRAS'!$S$18)=0,DATA_GESTAO-'08B. TODAS AS OBRAS'!$K$6&gt;'01A. GESTÃO DA SEMANA'!$C$54),"SEM BASE",N12*'04. PLANO DAS OBRAS'!$S$24/'04. PLANO DAS OBRAS'!$S$18/N13))</f>
      </c>
      <c r="O15" s="58">
        <f>IF(O$3&gt;DATA_GESTAO,"",IF(OR(N(O13)=0,N('04. PLANO DAS OBRAS'!$S$18)=0,DATA_GESTAO-'08B. TODAS AS OBRAS'!$K$6&gt;'01A. GESTÃO DA SEMANA'!$C$54),"SEM BASE",O12*'04. PLANO DAS OBRAS'!$S$24/'04. PLANO DAS OBRAS'!$S$18/O13))</f>
      </c>
      <c r="P15" s="58">
        <f>IF(P$3&gt;DATA_GESTAO,"",IF(OR(N(P13)=0,N('04. PLANO DAS OBRAS'!$S$18)=0,DATA_GESTAO-'08B. TODAS AS OBRAS'!$K$6&gt;'01A. GESTÃO DA SEMANA'!$C$54),"SEM BASE",P12*'04. PLANO DAS OBRAS'!$S$24/'04. PLANO DAS OBRAS'!$S$18/P13))</f>
      </c>
      <c r="Q15" s="58">
        <f>IF(Q$3&gt;DATA_GESTAO,"",IF(OR(N(Q13)=0,N('04. PLANO DAS OBRAS'!$S$18)=0,DATA_GESTAO-'08B. TODAS AS OBRAS'!$K$6&gt;'01A. GESTÃO DA SEMANA'!$C$54),"SEM BASE",Q12*'04. PLANO DAS OBRAS'!$S$24/'04. PLANO DAS OBRAS'!$S$18/Q13))</f>
      </c>
      <c r="R15" s="58">
        <f>IF(R$3&gt;DATA_GESTAO,"",IF(OR(N(R13)=0,N('04. PLANO DAS OBRAS'!$S$18)=0,DATA_GESTAO-'08B. TODAS AS OBRAS'!$K$6&gt;'01A. GESTÃO DA SEMANA'!$C$54),"SEM BASE",R12*'04. PLANO DAS OBRAS'!$S$24/'04. PLANO DAS OBRAS'!$S$18/R13))</f>
      </c>
    </row>
    <row r="16"/>
    <row r="17">
      <c r="A17" s="18" t="inlineStr">
        <is>
          <t>281</t>
        </is>
      </c>
      <c r="B17" s="30" t="inlineStr">
        <is>
          <t>VP: medição prevista acumulada (04 linha 42)</t>
        </is>
      </c>
      <c r="C17" s="297">
        <f>SUMIFS('04. PLANO DAS OBRAS'!$C$42:$Z$42,'04. PLANO DAS OBRAS'!$C$41:$Z$41,"&lt;="&amp;C$3)</f>
        <v>6175460.42</v>
      </c>
      <c r="D17" s="297">
        <f>SUMIFS('04. PLANO DAS OBRAS'!$C$42:$Z$42,'04. PLANO DAS OBRAS'!$C$41:$Z$41,"&lt;="&amp;D$3)</f>
        <v>7610719.3</v>
      </c>
      <c r="E17" s="297">
        <f>SUMIFS('04. PLANO DAS OBRAS'!$C$42:$Z$42,'04. PLANO DAS OBRAS'!$C$41:$Z$41,"&lt;="&amp;E$3)</f>
        <v>8681524.09</v>
      </c>
      <c r="F17" s="297">
        <f>SUMIFS('04. PLANO DAS OBRAS'!$C$42:$Z$42,'04. PLANO DAS OBRAS'!$C$41:$Z$41,"&lt;="&amp;F$3)</f>
        <v>9527269.77</v>
      </c>
      <c r="G17" s="297">
        <f>SUMIFS('04. PLANO DAS OBRAS'!$C$42:$Z$42,'04. PLANO DAS OBRAS'!$C$41:$Z$41,"&lt;="&amp;G$3)</f>
        <v>12021824.89</v>
      </c>
      <c r="H17" s="297">
        <f>SUMIFS('04. PLANO DAS OBRAS'!$C$42:$Z$42,'04. PLANO DAS OBRAS'!$C$41:$Z$41,"&lt;="&amp;H$3)</f>
        <v>12322872.2</v>
      </c>
      <c r="I17" s="297">
        <f>SUMIFS('04. PLANO DAS OBRAS'!$C$42:$Z$42,'04. PLANO DAS OBRAS'!$C$41:$Z$41,"&lt;="&amp;I$3)</f>
        <v>15043498.62</v>
      </c>
      <c r="J17" s="297">
        <f>SUMIFS('04. PLANO DAS OBRAS'!$C$42:$Z$42,'04. PLANO DAS OBRAS'!$C$41:$Z$41,"&lt;="&amp;J$3)</f>
        <v>15554132.89</v>
      </c>
      <c r="K17" s="297">
        <f>SUMIFS('04. PLANO DAS OBRAS'!$C$42:$Z$42,'04. PLANO DAS OBRAS'!$C$41:$Z$41,"&lt;="&amp;K$3)</f>
        <v>16178735.68</v>
      </c>
      <c r="L17" s="297">
        <f>SUMIFS('04. PLANO DAS OBRAS'!$C$42:$Z$42,'04. PLANO DAS OBRAS'!$C$41:$Z$41,"&lt;="&amp;L$3)</f>
        <v>16298856.44</v>
      </c>
      <c r="M17" s="297">
        <f>SUMIFS('04. PLANO DAS OBRAS'!$C$42:$Z$42,'04. PLANO DAS OBRAS'!$C$41:$Z$41,"&lt;="&amp;M$3)</f>
        <v>16404250.7</v>
      </c>
      <c r="N17" s="297">
        <f>SUMIFS('04. PLANO DAS OBRAS'!$C$42:$Z$42,'04. PLANO DAS OBRAS'!$C$41:$Z$41,"&lt;="&amp;N$3)</f>
        <v>16421072.95</v>
      </c>
      <c r="O17" s="297">
        <f>SUMIFS('04. PLANO DAS OBRAS'!$C$42:$Z$42,'04. PLANO DAS OBRAS'!$C$41:$Z$41,"&lt;="&amp;O$3)</f>
        <v>16436018.68</v>
      </c>
      <c r="P17" s="297">
        <f>SUMIFS('04. PLANO DAS OBRAS'!$C$42:$Z$42,'04. PLANO DAS OBRAS'!$C$41:$Z$41,"&lt;="&amp;P$3)</f>
        <v>17014102.73</v>
      </c>
      <c r="Q17" s="297">
        <f>SUMIFS('04. PLANO DAS OBRAS'!$C$42:$Z$42,'04. PLANO DAS OBRAS'!$C$41:$Z$41,"&lt;="&amp;Q$3)</f>
        <v>17120015.74</v>
      </c>
      <c r="R17" s="297">
        <f>SUMIFS('04. PLANO DAS OBRAS'!$C$42:$Z$42,'04. PLANO DAS OBRAS'!$C$41:$Z$41,"&lt;="&amp;R$3)</f>
        <v>17120015.74</v>
      </c>
    </row>
    <row r="18">
      <c r="B18" s="30" t="inlineStr">
        <is>
          <t>VA: medido aprovado acumulado</t>
        </is>
      </c>
      <c r="C18" s="315">
        <f>SUM(SUMIFS('06. MEDIÇÃO (BM)'!$G$5:$G$44,'06. MEDIÇÃO (BM)'!$B$5:$B$44,"281",'06. MEDIÇÃO (BM)'!$D$5:$D$44,"&lt;"&amp;EDATE(C$3,1),'06. MEDIÇÃO (BM)'!$F$5:$F$44,{"APROVADO","FATURADO","RECEBIDO"}))</f>
        <v>5719898.31</v>
      </c>
      <c r="D18" s="315">
        <f>SUM(SUMIFS('06. MEDIÇÃO (BM)'!$G$5:$G$44,'06. MEDIÇÃO (BM)'!$B$5:$B$44,"281",'06. MEDIÇÃO (BM)'!$D$5:$D$44,"&lt;"&amp;EDATE(D$3,1),'06. MEDIÇÃO (BM)'!$F$5:$F$44,{"APROVADO","FATURADO","RECEBIDO"}))</f>
        <v>5719898.31</v>
      </c>
      <c r="E18" s="315">
        <f>SUM(SUMIFS('06. MEDIÇÃO (BM)'!$G$5:$G$44,'06. MEDIÇÃO (BM)'!$B$5:$B$44,"281",'06. MEDIÇÃO (BM)'!$D$5:$D$44,"&lt;"&amp;EDATE(E$3,1),'06. MEDIÇÃO (BM)'!$F$5:$F$44,{"APROVADO","FATURADO","RECEBIDO"}))</f>
        <v>5719898.31</v>
      </c>
      <c r="F18" s="315">
        <f>SUM(SUMIFS('06. MEDIÇÃO (BM)'!$G$5:$G$44,'06. MEDIÇÃO (BM)'!$B$5:$B$44,"281",'06. MEDIÇÃO (BM)'!$D$5:$D$44,"&lt;"&amp;EDATE(F$3,1),'06. MEDIÇÃO (BM)'!$F$5:$F$44,{"APROVADO","FATURADO","RECEBIDO"}))</f>
        <v>5719898.31</v>
      </c>
      <c r="G18" s="315">
        <f>SUM(SUMIFS('06. MEDIÇÃO (BM)'!$G$5:$G$44,'06. MEDIÇÃO (BM)'!$B$5:$B$44,"281",'06. MEDIÇÃO (BM)'!$D$5:$D$44,"&lt;"&amp;EDATE(G$3,1),'06. MEDIÇÃO (BM)'!$F$5:$F$44,{"APROVADO","FATURADO","RECEBIDO"}))</f>
        <v>5719898.31</v>
      </c>
      <c r="H18" s="315">
        <f>SUM(SUMIFS('06. MEDIÇÃO (BM)'!$G$5:$G$44,'06. MEDIÇÃO (BM)'!$B$5:$B$44,"281",'06. MEDIÇÃO (BM)'!$D$5:$D$44,"&lt;"&amp;EDATE(H$3,1),'06. MEDIÇÃO (BM)'!$F$5:$F$44,{"APROVADO","FATURADO","RECEBIDO"}))</f>
        <v>5719898.31</v>
      </c>
      <c r="I18" s="315">
        <f>SUM(SUMIFS('06. MEDIÇÃO (BM)'!$G$5:$G$44,'06. MEDIÇÃO (BM)'!$B$5:$B$44,"281",'06. MEDIÇÃO (BM)'!$D$5:$D$44,"&lt;"&amp;EDATE(I$3,1),'06. MEDIÇÃO (BM)'!$F$5:$F$44,{"APROVADO","FATURADO","RECEBIDO"}))</f>
        <v>5719898.31</v>
      </c>
      <c r="J18" s="315">
        <f>SUM(SUMIFS('06. MEDIÇÃO (BM)'!$G$5:$G$44,'06. MEDIÇÃO (BM)'!$B$5:$B$44,"281",'06. MEDIÇÃO (BM)'!$D$5:$D$44,"&lt;"&amp;EDATE(J$3,1),'06. MEDIÇÃO (BM)'!$F$5:$F$44,{"APROVADO","FATURADO","RECEBIDO"}))</f>
        <v>5719898.31</v>
      </c>
      <c r="K18" s="315">
        <f>SUM(SUMIFS('06. MEDIÇÃO (BM)'!$G$5:$G$44,'06. MEDIÇÃO (BM)'!$B$5:$B$44,"281",'06. MEDIÇÃO (BM)'!$D$5:$D$44,"&lt;"&amp;EDATE(K$3,1),'06. MEDIÇÃO (BM)'!$F$5:$F$44,{"APROVADO","FATURADO","RECEBIDO"}))</f>
        <v>5719898.31</v>
      </c>
      <c r="L18" s="315">
        <f>SUM(SUMIFS('06. MEDIÇÃO (BM)'!$G$5:$G$44,'06. MEDIÇÃO (BM)'!$B$5:$B$44,"281",'06. MEDIÇÃO (BM)'!$D$5:$D$44,"&lt;"&amp;EDATE(L$3,1),'06. MEDIÇÃO (BM)'!$F$5:$F$44,{"APROVADO","FATURADO","RECEBIDO"}))</f>
        <v>5719898.31</v>
      </c>
      <c r="M18" s="315">
        <f>SUM(SUMIFS('06. MEDIÇÃO (BM)'!$G$5:$G$44,'06. MEDIÇÃO (BM)'!$B$5:$B$44,"281",'06. MEDIÇÃO (BM)'!$D$5:$D$44,"&lt;"&amp;EDATE(M$3,1),'06. MEDIÇÃO (BM)'!$F$5:$F$44,{"APROVADO","FATURADO","RECEBIDO"}))</f>
        <v>5719898.31</v>
      </c>
      <c r="N18" s="315">
        <f>SUM(SUMIFS('06. MEDIÇÃO (BM)'!$G$5:$G$44,'06. MEDIÇÃO (BM)'!$B$5:$B$44,"281",'06. MEDIÇÃO (BM)'!$D$5:$D$44,"&lt;"&amp;EDATE(N$3,1),'06. MEDIÇÃO (BM)'!$F$5:$F$44,{"APROVADO","FATURADO","RECEBIDO"}))</f>
        <v>5719898.31</v>
      </c>
      <c r="O18" s="315">
        <f>SUM(SUMIFS('06. MEDIÇÃO (BM)'!$G$5:$G$44,'06. MEDIÇÃO (BM)'!$B$5:$B$44,"281",'06. MEDIÇÃO (BM)'!$D$5:$D$44,"&lt;"&amp;EDATE(O$3,1),'06. MEDIÇÃO (BM)'!$F$5:$F$44,{"APROVADO","FATURADO","RECEBIDO"}))</f>
        <v>5719898.31</v>
      </c>
      <c r="P18" s="315">
        <f>SUM(SUMIFS('06. MEDIÇÃO (BM)'!$G$5:$G$44,'06. MEDIÇÃO (BM)'!$B$5:$B$44,"281",'06. MEDIÇÃO (BM)'!$D$5:$D$44,"&lt;"&amp;EDATE(P$3,1),'06. MEDIÇÃO (BM)'!$F$5:$F$44,{"APROVADO","FATURADO","RECEBIDO"}))</f>
        <v>5719898.31</v>
      </c>
      <c r="Q18" s="315">
        <f>SUM(SUMIFS('06. MEDIÇÃO (BM)'!$G$5:$G$44,'06. MEDIÇÃO (BM)'!$B$5:$B$44,"281",'06. MEDIÇÃO (BM)'!$D$5:$D$44,"&lt;"&amp;EDATE(Q$3,1),'06. MEDIÇÃO (BM)'!$F$5:$F$44,{"APROVADO","FATURADO","RECEBIDO"}))</f>
        <v>5719898.31</v>
      </c>
      <c r="R18" s="315">
        <f>SUM(SUMIFS('06. MEDIÇÃO (BM)'!$G$5:$G$44,'06. MEDIÇÃO (BM)'!$B$5:$B$44,"281",'06. MEDIÇÃO (BM)'!$D$5:$D$44,"&lt;"&amp;EDATE(R$3,1),'06. MEDIÇÃO (BM)'!$F$5:$F$44,{"APROVADO","FATURADO","RECEBIDO"}))</f>
        <v>5719898.31</v>
      </c>
    </row>
    <row r="19">
      <c r="B19" s="30" t="inlineStr">
        <is>
          <t>CR: custo realizado acumulado (SEM BASE sem orçamento de custo)</t>
        </is>
      </c>
      <c r="C19" s="315" t="str">
        <f>IF(N('04. PLANO DAS OBRAS'!$E$30)=0,"SEM BASE",SUMIFS('08. CUSTOS'!$F$5:$F$404,'08. CUSTOS'!$C$5:$C$404,"281",'08. CUSTOS'!$B$5:$B$404,"&lt;"&amp;EDATE(C$3,1)))</f>
        <v>SEM BASE</v>
      </c>
      <c r="D19" s="315" t="str">
        <f>IF(N('04. PLANO DAS OBRAS'!$E$30)=0,"SEM BASE",SUMIFS('08. CUSTOS'!$F$5:$F$404,'08. CUSTOS'!$C$5:$C$404,"281",'08. CUSTOS'!$B$5:$B$404,"&lt;"&amp;EDATE(D$3,1)))</f>
        <v>SEM BASE</v>
      </c>
      <c r="E19" s="315" t="str">
        <f>IF(N('04. PLANO DAS OBRAS'!$E$30)=0,"SEM BASE",SUMIFS('08. CUSTOS'!$F$5:$F$404,'08. CUSTOS'!$C$5:$C$404,"281",'08. CUSTOS'!$B$5:$B$404,"&lt;"&amp;EDATE(E$3,1)))</f>
        <v>SEM BASE</v>
      </c>
      <c r="F19" s="315" t="str">
        <f>IF(N('04. PLANO DAS OBRAS'!$E$30)=0,"SEM BASE",SUMIFS('08. CUSTOS'!$F$5:$F$404,'08. CUSTOS'!$C$5:$C$404,"281",'08. CUSTOS'!$B$5:$B$404,"&lt;"&amp;EDATE(F$3,1)))</f>
        <v>SEM BASE</v>
      </c>
      <c r="G19" s="315" t="str">
        <f>IF(N('04. PLANO DAS OBRAS'!$E$30)=0,"SEM BASE",SUMIFS('08. CUSTOS'!$F$5:$F$404,'08. CUSTOS'!$C$5:$C$404,"281",'08. CUSTOS'!$B$5:$B$404,"&lt;"&amp;EDATE(G$3,1)))</f>
        <v>SEM BASE</v>
      </c>
      <c r="H19" s="315" t="str">
        <f>IF(N('04. PLANO DAS OBRAS'!$E$30)=0,"SEM BASE",SUMIFS('08. CUSTOS'!$F$5:$F$404,'08. CUSTOS'!$C$5:$C$404,"281",'08. CUSTOS'!$B$5:$B$404,"&lt;"&amp;EDATE(H$3,1)))</f>
        <v>SEM BASE</v>
      </c>
      <c r="I19" s="315" t="str">
        <f>IF(N('04. PLANO DAS OBRAS'!$E$30)=0,"SEM BASE",SUMIFS('08. CUSTOS'!$F$5:$F$404,'08. CUSTOS'!$C$5:$C$404,"281",'08. CUSTOS'!$B$5:$B$404,"&lt;"&amp;EDATE(I$3,1)))</f>
        <v>SEM BASE</v>
      </c>
      <c r="J19" s="315" t="str">
        <f>IF(N('04. PLANO DAS OBRAS'!$E$30)=0,"SEM BASE",SUMIFS('08. CUSTOS'!$F$5:$F$404,'08. CUSTOS'!$C$5:$C$404,"281",'08. CUSTOS'!$B$5:$B$404,"&lt;"&amp;EDATE(J$3,1)))</f>
        <v>SEM BASE</v>
      </c>
      <c r="K19" s="315" t="str">
        <f>IF(N('04. PLANO DAS OBRAS'!$E$30)=0,"SEM BASE",SUMIFS('08. CUSTOS'!$F$5:$F$404,'08. CUSTOS'!$C$5:$C$404,"281",'08. CUSTOS'!$B$5:$B$404,"&lt;"&amp;EDATE(K$3,1)))</f>
        <v>SEM BASE</v>
      </c>
      <c r="L19" s="315" t="str">
        <f>IF(N('04. PLANO DAS OBRAS'!$E$30)=0,"SEM BASE",SUMIFS('08. CUSTOS'!$F$5:$F$404,'08. CUSTOS'!$C$5:$C$404,"281",'08. CUSTOS'!$B$5:$B$404,"&lt;"&amp;EDATE(L$3,1)))</f>
        <v>SEM BASE</v>
      </c>
      <c r="M19" s="315" t="str">
        <f>IF(N('04. PLANO DAS OBRAS'!$E$30)=0,"SEM BASE",SUMIFS('08. CUSTOS'!$F$5:$F$404,'08. CUSTOS'!$C$5:$C$404,"281",'08. CUSTOS'!$B$5:$B$404,"&lt;"&amp;EDATE(M$3,1)))</f>
        <v>SEM BASE</v>
      </c>
      <c r="N19" s="315" t="str">
        <f>IF(N('04. PLANO DAS OBRAS'!$E$30)=0,"SEM BASE",SUMIFS('08. CUSTOS'!$F$5:$F$404,'08. CUSTOS'!$C$5:$C$404,"281",'08. CUSTOS'!$B$5:$B$404,"&lt;"&amp;EDATE(N$3,1)))</f>
        <v>SEM BASE</v>
      </c>
      <c r="O19" s="315" t="str">
        <f>IF(N('04. PLANO DAS OBRAS'!$E$30)=0,"SEM BASE",SUMIFS('08. CUSTOS'!$F$5:$F$404,'08. CUSTOS'!$C$5:$C$404,"281",'08. CUSTOS'!$B$5:$B$404,"&lt;"&amp;EDATE(O$3,1)))</f>
        <v>SEM BASE</v>
      </c>
      <c r="P19" s="315" t="str">
        <f>IF(N('04. PLANO DAS OBRAS'!$E$30)=0,"SEM BASE",SUMIFS('08. CUSTOS'!$F$5:$F$404,'08. CUSTOS'!$C$5:$C$404,"281",'08. CUSTOS'!$B$5:$B$404,"&lt;"&amp;EDATE(P$3,1)))</f>
        <v>SEM BASE</v>
      </c>
      <c r="Q19" s="315" t="str">
        <f>IF(N('04. PLANO DAS OBRAS'!$E$30)=0,"SEM BASE",SUMIFS('08. CUSTOS'!$F$5:$F$404,'08. CUSTOS'!$C$5:$C$404,"281",'08. CUSTOS'!$B$5:$B$404,"&lt;"&amp;EDATE(Q$3,1)))</f>
        <v>SEM BASE</v>
      </c>
      <c r="R19" s="315" t="str">
        <f>IF(N('04. PLANO DAS OBRAS'!$E$30)=0,"SEM BASE",SUMIFS('08. CUSTOS'!$F$5:$F$404,'08. CUSTOS'!$C$5:$C$404,"281",'08. CUSTOS'!$B$5:$B$404,"&lt;"&amp;EDATE(R$3,1)))</f>
        <v>SEM BASE</v>
      </c>
    </row>
    <row r="20">
      <c r="B20" s="30" t="inlineStr">
        <is>
          <t>IDP (prazo) = VA ÷ VP até o último BM aprovado; no mês do corte, o da 08B J7</t>
        </is>
      </c>
      <c r="C20" s="58">
        <f>IF(AND(C$3&lt;=DATA_GESTAO,EDATE(C$3,1)&gt;DATA_GESTAO),'08B. TODAS AS OBRAS'!$J$7,IF(OR('08B. TODAS AS OBRAS'!$M$7=0,C$3&gt;'08B. TODAS AS OBRAS'!$M$7),"",IF(C17=0,"SEM BASE",C18/C17)))</f>
      </c>
      <c r="D20" s="58">
        <f>IF(AND(D$3&lt;=DATA_GESTAO,EDATE(D$3,1)&gt;DATA_GESTAO),'08B. TODAS AS OBRAS'!$J$7,IF(OR('08B. TODAS AS OBRAS'!$M$7=0,D$3&gt;'08B. TODAS AS OBRAS'!$M$7),"",IF(D17=0,"SEM BASE",D18/D17)))</f>
        <v>1.25100319828372</v>
      </c>
      <c r="E20" s="58">
        <f>IF(AND(E$3&lt;=DATA_GESTAO,EDATE(E$3,1)&gt;DATA_GESTAO),'08B. TODAS AS OBRAS'!$J$7,IF(OR('08B. TODAS AS OBRAS'!$M$7=0,E$3&gt;'08B. TODAS AS OBRAS'!$M$7),"",IF(E17=0,"SEM BASE",E18/E17)))</f>
      </c>
      <c r="F20" s="58">
        <f>IF(AND(F$3&lt;=DATA_GESTAO,EDATE(F$3,1)&gt;DATA_GESTAO),'08B. TODAS AS OBRAS'!$J$7,IF(OR('08B. TODAS AS OBRAS'!$M$7=0,F$3&gt;'08B. TODAS AS OBRAS'!$M$7),"",IF(F17=0,"SEM BASE",F18/F17)))</f>
      </c>
      <c r="G20" s="58">
        <f>IF(AND(G$3&lt;=DATA_GESTAO,EDATE(G$3,1)&gt;DATA_GESTAO),'08B. TODAS AS OBRAS'!$J$7,IF(OR('08B. TODAS AS OBRAS'!$M$7=0,G$3&gt;'08B. TODAS AS OBRAS'!$M$7),"",IF(G17=0,"SEM BASE",G18/G17)))</f>
      </c>
      <c r="H20" s="58">
        <f>IF(AND(H$3&lt;=DATA_GESTAO,EDATE(H$3,1)&gt;DATA_GESTAO),'08B. TODAS AS OBRAS'!$J$7,IF(OR('08B. TODAS AS OBRAS'!$M$7=0,H$3&gt;'08B. TODAS AS OBRAS'!$M$7),"",IF(H17=0,"SEM BASE",H18/H17)))</f>
      </c>
      <c r="I20" s="58">
        <f>IF(AND(I$3&lt;=DATA_GESTAO,EDATE(I$3,1)&gt;DATA_GESTAO),'08B. TODAS AS OBRAS'!$J$7,IF(OR('08B. TODAS AS OBRAS'!$M$7=0,I$3&gt;'08B. TODAS AS OBRAS'!$M$7),"",IF(I17=0,"SEM BASE",I18/I17)))</f>
      </c>
      <c r="J20" s="58">
        <f>IF(AND(J$3&lt;=DATA_GESTAO,EDATE(J$3,1)&gt;DATA_GESTAO),'08B. TODAS AS OBRAS'!$J$7,IF(OR('08B. TODAS AS OBRAS'!$M$7=0,J$3&gt;'08B. TODAS AS OBRAS'!$M$7),"",IF(J17=0,"SEM BASE",J18/J17)))</f>
      </c>
      <c r="K20" s="58">
        <f>IF(AND(K$3&lt;=DATA_GESTAO,EDATE(K$3,1)&gt;DATA_GESTAO),'08B. TODAS AS OBRAS'!$J$7,IF(OR('08B. TODAS AS OBRAS'!$M$7=0,K$3&gt;'08B. TODAS AS OBRAS'!$M$7),"",IF(K17=0,"SEM BASE",K18/K17)))</f>
      </c>
      <c r="L20" s="58">
        <f>IF(AND(L$3&lt;=DATA_GESTAO,EDATE(L$3,1)&gt;DATA_GESTAO),'08B. TODAS AS OBRAS'!$J$7,IF(OR('08B. TODAS AS OBRAS'!$M$7=0,L$3&gt;'08B. TODAS AS OBRAS'!$M$7),"",IF(L17=0,"SEM BASE",L18/L17)))</f>
      </c>
      <c r="M20" s="58">
        <f>IF(AND(M$3&lt;=DATA_GESTAO,EDATE(M$3,1)&gt;DATA_GESTAO),'08B. TODAS AS OBRAS'!$J$7,IF(OR('08B. TODAS AS OBRAS'!$M$7=0,M$3&gt;'08B. TODAS AS OBRAS'!$M$7),"",IF(M17=0,"SEM BASE",M18/M17)))</f>
      </c>
      <c r="N20" s="58">
        <f>IF(AND(N$3&lt;=DATA_GESTAO,EDATE(N$3,1)&gt;DATA_GESTAO),'08B. TODAS AS OBRAS'!$J$7,IF(OR('08B. TODAS AS OBRAS'!$M$7=0,N$3&gt;'08B. TODAS AS OBRAS'!$M$7),"",IF(N17=0,"SEM BASE",N18/N17)))</f>
      </c>
      <c r="O20" s="58">
        <f>IF(AND(O$3&lt;=DATA_GESTAO,EDATE(O$3,1)&gt;DATA_GESTAO),'08B. TODAS AS OBRAS'!$J$7,IF(OR('08B. TODAS AS OBRAS'!$M$7=0,O$3&gt;'08B. TODAS AS OBRAS'!$M$7),"",IF(O17=0,"SEM BASE",O18/O17)))</f>
      </c>
      <c r="P20" s="58">
        <f>IF(AND(P$3&lt;=DATA_GESTAO,EDATE(P$3,1)&gt;DATA_GESTAO),'08B. TODAS AS OBRAS'!$J$7,IF(OR('08B. TODAS AS OBRAS'!$M$7=0,P$3&gt;'08B. TODAS AS OBRAS'!$M$7),"",IF(P17=0,"SEM BASE",P18/P17)))</f>
      </c>
      <c r="Q20" s="58">
        <f>IF(AND(Q$3&lt;=DATA_GESTAO,EDATE(Q$3,1)&gt;DATA_GESTAO),'08B. TODAS AS OBRAS'!$J$7,IF(OR('08B. TODAS AS OBRAS'!$M$7=0,Q$3&gt;'08B. TODAS AS OBRAS'!$M$7),"",IF(Q17=0,"SEM BASE",Q18/Q17)))</f>
      </c>
      <c r="R20" s="58">
        <f>IF(AND(R$3&lt;=DATA_GESTAO,EDATE(R$3,1)&gt;DATA_GESTAO),'08B. TODAS AS OBRAS'!$J$7,IF(OR('08B. TODAS AS OBRAS'!$M$7=0,R$3&gt;'08B. TODAS AS OBRAS'!$M$7),"",IF(R17=0,"SEM BASE",R18/R17)))</f>
      </c>
    </row>
    <row r="21">
      <c r="B21" s="30" t="inlineStr">
        <is>
          <t>IDC a custo (SEM BASE sem orçamento de custo, 04 E30)</t>
        </is>
      </c>
      <c r="C21" s="58" t="str">
        <f>IF(C$3&gt;DATA_GESTAO,"",IF(N(C19)=0,"SEM BASE",C18*'04. PLANO DAS OBRAS'!$E$30/'03. CONTRATOS'!$F$8/C19))</f>
        <v>SEM BASE</v>
      </c>
      <c r="D21" s="58" t="str">
        <f>IF(D$3&gt;DATA_GESTAO,"",IF(N(D19)=0,"SEM BASE",D18*'04. PLANO DAS OBRAS'!$E$30/'03. CONTRATOS'!$F$8/D19))</f>
        <v>SEM BASE</v>
      </c>
      <c r="E21" s="58">
        <f>IF(E$3&gt;DATA_GESTAO,"",IF(N(E19)=0,"SEM BASE",E18*'04. PLANO DAS OBRAS'!$E$30/'03. CONTRATOS'!$F$8/E19))</f>
      </c>
      <c r="F21" s="58">
        <f>IF(F$3&gt;DATA_GESTAO,"",IF(N(F19)=0,"SEM BASE",F18*'04. PLANO DAS OBRAS'!$E$30/'03. CONTRATOS'!$F$8/F19))</f>
      </c>
      <c r="G21" s="58">
        <f>IF(G$3&gt;DATA_GESTAO,"",IF(N(G19)=0,"SEM BASE",G18*'04. PLANO DAS OBRAS'!$E$30/'03. CONTRATOS'!$F$8/G19))</f>
      </c>
      <c r="H21" s="58">
        <f>IF(H$3&gt;DATA_GESTAO,"",IF(N(H19)=0,"SEM BASE",H18*'04. PLANO DAS OBRAS'!$E$30/'03. CONTRATOS'!$F$8/H19))</f>
      </c>
      <c r="I21" s="58">
        <f>IF(I$3&gt;DATA_GESTAO,"",IF(N(I19)=0,"SEM BASE",I18*'04. PLANO DAS OBRAS'!$E$30/'03. CONTRATOS'!$F$8/I19))</f>
      </c>
      <c r="J21" s="58">
        <f>IF(J$3&gt;DATA_GESTAO,"",IF(N(J19)=0,"SEM BASE",J18*'04. PLANO DAS OBRAS'!$E$30/'03. CONTRATOS'!$F$8/J19))</f>
      </c>
      <c r="K21" s="58">
        <f>IF(K$3&gt;DATA_GESTAO,"",IF(N(K19)=0,"SEM BASE",K18*'04. PLANO DAS OBRAS'!$E$30/'03. CONTRATOS'!$F$8/K19))</f>
      </c>
      <c r="L21" s="58">
        <f>IF(L$3&gt;DATA_GESTAO,"",IF(N(L19)=0,"SEM BASE",L18*'04. PLANO DAS OBRAS'!$E$30/'03. CONTRATOS'!$F$8/L19))</f>
      </c>
      <c r="M21" s="58">
        <f>IF(M$3&gt;DATA_GESTAO,"",IF(N(M19)=0,"SEM BASE",M18*'04. PLANO DAS OBRAS'!$E$30/'03. CONTRATOS'!$F$8/M19))</f>
      </c>
      <c r="N21" s="58">
        <f>IF(N$3&gt;DATA_GESTAO,"",IF(N(N19)=0,"SEM BASE",N18*'04. PLANO DAS OBRAS'!$E$30/'03. CONTRATOS'!$F$8/N19))</f>
      </c>
      <c r="O21" s="58">
        <f>IF(O$3&gt;DATA_GESTAO,"",IF(N(O19)=0,"SEM BASE",O18*'04. PLANO DAS OBRAS'!$E$30/'03. CONTRATOS'!$F$8/O19))</f>
      </c>
      <c r="P21" s="58">
        <f>IF(P$3&gt;DATA_GESTAO,"",IF(N(P19)=0,"SEM BASE",P18*'04. PLANO DAS OBRAS'!$E$30/'03. CONTRATOS'!$F$8/P19))</f>
      </c>
      <c r="Q21" s="58">
        <f>IF(Q$3&gt;DATA_GESTAO,"",IF(N(Q19)=0,"SEM BASE",Q18*'04. PLANO DAS OBRAS'!$E$30/'03. CONTRATOS'!$F$8/Q19))</f>
      </c>
      <c r="R21" s="58">
        <f>IF(R$3&gt;DATA_GESTAO,"",IF(N(R19)=0,"SEM BASE",R18*'04. PLANO DAS OBRAS'!$E$30/'03. CONTRATOS'!$F$8/R19))</f>
      </c>
    </row>
    <row r="22"/>
    <row r="23">
      <c r="A23" s="10" t="inlineStr">
        <is>
          <t>342: VALOR AGREGADO A CUSTO PELO % FÍSICO DAS ETAPAS</t>
        </is>
      </c>
      <c r="B23" s="11" t="n"/>
      <c r="C23" s="11" t="n"/>
      <c r="D23" s="11" t="n"/>
      <c r="E23" s="11" t="n"/>
      <c r="F23" s="11" t="n"/>
      <c r="G23" s="11" t="n"/>
      <c r="H23" s="11" t="n"/>
    </row>
    <row r="24" ht="42" customHeight="1" s="71">
      <c r="A24" s="215" t="inlineStr">
        <is>
          <t>ETAPA</t>
        </is>
      </c>
      <c r="B24" s="215" t="inlineStr">
        <is>
          <t>DESCRIÇÃO</t>
        </is>
      </c>
      <c r="C24" s="215" t="inlineStr">
        <is>
          <t>VALOR DA ETAPA (R$)</t>
        </is>
      </c>
      <c r="D24" s="215" t="inlineStr">
        <is>
          <t>CUSTO DA ETAPA NO ESTUDO (R$)</t>
        </is>
      </c>
      <c r="E24" s="215" t="inlineStr">
        <is>
          <t>% FÍSICO (CRONOGRAMA, J)</t>
        </is>
      </c>
      <c r="F24" s="215" t="inlineStr">
        <is>
          <t>VA A PREÇO (R$)</t>
        </is>
      </c>
      <c r="G24" s="215" t="inlineStr">
        <is>
          <t>VA A CUSTO (R$)</t>
        </is>
      </c>
      <c r="H24" s="215" t="inlineStr">
        <is>
          <t>FONTE DO CUSTO</t>
        </is>
      </c>
    </row>
    <row r="25">
      <c r="A25" s="346" t="str">
        <f>'CRONOGRAMA PROJECT'!A7</f>
        <v>342-01</v>
      </c>
      <c r="B25" s="346" t="str">
        <f>'CRONOGRAMA PROJECT'!C7</f>
        <v>CANTEIRO DE OBRAS</v>
      </c>
      <c r="C25" s="347">
        <f>'CRONOGRAMA PROJECT'!K7</f>
        <v>122394</v>
      </c>
      <c r="D25" s="271" t="n">
        <v>90000</v>
      </c>
      <c r="E25" s="348">
        <f>IF('CRONOGRAMA PROJECT'!J7="","",'CRONOGRAMA PROJECT'!J7)</f>
      </c>
      <c r="F25" s="267">
        <f>IF(E25="","",E25*C25)</f>
      </c>
      <c r="G25" s="267">
        <f>IF(E25="","",E25*D25)</f>
      </c>
      <c r="H25" s="272" t="inlineStr">
        <is>
          <t>estudo REV13, aba 05 coluna K, evento 1.1.1</t>
        </is>
      </c>
    </row>
    <row r="26">
      <c r="A26" s="346" t="str">
        <f>'CRONOGRAMA PROJECT'!A8</f>
        <v>342-02</v>
      </c>
      <c r="B26" s="346" t="str">
        <f>'CRONOGRAMA PROJECT'!C8</f>
        <v>ADMINISTRAÇÃO LOCAL</v>
      </c>
      <c r="C26" s="347">
        <f>'CRONOGRAMA PROJECT'!K8</f>
        <v>479911</v>
      </c>
      <c r="D26" s="271" t="n">
        <v>650000</v>
      </c>
      <c r="E26" s="348">
        <f>IF('CRONOGRAMA PROJECT'!J8="","",'CRONOGRAMA PROJECT'!J8)</f>
      </c>
      <c r="F26" s="267">
        <f>IF(E26="","",E26*C26)</f>
      </c>
      <c r="G26" s="267">
        <f>IF(E26="","",E26*D26)</f>
      </c>
      <c r="H26" s="272" t="inlineStr">
        <is>
          <t>estudo REV13, aba 05 coluna K, evento 2.1.1</t>
        </is>
      </c>
    </row>
    <row r="27">
      <c r="A27" s="346" t="str">
        <f>'CRONOGRAMA PROJECT'!A9</f>
        <v>342-03</v>
      </c>
      <c r="B27" s="346" t="str">
        <f>'CRONOGRAMA PROJECT'!C9</f>
        <v>TERRAPLANAGEM E DESVIO DE TUBULAÇÃO</v>
      </c>
      <c r="C27" s="347">
        <f>'CRONOGRAMA PROJECT'!K9</f>
        <v>131545.55</v>
      </c>
      <c r="D27" s="271" t="n">
        <v>99295.31</v>
      </c>
      <c r="E27" s="348">
        <f>IF('CRONOGRAMA PROJECT'!J9="","",'CRONOGRAMA PROJECT'!J9)</f>
      </c>
      <c r="F27" s="267">
        <f>IF(E27="","",E27*C27)</f>
      </c>
      <c r="G27" s="267">
        <f>IF(E27="","",E27*D27)</f>
      </c>
      <c r="H27" s="272" t="inlineStr">
        <is>
          <t>estudo REV13, aba 05 coluna K, evento 3.1.1</t>
        </is>
      </c>
    </row>
    <row r="28">
      <c r="A28" s="346" t="str">
        <f>'CRONOGRAMA PROJECT'!A10</f>
        <v>342-04</v>
      </c>
      <c r="B28" s="346" t="str">
        <f>'CRONOGRAMA PROJECT'!C10</f>
        <v>INTERLIGAÇÕES ETA × UTR</v>
      </c>
      <c r="C28" s="347">
        <f>'CRONOGRAMA PROJECT'!K10</f>
        <v>334559.95</v>
      </c>
      <c r="D28" s="271" t="n">
        <v>239446.07</v>
      </c>
      <c r="E28" s="348">
        <f>IF('CRONOGRAMA PROJECT'!J10="","",'CRONOGRAMA PROJECT'!J10)</f>
      </c>
      <c r="F28" s="267">
        <f>IF(E28="","",E28*C28)</f>
      </c>
      <c r="G28" s="267">
        <f>IF(E28="","",E28*D28)</f>
      </c>
      <c r="H28" s="272" t="inlineStr">
        <is>
          <t>estudo REV13, aba 05 coluna K, evento 3.2.1</t>
        </is>
      </c>
    </row>
    <row r="29">
      <c r="A29" s="346" t="str">
        <f>'CRONOGRAMA PROJECT'!A11</f>
        <v>342-05</v>
      </c>
      <c r="B29" s="346" t="str">
        <f>'CRONOGRAMA PROJECT'!C11</f>
        <v>INTERLIGAÇÕES LINHA DE RECALQUE UTR × ETA</v>
      </c>
      <c r="C29" s="347">
        <f>'CRONOGRAMA PROJECT'!K11</f>
        <v>54857.68</v>
      </c>
      <c r="D29" s="271" t="n">
        <v>35564.53</v>
      </c>
      <c r="E29" s="348">
        <f>IF('CRONOGRAMA PROJECT'!J11="","",'CRONOGRAMA PROJECT'!J11)</f>
      </c>
      <c r="F29" s="267">
        <f>IF(E29="","",E29*C29)</f>
      </c>
      <c r="G29" s="267">
        <f>IF(E29="","",E29*D29)</f>
      </c>
      <c r="H29" s="272" t="inlineStr">
        <is>
          <t>estudo REV13, aba 05 coluna K, evento 3.3.1</t>
        </is>
      </c>
    </row>
    <row r="30">
      <c r="A30" s="346" t="str">
        <f>'CRONOGRAMA PROJECT'!A12</f>
        <v>342-06</v>
      </c>
      <c r="B30" s="346" t="str">
        <f>'CRONOGRAMA PROJECT'!C12</f>
        <v>DRENAGENS, ESGOTAMENTO E CAIXA DE CHEGADA</v>
      </c>
      <c r="C30" s="347">
        <f>'CRONOGRAMA PROJECT'!K12</f>
        <v>72003.88</v>
      </c>
      <c r="D30" s="271" t="n">
        <v>57293.8</v>
      </c>
      <c r="E30" s="348">
        <f>IF('CRONOGRAMA PROJECT'!J12="","",'CRONOGRAMA PROJECT'!J12)</f>
      </c>
      <c r="F30" s="267">
        <f>IF(E30="","",E30*C30)</f>
      </c>
      <c r="G30" s="267">
        <f>IF(E30="","",E30*D30)</f>
      </c>
      <c r="H30" s="272" t="inlineStr">
        <is>
          <t>estudo REV13, aba 05 coluna K, evento 3.4.1</t>
        </is>
      </c>
    </row>
    <row r="31">
      <c r="A31" s="346" t="str">
        <f>'CRONOGRAMA PROJECT'!A13</f>
        <v>342-07</v>
      </c>
      <c r="B31" s="346" t="str">
        <f>'CRONOGRAMA PROJECT'!C13</f>
        <v>TANQUE DE LODO</v>
      </c>
      <c r="C31" s="347">
        <f>'CRONOGRAMA PROJECT'!K13</f>
        <v>1180517.8</v>
      </c>
      <c r="D31" s="271" t="n">
        <v>885008.92</v>
      </c>
      <c r="E31" s="348">
        <f>IF('CRONOGRAMA PROJECT'!J13="","",'CRONOGRAMA PROJECT'!J13)</f>
      </c>
      <c r="F31" s="267">
        <f>IF(E31="","",E31*C31)</f>
      </c>
      <c r="G31" s="267">
        <f>IF(E31="","",E31*D31)</f>
      </c>
      <c r="H31" s="272" t="inlineStr">
        <is>
          <t>estudo REV13, aba 05 coluna K, evento 3.5.1 a 3.5.7</t>
        </is>
      </c>
    </row>
    <row r="32">
      <c r="A32" s="346" t="str">
        <f>'CRONOGRAMA PROJECT'!A14</f>
        <v>342-08</v>
      </c>
      <c r="B32" s="346" t="str">
        <f>'CRONOGRAMA PROJECT'!C14</f>
        <v>ESTAÇÃO ELEVATÓRIA DE RECIRCULAÇÃO DE LODO</v>
      </c>
      <c r="C32" s="347">
        <f>'CRONOGRAMA PROJECT'!K14</f>
        <v>530787.26</v>
      </c>
      <c r="D32" s="271" t="n">
        <v>338994.12</v>
      </c>
      <c r="E32" s="348">
        <f>IF('CRONOGRAMA PROJECT'!J14="","",'CRONOGRAMA PROJECT'!J14)</f>
      </c>
      <c r="F32" s="267">
        <f>IF(E32="","",E32*C32)</f>
      </c>
      <c r="G32" s="267">
        <f>IF(E32="","",E32*D32)</f>
      </c>
      <c r="H32" s="272" t="inlineStr">
        <is>
          <t>estudo REV13, aba 05 coluna K, evento 3.6.1 a 3.6.8</t>
        </is>
      </c>
    </row>
    <row r="33">
      <c r="A33" s="346" t="str">
        <f>'CRONOGRAMA PROJECT'!A15</f>
        <v>342-09</v>
      </c>
      <c r="B33" s="346" t="str">
        <f>'CRONOGRAMA PROJECT'!C15</f>
        <v>URBANIZAÇÃO, CANALETAS, CAIXAS E SERVIÇOS COMPLEMENTARES</v>
      </c>
      <c r="C33" s="347">
        <f>'CRONOGRAMA PROJECT'!K15</f>
        <v>218637.74</v>
      </c>
      <c r="D33" s="271" t="n">
        <v>194131.26</v>
      </c>
      <c r="E33" s="348">
        <f>IF('CRONOGRAMA PROJECT'!J15="","",'CRONOGRAMA PROJECT'!J15)</f>
      </c>
      <c r="F33" s="267">
        <f>IF(E33="","",E33*C33)</f>
      </c>
      <c r="G33" s="267">
        <f>IF(E33="","",E33*D33)</f>
      </c>
      <c r="H33" s="272" t="inlineStr">
        <is>
          <t>estudo REV13, aba 05 coluna K, evento 3.7.2 a 3.7.7</t>
        </is>
      </c>
    </row>
    <row r="34">
      <c r="A34" s="346" t="str">
        <f>'CRONOGRAMA PROJECT'!A16</f>
        <v>342-10</v>
      </c>
      <c r="B34" s="346" t="str">
        <f>'CRONOGRAMA PROJECT'!C16</f>
        <v>REDE DE DISTRIBUIÇÃO DE ENERGIA</v>
      </c>
      <c r="C34" s="347">
        <f>'CRONOGRAMA PROJECT'!K16</f>
        <v>104799.22</v>
      </c>
      <c r="D34" s="271" t="n">
        <v>76795.94</v>
      </c>
      <c r="E34" s="348">
        <f>IF('CRONOGRAMA PROJECT'!J16="","",'CRONOGRAMA PROJECT'!J16)</f>
      </c>
      <c r="F34" s="267">
        <f>IF(E34="","",E34*C34)</f>
      </c>
      <c r="G34" s="267">
        <f>IF(E34="","",E34*D34)</f>
      </c>
      <c r="H34" s="272" t="inlineStr">
        <is>
          <t>estudo REV13, aba 05 coluna K, evento 3.8.1</t>
        </is>
      </c>
    </row>
    <row r="35">
      <c r="A35" s="346" t="str">
        <f>'CRONOGRAMA PROJECT'!A17</f>
        <v>342-11</v>
      </c>
      <c r="B35" s="346" t="str">
        <f>'CRONOGRAMA PROJECT'!C17</f>
        <v>PROJETOS EXECUTIVOS / AS BUILT</v>
      </c>
      <c r="C35" s="347">
        <f>'CRONOGRAMA PROJECT'!K17</f>
        <v>27956.66</v>
      </c>
      <c r="D35" s="271" t="n">
        <v>20000</v>
      </c>
      <c r="E35" s="348">
        <f>IF('CRONOGRAMA PROJECT'!J17="","",'CRONOGRAMA PROJECT'!J17)</f>
      </c>
      <c r="F35" s="267">
        <f>IF(E35="","",E35*C35)</f>
      </c>
      <c r="G35" s="267">
        <f>IF(E35="","",E35*D35)</f>
      </c>
      <c r="H35" s="272" t="inlineStr">
        <is>
          <t>estudo REV13, aba 05 coluna K, evento 4.1.1 e 4.1.2</t>
        </is>
      </c>
    </row>
    <row r="36" ht="30" customHeight="1" s="71">
      <c r="A36" s="349" t="n"/>
      <c r="B36" s="234" t="inlineStr">
        <is>
          <t>Ajustes do estudo (administração local e mão de obra pelo histograma, equipamento do plano)</t>
        </is>
      </c>
      <c r="C36" s="349" t="n"/>
      <c r="D36" s="271" t="n">
        <v>525929.28</v>
      </c>
      <c r="E36" s="349" t="n"/>
      <c r="F36" s="349" t="n"/>
      <c r="G36" s="267">
        <f>IF(COUNT(E25:E35)=0,"",D36*SUM(F25:F35)/C37)</f>
      </c>
      <c r="H36" s="272" t="inlineStr">
        <is>
          <t>estudo REV13, aba 00 linhas 12 a 17; entra na proporção do VA a preço</t>
        </is>
      </c>
    </row>
    <row r="37">
      <c r="A37" s="349" t="n"/>
      <c r="B37" s="230" t="inlineStr">
        <is>
          <t>TOTAL</t>
        </is>
      </c>
      <c r="C37" s="270">
        <f>SUM(C25:C35)</f>
        <v>3257970.74</v>
      </c>
      <c r="D37" s="270">
        <f>SUM(D25:D36)</f>
        <v>3212459.23</v>
      </c>
      <c r="E37" s="350" t="str">
        <f>IF(COUNT(E25:E35)=0,"SEM BASE",SUM(F25:F35)/C37)</f>
        <v>SEM BASE</v>
      </c>
      <c r="F37" s="270" t="str">
        <f>IF(COUNT(E25:E35)=0,"SEM BASE",SUM(F25:F35))</f>
        <v>SEM BASE</v>
      </c>
      <c r="G37" s="270" t="str">
        <f>IF(COUNT(E25:E35)=0,"SEM BASE",SUM(G25:G36))</f>
        <v>SEM BASE</v>
      </c>
      <c r="H37" s="272" t="str">
        <f>IF(ABS(D37-N('04. PLANO DAS OBRAS'!$C$30))&lt;1,"custo igual à 04 C30","CONFERIR: custo diferente da 04 C30")</f>
        <v>custo igual à 04 C30</v>
      </c>
    </row>
    <row r="38">
      <c r="A38" s="349" t="n"/>
      <c r="B38" s="256" t="inlineStr">
        <is>
          <t>IDC a custo no corte (VA a custo ÷ custo lançado, 08B)</t>
        </is>
      </c>
      <c r="C38" s="349" t="n"/>
      <c r="E38" s="349" t="n"/>
      <c r="F38" s="349" t="n"/>
      <c r="G38" s="351" t="str">
        <f>IF('08B. TODAS AS OBRAS'!$G$5=0,"sem custo lançado",IF(DATA_GESTAO-'08B. TODAS AS OBRAS'!$K$5&gt;'01A. GESTÃO DA SEMANA'!$C$54,"custo lançado só até "&amp;TEXT(DAY('08B. TODAS AS OBRAS'!$K$5),"00")&amp;"/"&amp;TEXT(MONTH('08B. TODAS AS OBRAS'!$K$5),"00")&amp;"/"&amp;RIGHT(YEAR('08B. TODAS AS OBRAS'!$K$5),2),IF(NOT(ISNUMBER(G37)),"sem % físico das etapas",G37/'08B. TODAS AS OBRAS'!$G$5)))</f>
        <v>sem custo lançado</v>
      </c>
    </row>
  </sheetData>
  <hyperlinks>
    <hyperlink ref="S1" location="'00A. MENU'!A1" display="◀ MENU"/>
  </hyperlinks>
  <pageMargins left="0.75" right="0.75" top="1" bottom="1" header="0.5" footer="0.5"/>
  <pageSetup orientation="landscape" fitToHeight="0"/>
</worksheet>
</file>

<file path=xl/worksheets/sheet30.xml><?xml version="1.0" encoding="utf-8"?>
<worksheet xmlns="http://schemas.openxmlformats.org/spreadsheetml/2006/main">
  <sheetPr>
    <tabColor rgb="FFA6A6A6"/>
    <outlinePr summaryBelow="1" summaryRight="1"/>
    <pageSetUpPr fitToPage="1"/>
  </sheetPr>
  <dimension ref="A1:F22"/>
  <sheetViews>
    <sheetView showGridLines="0" workbookViewId="0">
      <selection activeCell="A1" sqref="A1"/>
    </sheetView>
  </sheetViews>
  <sheetFormatPr baseColWidth="8" defaultRowHeight="15"/>
  <cols>
    <col width="6" customWidth="1" style="71" min="1" max="1"/>
    <col width="70" customWidth="1" style="71" min="2" max="2"/>
    <col width="14" customWidth="1" style="71" min="3" max="3"/>
    <col width="70" customWidth="1" style="71" min="4" max="4"/>
    <col width="15" customWidth="1" style="71" min="5" max="5"/>
    <col width="36" customWidth="1" style="71" min="6" max="6"/>
  </cols>
  <sheetData>
    <row r="1" ht="26.1" customHeight="1" s="71">
      <c r="A1" s="1" t="inlineStr">
        <is>
          <t>13. CHECKS — conferências; o MASTER CHECK resume todas</t>
        </is>
      </c>
      <c r="B1" s="2" t="n"/>
      <c r="C1" s="2" t="n"/>
      <c r="D1" s="2" t="n"/>
      <c r="E1" s="2" t="n"/>
      <c r="F1" s="3" t="inlineStr">
        <is>
          <t>◀ MENU</t>
        </is>
      </c>
    </row>
    <row r="2">
      <c r="A2" s="4" t="inlineStr">
        <is>
          <t>OK = conferido. PENDENTE = falta dado. DECIDIR = número conferido que pede decisão da diretoria. ERRO = número que não fecha.</t>
        </is>
      </c>
    </row>
    <row r="3">
      <c r="B3" s="65" t="inlineStr">
        <is>
          <t>MASTER CHECK:</t>
        </is>
      </c>
      <c r="C3" s="66" t="str">
        <f>IF(COUNTIF($C$5:$C$22,"ERRO")&gt;0,"ERRO",IF(COUNTIF($C$5:$C$22,"DECIDIR")&gt;0,"DECIDIR",IF(COUNTIF($C$5:$C$22,"PENDENTE")&gt;0,"PENDENTE","OK")))</f>
        <v>DECIDIR</v>
      </c>
    </row>
    <row r="4" ht="30" customHeight="1" s="71">
      <c r="A4" s="23" t="inlineStr">
        <is>
          <t>Nº</t>
        </is>
      </c>
      <c r="B4" s="23" t="inlineStr">
        <is>
          <t>CONFERÊNCIA</t>
        </is>
      </c>
      <c r="C4" s="23" t="inlineStr">
        <is>
          <t>RESULTADO</t>
        </is>
      </c>
      <c r="D4" s="23" t="inlineStr">
        <is>
          <t>O QUE FAZER</t>
        </is>
      </c>
      <c r="E4" s="23" t="inlineStr">
        <is>
          <t>VALOR DE REFERÊNCIA</t>
        </is>
      </c>
      <c r="F4" s="23" t="inlineStr">
        <is>
          <t>FONTE DO VALOR</t>
        </is>
      </c>
    </row>
    <row r="5">
      <c r="A5" s="30" t="n">
        <v>1</v>
      </c>
      <c r="B5" s="6" t="inlineStr">
        <is>
          <t>Medido de cada obra não passa do valor do contrato</t>
        </is>
      </c>
      <c r="C5" s="67" t="str">
        <f>IF(AND('08B. TODAS AS OBRAS'!C5&lt;='08B. TODAS AS OBRAS'!B5+1,'08B. TODAS AS OBRAS'!C6&lt;='08B. TODAS AS OBRAS'!B6+1),"OK","ERRO")</f>
        <v>OK</v>
      </c>
      <c r="D5" s="32" t="inlineStr">
        <is>
          <t>Conferir BMs repetidos na 06.</t>
        </is>
      </c>
    </row>
    <row r="6">
      <c r="A6" s="30" t="n">
        <v>2</v>
      </c>
      <c r="B6" s="6" t="inlineStr">
        <is>
          <t>Todo custo lançado tem obra e conta</t>
        </is>
      </c>
      <c r="C6" s="67" t="str">
        <f>IF(COUNTIFS('08. CUSTOS'!$F$5:$F$404,"&lt;&gt;",'08. CUSTOS'!$C$5:$C$404,"")+COUNTIFS('08. CUSTOS'!$F$5:$F$404,"&lt;&gt;",'08. CUSTOS'!$D$5:$D$404,"")=0,"OK","ERRO")</f>
        <v>OK</v>
      </c>
      <c r="D6" s="32" t="inlineStr">
        <is>
          <t>Completar obra e conta na 08.</t>
        </is>
      </c>
    </row>
    <row r="7">
      <c r="A7" s="30" t="n">
        <v>3</v>
      </c>
      <c r="B7" s="6" t="inlineStr">
        <is>
          <t>Toda NF tem obra e BM</t>
        </is>
      </c>
      <c r="C7" s="67" t="str">
        <f>IF(COUNTIFS('07. FATURAMENTO E RECEBIMENTO'!$F$5:$F$44,"&lt;&gt;",'07. FATURAMENTO E RECEBIMENTO'!$B$5:$B$44,"")+COUNTIFS('07. FATURAMENTO E RECEBIMENTO'!$F$5:$F$44,"&lt;&gt;",'07. FATURAMENTO E RECEBIMENTO'!$C$5:$C$44,"")=0,"OK","ERRO")</f>
        <v>OK</v>
      </c>
      <c r="D7" s="32" t="inlineStr">
        <is>
          <t>Completar a 07.</t>
        </is>
      </c>
    </row>
    <row r="8">
      <c r="A8" s="30" t="n">
        <v>4</v>
      </c>
      <c r="B8" s="6" t="inlineStr">
        <is>
          <t>Medição prevista da 342 fecha no contrato (eventograma Anexo VII; arredondamento de R$ 29,26 nos pesos)</t>
        </is>
      </c>
      <c r="C8" s="67" t="str">
        <f>IF(ABS('04. PLANO DAS OBRAS'!S6-'03. CONTRATOS'!$B$8)&lt;50,"OK","ERRO")</f>
        <v>OK</v>
      </c>
      <c r="D8" s="32" t="inlineStr">
        <is>
          <t>Conferir a soma dos eventos no estudo REV13 (aba 05) e a linha 6 da 04.</t>
        </is>
      </c>
    </row>
    <row r="9">
      <c r="A9" s="30" t="n">
        <v>5</v>
      </c>
      <c r="B9" s="6" t="inlineStr">
        <is>
          <t>Medição prevista da 343 fecha no contrato</t>
        </is>
      </c>
      <c r="C9" s="67" t="str">
        <f>IF(ABS('04. PLANO DAS OBRAS'!S18-'03. CONTRATOS'!$D$8)&lt;0.005*'03. CONTRATOS'!$D$8,"OK","ERRO")</f>
        <v>OK</v>
      </c>
      <c r="D9" s="32" t="inlineStr">
        <is>
          <t>Rodar o motor de novo.</t>
        </is>
      </c>
    </row>
    <row r="10">
      <c r="A10" s="30" t="n">
        <v>6</v>
      </c>
      <c r="B10" s="6" t="inlineStr">
        <is>
          <t>Apontamento da semana do corte lançado (05B) nas três obras</t>
        </is>
      </c>
      <c r="C10" s="67" t="str">
        <f>IF(AND(SUMIFS('05. SEMANAS'!$G$5:$G$64,'05. SEMANAS'!$A$5:$A$64,'02. PARÂMETROS'!$B$5,'05. SEMANAS'!$B$5:$B$64,"342")&gt;0,SUMIFS('05. SEMANAS'!$G$5:$G$64,'05. SEMANAS'!$A$5:$A$64,'02. PARÂMETROS'!$B$5,'05. SEMANAS'!$B$5:$B$64,"343")&gt;0,SUMIFS('05. SEMANAS'!$G$5:$G$64,'05. SEMANAS'!$A$5:$A$64,'02. PARÂMETROS'!$B$5,'05. SEMANAS'!$B$5:$B$64,"281")&gt;0),"OK","PENDENTE")</f>
        <v>PENDENTE</v>
      </c>
      <c r="D10" s="32" t="inlineStr">
        <is>
          <t>O apontador lança o dia na 05B até 9h do dia seguinte. Sem isso as luzes de produção (01A) ficam SEM BASE.</t>
        </is>
      </c>
    </row>
    <row r="11">
      <c r="A11" s="30" t="n">
        <v>7</v>
      </c>
      <c r="B11" s="6" t="inlineStr">
        <is>
          <t>Caixa previsto não passa do limite aceitável (02)</t>
        </is>
      </c>
      <c r="C11" s="67" t="str">
        <f>IF('02. PARÂMETROS'!$B$11="","PENDENTE",IF('10. CAIXA'!C15&gt;=-'02. PARÂMETROS'!$B$11,"OK","PENDENTE"))</f>
        <v>PENDENTE</v>
      </c>
      <c r="D11" s="32" t="inlineStr">
        <is>
          <t>Definir o limite com os sócios; se passar, planejar capital.</t>
        </is>
      </c>
    </row>
    <row r="12" ht="24" customHeight="1" s="71">
      <c r="A12" s="30" t="n">
        <v>8</v>
      </c>
      <c r="B12" s="6" t="inlineStr">
        <is>
          <t>342: custo previsto completo (itens sem cotação da TAF = zero)</t>
        </is>
      </c>
      <c r="C12" s="67" t="str">
        <f>IF(N('04. PLANO DAS OBRAS'!$C$37)&gt;0,"PENDENTE","OK")</f>
        <v>PENDENTE</v>
      </c>
      <c r="D12" s="32" t="inlineStr">
        <is>
          <t>Cotar os itens sem cotação (estudo REV13, aba 12; META DE COMPRA, coluna 'Sem cotação').</t>
        </is>
      </c>
    </row>
    <row r="13" ht="24" customHeight="1" s="71">
      <c r="A13" s="30" t="n">
        <v>9</v>
      </c>
      <c r="B13" s="6" t="inlineStr">
        <is>
          <t>342: o estudo interno estima resultado maior ou igual a zero</t>
        </is>
      </c>
      <c r="C13" s="67" t="str">
        <f>IF('04. PLANO DAS OBRAS'!C31&gt;=0,"OK","DECIDIR")</f>
        <v>DECIDIR</v>
      </c>
      <c r="D13" s="32" t="inlineStr">
        <is>
          <t>Decidir com Thadeu: cotar o sem cotação, rever o plano do estudo (aba 17) ou aceitar o resultado.</t>
        </is>
      </c>
    </row>
    <row r="14">
      <c r="A14" s="30" t="n">
        <v>10</v>
      </c>
      <c r="B14" s="6" t="inlineStr">
        <is>
          <t>342: plano usa o histograma próprio da TAF (estudo REV13), não o Anexo III</t>
        </is>
      </c>
      <c r="C14" s="67" t="str">
        <f>IF(ABS(N('04. PLANO DAS OBRAS'!$S$14)-$E$14)&lt;0.01,"OK","ERRO")</f>
        <v>OK</v>
      </c>
      <c r="D14" s="32" t="inlineStr">
        <is>
          <t>O Anexo III é referência do orçamento da SANEAGO; não entra no plano. Confere o pico médio do mês (04 S14) com o estudo.</t>
        </is>
      </c>
      <c r="E14" s="352" t="n">
        <v>39.68</v>
      </c>
      <c r="F14" s="32" t="inlineStr">
        <is>
          <t>estudo REV13, aba 00 linha 35 (histograma em uso: 4 · PLANO)</t>
        </is>
      </c>
    </row>
    <row r="15">
      <c r="A15" s="30" t="n">
        <v>11</v>
      </c>
      <c r="B15" s="6" t="inlineStr">
        <is>
          <t>343: seguro-garantia com prêmio conferido</t>
        </is>
      </c>
      <c r="C15" s="67" t="str">
        <f>IF('03. CONTRATOS'!$D$16="","PENDENTE","OK")</f>
        <v>PENDENTE</v>
      </c>
      <c r="D15" s="32" t="inlineStr">
        <is>
          <t>Ler o boleto da apólice 03-0775-0430794.</t>
        </is>
      </c>
    </row>
    <row r="16">
      <c r="A16" s="30" t="n">
        <v>12</v>
      </c>
      <c r="B16" s="6" t="inlineStr">
        <is>
          <t>343: o estudo interno estima margem acima da margem-alvo (02 B12)</t>
        </is>
      </c>
      <c r="C16" s="67" t="str">
        <f>IF(AND(ABS(N('04. PLANO DAS OBRAS'!$D$30)-N('04. PLANO DAS OBRAS'!$S$24)-N($E$16))&gt;1,ABS(N('04. PLANO DAS OBRAS'!$D$30)-N('04. PLANO DAS OBRAS'!$S$24))&gt;1),"PENDENTE",IF('04. PLANO DAS OBRAS'!$D$32&lt;'02. PARÂMETROS'!$B$12,"DECIDIR",IF(ABS(N('04. PLANO DAS OBRAS'!$D$30)-N('04. PLANO DAS OBRAS'!$S$24))&gt;1,"PENDENTE","OK")))</f>
        <v>PENDENTE</v>
      </c>
      <c r="D16" s="32" t="inlineStr">
        <is>
          <t>O custo do motor (04 D30) é o completo e vale para a margem. O plano mensal (04 S24, usado no caixa) não tem os R$ 96.418 da coluna E: Mauro Lúcio completa o plano do motor (05C R101); com o plano completo a conferência passa sozinha. Margem abaixo da meta: decidir com Thadeu.</t>
        </is>
      </c>
      <c r="E16">
        <f>69473.68+31372.67-4428.05</f>
        <v>96418.3</v>
      </c>
      <c r="F16" t="inlineStr">
        <is>
          <t>motor da 343 (MOTOR TAF\ESTUDOS\TAF 343 CAESB SOBRADINHO - PLANEJAMENTO.xlsx), conferido em 15/10: o custo total (aba 09 C9) tem a mobilização, topografia e ART da F01 (aba 08 G20) e a contingência (aba 09 C8) que o plano mensal (aba 13) não tem; o PEAD no plano mensal tem R$ 4.428,05 a mais que o orçamento (aba 06)</t>
        </is>
      </c>
    </row>
    <row r="17">
      <c r="A17" s="30" t="n">
        <v>13</v>
      </c>
      <c r="B17" s="6" t="inlineStr">
        <is>
          <t>281: orçamento de custo (custo-meta) lançado na 04 E30</t>
        </is>
      </c>
      <c r="C17" s="67" t="str">
        <f>IF(N('04. PLANO DAS OBRAS'!$E$30)&gt;0,"OK",IF(DATA_GESTAO&gt;$E$17,"DECIDIR","PENDENTE"))</f>
        <v>PENDENTE</v>
      </c>
      <c r="D17" s="32" t="inlineStr">
        <is>
          <t>Felipe faz o custo-meta sobre o saldo do contrato. Passou do prazo: decidir com Thadeu.</t>
        </is>
      </c>
      <c r="E17" s="353">
        <f>'PAUTA DE SEGUNDA TAF'!$C$73</f>
        <v>46325.0</v>
      </c>
      <c r="F17" s="32" t="inlineStr">
        <is>
          <t>prazo da PAUTA DE SEGUNDA TAF, linha 73</t>
        </is>
      </c>
    </row>
    <row r="18">
      <c r="A18" s="30" t="n">
        <v>14</v>
      </c>
      <c r="B18" s="6" t="inlineStr">
        <is>
          <t>342: custo da obra na 04 igual ao do estudo em uso (04 linha 38)</t>
        </is>
      </c>
      <c r="C18" s="67" t="str">
        <f>IF(ABS(N('04. PLANO DAS OBRAS'!$C$30)-$E$18)&lt;1,"OK","ERRO")</f>
        <v>OK</v>
      </c>
      <c r="D18" s="32" t="inlineStr">
        <is>
          <t>Estudo novo: copiar as linhas 6 a 14 da 04, trocar a linha 38 da 04 e os valores desta coluna E.</t>
        </is>
      </c>
      <c r="E18" s="354" t="n">
        <v>3212459.22</v>
      </c>
      <c r="F18" s="32" t="inlineStr">
        <is>
          <t>estudo REV13, aba 00 linha 18</t>
        </is>
      </c>
    </row>
    <row r="19">
      <c r="A19" s="30" t="n">
        <v>15</v>
      </c>
      <c r="B19" s="6" t="inlineStr">
        <is>
          <t>342: resultado na 04 igual ao do estudo em uso</t>
        </is>
      </c>
      <c r="C19" s="67" t="str">
        <f>IF(AND(N('FLUXO PROJETADO TAF'!$C$8)=0,N('FLUXO PROJETADO TAF'!$C$9)=0),IF(ABS(N('04. PLANO DAS OBRAS'!$C$31)-$E$19)&lt;1,"OK","ERRO"),"PENDENTE")</f>
        <v>OK</v>
      </c>
      <c r="D19" s="32" t="inlineStr">
        <is>
          <t>Com atraso ou glosa no FLUXO (C8, C9) não compara. Se não bater, conferir a regra do FLUXO C19.</t>
        </is>
      </c>
      <c r="E19" s="354" t="n">
        <v>-231415.99</v>
      </c>
      <c r="F19" s="32" t="inlineStr">
        <is>
          <t>estudo REV13, aba 00 linha 21</t>
        </is>
      </c>
    </row>
    <row r="20">
      <c r="A20" s="30" t="n">
        <v>16</v>
      </c>
      <c r="B20" s="6" t="inlineStr">
        <is>
          <t>281: BM aprovado há mais de 45 dias sem data de pagamento (06 coluna L; sem data de aprovação na 06 J, conta o fim do período: mês de referência + 19 dias)</t>
        </is>
      </c>
      <c r="C20" s="67" t="str">
        <f>IF(SUMPRODUCT((('06. MEDIÇÃO (BM)'!$B$5:$B$44&amp;"")="281")*(('06. MEDIÇÃO (BM)'!$F$5:$F$44="APROVADO")+('06. MEDIÇÃO (BM)'!$F$5:$F$44="FATURADO"))*('06. MEDIÇÃO (BM)'!$L$5:$L$44="")*((('06. MEDIÇÃO (BM)'!$J$5:$J$44="")*('06. MEDIÇÃO (BM)'!$D$5:$D$44+19)+('06. MEDIÇÃO (BM)'!$J$5:$J$44&lt;&gt;"")*'06. MEDIÇÃO (BM)'!$J$5:$J$44)&lt;=DATA_GESTAO-$E$20))&gt;0,"PENDENTE","OK")</f>
        <v>PENDENTE</v>
      </c>
      <c r="D20" s="32" t="str">
        <f>"BMs nessa situação: "&amp;SUMPRODUCT((('06. MEDIÇÃO (BM)'!$B$5:$B$44&amp;"")="281")*(('06. MEDIÇÃO (BM)'!$F$5:$F$44="APROVADO")+('06. MEDIÇÃO (BM)'!$F$5:$F$44="FATURADO"))*('06. MEDIÇÃO (BM)'!$L$5:$L$44="")*((('06. MEDIÇÃO (BM)'!$J$5:$J$44="")*('06. MEDIÇÃO (BM)'!$D$5:$D$44+19)+('06. MEDIÇÃO (BM)'!$J$5:$J$44&lt;&gt;"")*'06. MEDIÇÃO (BM)'!$J$5:$J$44)&lt;=DATA_GESTAO-$E$20))&amp;". Lançar a data de pagamento na 06 ou cobrar a SANEAGO (Financeiro TAF e Rafael Santa Cruz)."</f>
        <v>BMs nessa situação: 5. Lançar a data de pagamento na 06 ou cobrar a SANEAGO (Financeiro TAF e Rafael Santa Cruz).</v>
      </c>
      <c r="E20" s="355" t="n">
        <v>45</v>
      </c>
      <c r="F20" s="32" t="inlineStr">
        <is>
          <t>dias (30 de prazo de pagamento, 03 F14, mais 15)</t>
        </is>
      </c>
    </row>
    <row r="21" s="71">
      <c r="A21" s="30" t="n">
        <v>17</v>
      </c>
      <c r="B21" s="6" t="inlineStr">
        <is>
          <t>Pessoa com mais de 8 restrições abertas (05C, coluna Dono)</t>
        </is>
      </c>
      <c r="C21" s="67" t="str">
        <f>IF(SUMPRODUCT(MAX(('05C. RESTRIÇÕES'!$G$5:$G$204&lt;&gt;"")*('05C. RESTRIÇÕES'!$H$5:$H$204="ABERTA")*COUNTIFS('05C. RESTRIÇÕES'!$G$5:$G$204,'05C. RESTRIÇÕES'!$G$5:$G$204,'05C. RESTRIÇÕES'!$H$5:$H$204,"ABERTA")))&gt;$E$21,"PENDENTE","OK")</f>
        <v>PENDENTE</v>
      </c>
      <c r="D21" s="32" t="str">
        <f>IF(SUMPRODUCT(MAX(('05C. RESTRIÇÕES'!$G$5:$G$204&lt;&gt;"")*('05C. RESTRIÇÕES'!$H$5:$H$204="ABERTA")*COUNTIFS('05C. RESTRIÇÕES'!$G$5:$G$204,'05C. RESTRIÇÕES'!$G$5:$G$204,'05C. RESTRIÇÕES'!$H$5:$H$204,"ABERTA")))=0,"Nenhuma restrição aberta com dono.","Mais carregado: "&amp;LOOKUP(2,1/((('05C. RESTRIÇÕES'!$G$5:$G$204&lt;&gt;"")*('05C. RESTRIÇÕES'!$H$5:$H$204="ABERTA")*COUNTIFS('05C. RESTRIÇÕES'!$G$5:$G$204,'05C. RESTRIÇÕES'!$G$5:$G$204,'05C. RESTRIÇÕES'!$H$5:$H$204,"ABERTA"))=SUMPRODUCT(MAX(('05C. RESTRIÇÕES'!$G$5:$G$204&lt;&gt;"")*('05C. RESTRIÇÕES'!$H$5:$H$204="ABERTA")*COUNTIFS('05C. RESTRIÇÕES'!$G$5:$G$204,'05C. RESTRIÇÕES'!$G$5:$G$204,'05C. RESTRIÇÕES'!$H$5:$H$204,"ABERTA")))),'05C. RESTRIÇÕES'!$G$5:$G$204)&amp;" ("&amp;SUMPRODUCT(MAX(('05C. RESTRIÇÕES'!$G$5:$G$204&lt;&gt;"")*('05C. RESTRIÇÕES'!$H$5:$H$204="ABERTA")*COUNTIFS('05C. RESTRIÇÕES'!$G$5:$G$204,'05C. RESTRIÇÕES'!$G$5:$G$204,'05C. RESTRIÇÕES'!$H$5:$H$204,"ABERTA")))&amp;" abertas). Felipe e Thadeu redistribuem os donos na segunda.")</f>
        <v>Mais carregado: Marko Aurélio (23 abertas). Felipe e Thadeu redistribuem os donos na segunda.</v>
      </c>
      <c r="E21" s="355" t="n">
        <v>8</v>
      </c>
      <c r="F21" s="32" t="inlineStr">
        <is>
          <t>limite por pessoa (auditoria de 15/10/2026)</t>
        </is>
      </c>
    </row>
    <row r="22" s="71">
      <c r="A22" s="30" t="n">
        <v>18</v>
      </c>
      <c r="B22" s="6" t="inlineStr">
        <is>
          <t>342: recebimento definitivo cabe no seguro-garantia e na vigência do contrato (CRONOGRAMA L120 e L121)</t>
        </is>
      </c>
      <c r="C22" s="67" t="str">
        <f>IF(AND(N('CRONOGRAMA PROJECT'!$K$120)&gt;=$E$22,N('CRONOGRAMA PROJECT'!$K$121)&gt;=$E$22),"OK","DECIDIR")</f>
        <v>DECIDIR</v>
      </c>
      <c r="D22" s="32" t="inlineStr">
        <is>
          <t>Endossar o seguro ou pedir a vistoria no M08 (CRONOGRAMA linha 122). Dono: 05C R85 (Financeiro TAF e Thadeu).</t>
        </is>
      </c>
      <c r="E22" s="355" t="n">
        <v>0</v>
      </c>
      <c r="F22" s="32" t="inlineStr">
        <is>
          <t>dias de folga mínimos</t>
        </is>
      </c>
    </row>
  </sheetData>
  <conditionalFormatting sqref="C3">
    <cfRule type="cellIs" priority="4" operator="equal" dxfId="16">
      <formula>"OK"</formula>
    </cfRule>
    <cfRule type="cellIs" priority="5" operator="equal" dxfId="15">
      <formula>"PENDENTE"</formula>
    </cfRule>
    <cfRule type="cellIs" priority="6" operator="equal" dxfId="14">
      <formula>"ERRO"</formula>
    </cfRule>
    <cfRule type="cellIs" priority="7" operator="equal" dxfId="25">
      <formula>"DECIDIR"</formula>
    </cfRule>
  </conditionalFormatting>
  <conditionalFormatting sqref="C5:C15">
    <cfRule type="cellIs" priority="1" operator="equal" dxfId="16">
      <formula>"OK"</formula>
    </cfRule>
    <cfRule type="cellIs" priority="2" operator="equal" dxfId="15">
      <formula>"PENDENTE"</formula>
    </cfRule>
    <cfRule type="cellIs" priority="3" operator="equal" dxfId="14">
      <formula>"ERRO"</formula>
    </cfRule>
  </conditionalFormatting>
  <conditionalFormatting sqref="C5:C22">
    <cfRule type="cellIs" priority="8" operator="equal" dxfId="25">
      <formula>"DECIDIR"</formula>
    </cfRule>
  </conditionalFormatting>
  <conditionalFormatting sqref="C16:C22">
    <cfRule type="cellIs" priority="9" operator="equal" dxfId="24">
      <formula>"OK"</formula>
    </cfRule>
    <cfRule type="cellIs" priority="10" operator="equal" dxfId="27">
      <formula>"PENDENTE"</formula>
    </cfRule>
    <cfRule type="cellIs" priority="11" operator="equal" dxfId="23">
      <formula>"ERRO"</formula>
    </cfRule>
  </conditionalFormatting>
  <hyperlinks>
    <hyperlink ref="F1" location="'00A. MENU'!A1" display="◀ MENU"/>
  </hyperlinks>
  <pageMargins left="0.75" right="0.75" top="1" bottom="1" header="0.5" footer="0.5"/>
  <pageSetup orientation="landscape" fitToHeight="0"/>
</worksheet>
</file>

<file path=xl/worksheets/sheet31.xml><?xml version="1.0" encoding="utf-8"?>
<worksheet xmlns="http://schemas.openxmlformats.org/spreadsheetml/2006/main">
  <sheetPr>
    <tabColor rgb="FFA6A6A6"/>
    <outlinePr summaryBelow="1" summaryRight="1"/>
    <pageSetUpPr fitToPage="1"/>
  </sheetPr>
  <dimension ref="A1:D49"/>
  <sheetViews>
    <sheetView showGridLines="0" workbookViewId="0">
      <selection activeCell="A1" sqref="A1"/>
    </sheetView>
  </sheetViews>
  <sheetFormatPr baseColWidth="8" defaultRowHeight="15"/>
  <cols>
    <col width="40" customWidth="1" style="71" min="1" max="1"/>
    <col width="120" customWidth="1" style="71" min="2" max="2"/>
    <col width="34" customWidth="1" style="71" min="3" max="3"/>
    <col width="40" customWidth="1" style="71" min="4" max="4"/>
  </cols>
  <sheetData>
    <row r="1" ht="26.1" customHeight="1" s="71">
      <c r="A1" s="1" t="inlineStr">
        <is>
          <t>14. FONTES — de onde veio cada número</t>
        </is>
      </c>
      <c r="B1" s="2" t="n"/>
      <c r="C1" s="2" t="n"/>
      <c r="D1" s="3" t="inlineStr">
        <is>
          <t>◀ MENU</t>
        </is>
      </c>
    </row>
    <row r="2">
      <c r="A2" s="4" t="inlineStr">
        <is>
          <t>Caminhos relativos a 27- TAF GERENCIA.</t>
        </is>
      </c>
    </row>
    <row r="3"/>
    <row r="4">
      <c r="A4" s="72" t="inlineStr">
        <is>
          <t>STATUS DOS DADOS (varredura de 27/09/2026, duas buscas exaustivas na pasta)</t>
        </is>
      </c>
    </row>
    <row r="5" ht="42" customHeight="1" s="71">
      <c r="A5" s="68" t="inlineStr">
        <is>
          <t>REAL — confirmado</t>
        </is>
      </c>
      <c r="B5" s="6" t="inlineStr">
        <is>
          <t>Salário do engenheiro Tiago Marinho (342): R$ 15.000/mês PJ, Contrato TAF 001 (Cláusula Terceira). Único custo de folha real encontrado em toda a pasta.</t>
        </is>
      </c>
    </row>
    <row r="6" ht="42" customHeight="1" s="71">
      <c r="A6" s="68" t="inlineStr">
        <is>
          <t>REFERÊNCIA DE EDITAL — não é custo da TAF</t>
        </is>
      </c>
      <c r="B6" s="6" t="inlineStr">
        <is>
          <t>Comprador (R$ 2.147,20/mês) e topógrafo/encarregado (R$ 13.000/mês) do Anexo IV Rev01 SANEAGO, aba 1-CI; e preços de concreto/aço/forma da curva ABC do mesmo anexo. Servem só de grandeza.</t>
        </is>
      </c>
    </row>
    <row r="7" ht="42" customHeight="1" s="71">
      <c r="A7" s="68" t="inlineStr">
        <is>
          <t>PENDENTE — sem valor em nenhum documento</t>
        </is>
      </c>
      <c r="B7" s="6" t="inlineStr">
        <is>
          <t>Marko Aurélio (2º engenheiro da 342, sem contrato localizado — usado o valor do Tiago como proxy), apontador, chefe administrativo de obra (342), material civil sem cotação da TAF (342).</t>
        </is>
      </c>
    </row>
    <row r="8" ht="42" customHeight="1" s="71">
      <c r="A8" s="68" t="inlineStr">
        <is>
          <t>VAZIO — nenhum apontamento, BM, NF ou pagamento lançado ainda</t>
        </is>
      </c>
      <c r="B8" s="6" t="inlineStr">
        <is>
          <t>05. SEMANAS, 06. MEDIÇÃO, 07. FATURAMENTO e 08. CUSTOS deste arquivo. Confirmado: pastas 09-RH das duas obras vazias; nenhum RDO, WhatsApp exportado, BM ou NF emitido encontrado na pasta 27- TAF GERENCIA. Esperado — as obras começaram 01/09/2026.</t>
        </is>
      </c>
    </row>
    <row r="9"/>
    <row r="10" ht="30" customHeight="1" s="71">
      <c r="A10" s="23" t="inlineStr">
        <is>
          <t>O QUÊ</t>
        </is>
      </c>
      <c r="B10" s="23" t="inlineStr">
        <is>
          <t>ONDE</t>
        </is>
      </c>
    </row>
    <row r="11">
      <c r="A11" s="5" t="inlineStr">
        <is>
          <t>342 Contrato</t>
        </is>
      </c>
      <c r="B11" s="30" t="inlineStr">
        <is>
          <t>OBRA 342 - extraida\...\01 - Administrativo e Contratação\CONTRATO\Contrato.pdf</t>
        </is>
      </c>
    </row>
    <row r="12">
      <c r="A12" s="5" t="inlineStr">
        <is>
          <t>342 Ordem de Serviço</t>
        </is>
      </c>
      <c r="B12" s="30" t="inlineStr">
        <is>
          <t>OBRA 342 - extraida\...\01 - Administrativo e Contratação\ORDEM DE SERVIÇO\Contrato 30000196. Ordem de Serviço..pdf</t>
        </is>
      </c>
    </row>
    <row r="13">
      <c r="A13" s="5" t="inlineStr">
        <is>
          <t>342 Histograma oficial (Anexo III)</t>
        </is>
      </c>
      <c r="B13" s="30" t="inlineStr">
        <is>
          <t>OBRA 342 - extraida\...\14 - Acompanhamento de obra\ANEXO III - HISTOGRAMA SANTO ANTONIO DO DESCOBERTO.xlsx</t>
        </is>
      </c>
    </row>
    <row r="14">
      <c r="A14" s="5" t="inlineStr">
        <is>
          <t>342 Cronograma físico-financeiro (Anexo IV)</t>
        </is>
      </c>
      <c r="B14" s="30" t="inlineStr">
        <is>
          <t>OBRA 342 - extraida\...\14 - Acompanhamento de obra\ANEXO IV - CRONOGRAMA FISICO FINANCEIRO.xlsx</t>
        </is>
      </c>
    </row>
    <row r="15">
      <c r="A15" s="5" t="inlineStr">
        <is>
          <t>342 Orçamento analítico SANEAGO</t>
        </is>
      </c>
      <c r="B15" s="30" t="inlineStr">
        <is>
          <t>OBRA 342 - extraida\...\00 - Edital\ANEXO IV - ORCAMENTO ANALITICO\ANEXO_IV_-_ORCAMENTO_ANALITICO_LIC_002-2025.Rev01.xlsx</t>
        </is>
      </c>
    </row>
    <row r="16">
      <c r="A16" s="5" t="inlineStr">
        <is>
          <t>342 Seguro-garantia e boleto</t>
        </is>
      </c>
      <c r="B16" s="30" t="inlineStr">
        <is>
          <t xml:space="preserve">OBRA 342 - extraida\...\02 - Legal e Regulatório\Seguro\ </t>
        </is>
      </c>
    </row>
    <row r="17">
      <c r="A17" s="5" t="inlineStr">
        <is>
          <t>343 Contrato (escaneado, OCR)</t>
        </is>
      </c>
      <c r="B17" s="30" t="inlineStr">
        <is>
          <t>OBRA 343 - extraida\...\01 - Administrativo e Contratação\Contrato\Contrato.pdf</t>
        </is>
      </c>
    </row>
    <row r="18">
      <c r="A18" s="5" t="inlineStr">
        <is>
          <t>343 Ordem de Serviço</t>
        </is>
      </c>
      <c r="B18" s="30" t="inlineStr">
        <is>
          <t>OBRA 343 - extraida\...\02 - Legal e Regulatório\Ordem de Serviço.pdf</t>
        </is>
      </c>
    </row>
    <row r="19">
      <c r="A19" s="5" t="inlineStr">
        <is>
          <t>343 Viabilidade da TAF</t>
        </is>
      </c>
      <c r="B19" s="30" t="inlineStr">
        <is>
          <t>OBRA 343 - extraida\...\04 - Planejamento\Viabilidade CAESB Sobradinho - REV00.xlsm</t>
        </is>
      </c>
    </row>
    <row r="20">
      <c r="A20" s="5" t="inlineStr">
        <is>
          <t>343 Cronograma CAESB</t>
        </is>
      </c>
      <c r="B20" s="30" t="inlineStr">
        <is>
          <t>OBRA 343 - extraida\...\00 - Edital\Geral\01 ARQUIVOS LICITAÇÃO\SP0778\03. ORÇAMENTO E CRONOGRAMA\SP0778_Cronograma_SAT.SB1.192_r2.pdf</t>
        </is>
      </c>
    </row>
    <row r="21">
      <c r="A21" s="5" t="inlineStr">
        <is>
          <t>343 Edital (prazo de pagamento 2.16)</t>
        </is>
      </c>
      <c r="B21" s="30" t="inlineStr">
        <is>
          <t>OBRA 343 - extraida\...\00 - Edital\Geral\01 ARQUIVOS LICITAÇÃO\Edital_LC1749926_Obras_Subadutora_Sobradinho.pdf</t>
        </is>
      </c>
    </row>
    <row r="22">
      <c r="A22" s="5" t="inlineStr">
        <is>
          <t>Plano das obras (motor)</t>
        </is>
      </c>
      <c r="B22" s="30" t="inlineStr">
        <is>
          <t>MOTOR TAF\ESTUDOS\TAF 342 SANEAGO UTR - PLANEJAMENTO.xlsx e TAF 343 CAESB SOBRADINHO - PLANEJAMENTO.xlsx</t>
        </is>
      </c>
    </row>
    <row r="23">
      <c r="A23" s="5" t="inlineStr">
        <is>
          <t>Catálogo TAF (salários, máquinas, equipes)</t>
        </is>
      </c>
      <c r="B23" s="30" t="inlineStr">
        <is>
          <t>MOTOR TAF\CATALOGO TAF.xlsx (gerado por MOTOR TAF\semente_taf.py)</t>
        </is>
      </c>
    </row>
    <row r="24">
      <c r="A24" s="5" t="inlineStr">
        <is>
          <t>Mapa de tudo (Obsidian)</t>
        </is>
      </c>
      <c r="B24" s="30" t="inlineStr">
        <is>
          <t>00. MAPA DA TAF.md</t>
        </is>
      </c>
    </row>
    <row r="25"/>
    <row r="26">
      <c r="A26" s="5" t="inlineStr">
        <is>
          <t>rev4 · plano da 342</t>
        </is>
      </c>
      <c r="B26" s="30" t="inlineStr">
        <is>
          <t>Pasta panorama do projeto: OBRA 342 - ESTUDO DE OBRA (INTERNO) REV13.xlsx (15/10/2026 09:09; substitui o REV12 da rev2 e da rev3). Abas 05 (eventos e datas), 07 linha 42 (BM, cenário 1), 09 linhas 6 a 19 (caixa, cenário 1), 39 e 40 (histogramas), 00 (resultado, sem cotação e pior ponto).</t>
        </is>
      </c>
    </row>
    <row r="27">
      <c r="A27" s="5" t="inlineStr">
        <is>
          <t>rev2 · restrições da 342</t>
        </is>
      </c>
      <c r="B27" s="30" t="inlineStr">
        <is>
          <t>Pasta panorama: OBRA 342 - ACOMPANHAMENTO DE PERGUNTAS.xlsx, aba 6 (respostas de 14/10); OBRA 342 - META DE COMPRA E FECHAMENTO DE SERVIÇO REV01.xlsx, aba 1 (coluna Fechar até).</t>
        </is>
      </c>
    </row>
    <row r="28">
      <c r="A28" s="5" t="inlineStr">
        <is>
          <t>rev2 · 343</t>
        </is>
      </c>
      <c r="B28" s="30" t="inlineStr">
        <is>
          <t>TAF - KIT DE ROTINA - SUBSTITUÍDO.md (80 m/dia de PEAD até 17/11, depois 10 m/dia de FoFo; NF no 1º dia útil do mês seguinte); 03. CONTRATOS.</t>
        </is>
      </c>
    </row>
    <row r="29">
      <c r="A29" s="5" t="inlineStr">
        <is>
          <t>rev4 · feriados</t>
        </is>
      </c>
      <c r="B29" s="30" t="inlineStr">
        <is>
          <t>Nacionais; carnaval e Corpus Christi contados como parados. 342: municipais de Santo Antônio do Descoberto (30/11, 14/05, 13/06) como no estudo REV13, aba 34 (feriados.inf.br e feriadosapi.com, IBGE 5219753, consultados em 15/10/2026); confirmar com a fiscalização (P23). 343: 30/11 distrital do DF. 281: só nacionais; municipais de Mozarlândia a confirmar.</t>
        </is>
      </c>
    </row>
    <row r="30">
      <c r="A30" s="5" t="inlineStr">
        <is>
          <t>rev4 · restrições novas da 342</t>
        </is>
      </c>
      <c r="B30" s="30" t="inlineStr">
        <is>
          <t>gestao taf/entradas/342 - RESTRICOES NOVAS DO ESTUDO REV13 - 2026-10-15.xlsx (aba 17 do estudo REV13) e lista do Felipe de 15/10/2026 (eventograma, planejamento, quantitativos e sequência de início).</t>
        </is>
      </c>
    </row>
    <row r="31">
      <c r="A31" s="5" t="inlineStr">
        <is>
          <t>rev3 · 281 contrato e eventograma</t>
        </is>
      </c>
      <c r="B31" s="30" t="inlineStr">
        <is>
          <t>Anexos da LIC 048-2025 (EGT Obras, EGT Projetos, Serviços Ambientais, Anexo VII Eventograma 19/2025); Eventograma Mozarlândia.pdf (orçamento SANEAGO R$ 17.120.015,74); Termos de aceitação das NFs 402 e 403 (prazo de pagamento e vigência).</t>
        </is>
      </c>
    </row>
    <row r="32">
      <c r="A32" s="5" t="inlineStr">
        <is>
          <t>rev3 · 281 plano e BMs</t>
        </is>
      </c>
      <c r="B32" s="30" t="inlineStr">
        <is>
          <t>Cronograma FF x Gráficos.xlsx (contratada TECNOBOMBAS em C3, valor em C865, previsto por BM em G865:AB865, medido BM1 a BM7 em H869:N869; total igual ao FPM da SANEAGO). BM07 sem aprovação nos arquivos: ENVIADO na 06.</t>
        </is>
      </c>
    </row>
    <row r="33">
      <c r="A33" s="5" t="inlineStr">
        <is>
          <t>rev3 · 281 NFs e recebimento</t>
        </is>
      </c>
      <c r="B33" s="30" t="inlineStr">
        <is>
          <t>Pasta FINANCEIRO, Medição 02 (1).rar: NFS 402 e 403, termos de aceitação para antecipação (1,96% a.m., 15 dias, pagamento em 19/05/2026), CNDs, DARF, FGTS e folha de 03/2026.</t>
        </is>
      </c>
    </row>
    <row r="34">
      <c r="A34" s="5" t="inlineStr">
        <is>
          <t>rev3 · 281 custos</t>
        </is>
      </c>
      <c r="B34" s="30" t="inlineStr">
        <is>
          <t>SANEAGO_MOZARLANDIA_CUSTOS 30.04.2026.xlsx (aba FINANCEIRO ATE 30.04, linhas 16 a 293) e Custos Mensais - Maio 26.xlsx (linhas 11 a 74), lançados um a um na 08D; nada de custo depois de 30/05/2026.</t>
        </is>
      </c>
    </row>
    <row r="35">
      <c r="A35" s="5" t="inlineStr">
        <is>
          <t>rev3 · 281 restrições e compromissos</t>
        </is>
      </c>
      <c r="B35" s="30" t="inlineStr">
        <is>
          <t>Chats de WhatsApp Obra 281 Mozarlandia Compras, Mozarlândia Projetos, Mozarlandia Reservatório e Mozarlândia CCM ETA (até 14/10/2026); PLANEJAMENTO OBRA.docx (28/09/2026); valores dos eventos do Cronograma FF x Gráficos.</t>
        </is>
      </c>
    </row>
    <row r="36">
      <c r="A36" s="5" t="inlineStr">
        <is>
          <t>rev4 · conferência do roteiro 342</t>
        </is>
      </c>
      <c r="B36" s="30" t="inlineStr">
        <is>
          <t>Pasta panorama: EVENTOGRAMA 49-2024 REV04 - PROPOSTA - CT 30000196-2026 (Revisão 04, 15/10 13:08, substitui a Revisão 03) e OBRA 342 - ROTEIRO DIRETORIA, ENGENHARIA E FISCALIZAÇÃO - 2026-10-15.xlsx. Contrato 30000196/2026 p. 6 (ART e 1º pagamento); Anexo VII p. 15 (execução nos 2 primeiros meses); Plano de Trabalho v02 p. 3 e Anexo 4 (numeração dos BMs: corte de 20/10 = BM2); IN00.0615 4.1.9.2. Edital 002/2025 da 342 (EDITAL LIC 002-2025.pdf, 45 p., enviado em 15/10): itens 23.2 e 23.3.2 (sem pagamento de material em canteiro) e 23.13 (1ª parcela só com ART).</t>
        </is>
      </c>
    </row>
    <row r="37" ht="40" customHeight="1" s="71">
      <c r="A37" s="5" t="inlineStr">
        <is>
          <t>rev6 · auditoria dos 21 erros</t>
        </is>
      </c>
      <c r="B37" s="356" t="inlineStr">
        <is>
          <t>auditoria/AUDITORIA 21 ERROS - PLANILHAS TAF - 2026-10-15.md (itens 2, 3, 4, 6, 7, 8, 9 e 10; RC-05, RC-07, RC-08, CC-01, CC-04, CC-05, CC-09, D10, CE08). Lista A: AUDITORIA 21 ERROS - NOVAS RESTRICOES PARA A rev4 - 2026-10-15.xlsx, aba NOVAS PARA A 05C: A04, A06 com A28, A13 e A56 viraram as linhas R90 a R93 da 05C; A09, A48, A57, A60, A65 e A66 entraram no texto das R30, R97, R11, R98, R85 e R87.</t>
        </is>
      </c>
    </row>
    <row r="38"/>
    <row r="39">
      <c r="A39" s="10" t="inlineStr">
        <is>
          <t>LIÇÕES DA CARTEIRA</t>
        </is>
      </c>
      <c r="B39" s="11" t="n"/>
      <c r="C39" s="11" t="n"/>
      <c r="D39" s="11" t="n"/>
    </row>
    <row r="40" ht="24" customHeight="1" s="71">
      <c r="A40" s="215" t="inlineStr">
        <is>
          <t>Fato</t>
        </is>
      </c>
      <c r="B40" s="215" t="inlineStr">
        <is>
          <t>Regra</t>
        </is>
      </c>
      <c r="C40" s="215" t="inlineStr">
        <is>
          <t>Fonte</t>
        </is>
      </c>
      <c r="D40" s="215" t="inlineStr">
        <is>
          <t>Onde foi aplicada</t>
        </is>
      </c>
    </row>
    <row r="41" ht="40" customHeight="1" s="71">
      <c r="A41" s="234" t="inlineStr">
        <is>
          <t>281: o projeto da ETA atrasou e segurou a antecipação 7.1.4 (R$ 408.556) do BM06 em diante.</t>
        </is>
      </c>
      <c r="B41" s="234" t="inlineStr">
        <is>
          <t>Projeto entra na 05C com data limite contada para trás a partir do BM que ele destrava, e é cobrado por escrito depois de 5 dias úteis sem resposta.</t>
        </is>
      </c>
      <c r="C41" s="269" t="inlineStr">
        <is>
          <t>05C R44 e R52; auditoria 15/10, item 4 e CE08</t>
        </is>
      </c>
      <c r="D41" s="234" t="inlineStr">
        <is>
          <t>05C R07, R11 e R12 (342) com causa e resposta; R44 com data limite de 20/12/2026; risco R95</t>
        </is>
      </c>
    </row>
    <row r="42" ht="40" customHeight="1" s="71">
      <c r="A42" s="234" t="inlineStr">
        <is>
          <t>281: do BM04 ao BM07 os BMs oscilaram de 41,5% a 146% do previsto (do BM01 ao BM03 mediram de 1,9 a 6,0 vezes o previsto); setembro (BM07) mediu 0,43 do mês.</t>
        </is>
      </c>
      <c r="B42" s="234" t="inlineStr">
        <is>
          <t>Olhar o IDP do mês e por pacote, não só o acumulado; atraso e adiantamento em linhas separadas.</t>
        </is>
      </c>
      <c r="C42" s="269" t="inlineStr">
        <is>
          <t>auditoria 15/10, itens 4 e 10, CE08</t>
        </is>
      </c>
      <c r="D42" s="234" t="inlineStr">
        <is>
          <t>05C R63 (lista única dos eventos atrasados da 281)</t>
        </is>
      </c>
    </row>
    <row r="43" ht="40" customHeight="1" s="71">
      <c r="A43" s="234" t="inlineStr">
        <is>
          <t>281: as CNDs da TECNOBOMBAS venceram entre 11/05 e 27/08, no meio dos BMs aprovados.</t>
        </is>
      </c>
      <c r="B43" s="234" t="inlineStr">
        <is>
          <t>Conferir as CNDs antes de cada NF e saber se cada BM foi pago.</t>
        </is>
      </c>
      <c r="C43" s="269" t="inlineStr">
        <is>
          <t>05C R58; auditoria 15/10, item 2</t>
        </is>
      </c>
      <c r="D43" s="234" t="inlineStr">
        <is>
          <t>05C R60</t>
        </is>
      </c>
    </row>
    <row r="44" ht="40" customHeight="1" s="71">
      <c r="A44" s="234" t="inlineStr">
        <is>
          <t>281: a fundação da ETA mudou (radier no lugar de estaca raiz) sem registro escrito.</t>
        </is>
      </c>
      <c r="B44" s="234" t="inlineStr">
        <is>
          <t>Mudança de projeto só vale com resposta escrita do cliente e registro de data, sondagem e projeto antes e depois.</t>
        </is>
      </c>
      <c r="C44" s="269" t="inlineStr">
        <is>
          <t>05C R64; auditoria 15/10, 281-PM-06</t>
        </is>
      </c>
      <c r="D44" s="234" t="inlineStr">
        <is>
          <t>05C R11 (sondagem do tanque de lodo da 342)</t>
        </is>
      </c>
    </row>
    <row r="45" ht="40" customHeight="1" s="71">
      <c r="A45" s="234" t="inlineStr">
        <is>
          <t>342: o pedido de material em canteiro foi montado antes de ler o edital, que não prevê o pagamento.</t>
        </is>
      </c>
      <c r="B45" s="234" t="inlineStr">
        <is>
          <t>Ler edital e contrato antes de levar proposta ao cliente.</t>
        </is>
      </c>
      <c r="C45" s="269" t="inlineStr">
        <is>
          <t>05C R80; auditoria 15/10, R3R-04</t>
        </is>
      </c>
      <c r="D45" s="234" t="inlineStr">
        <is>
          <t>05C R30 (Rev04, sem material em canteiro)</t>
        </is>
      </c>
    </row>
    <row r="46" ht="40" customHeight="1" s="71">
      <c r="A46" s="234" t="inlineStr">
        <is>
          <t>281: a entrega do reservatório foi remarcada três vezes.</t>
        </is>
      </c>
      <c r="B46" s="234" t="inlineStr">
        <is>
          <t>Toda remarcação ganha causa e nova data escritas, e a contagem fica na 05C.</t>
        </is>
      </c>
      <c r="C46" s="269" t="inlineStr">
        <is>
          <t>05C R47</t>
        </is>
      </c>
      <c r="D46" s="234" t="inlineStr">
        <is>
          <t>05C colunas T, U e V (causa, nova data, vezes replanejada)</t>
        </is>
      </c>
    </row>
    <row r="47" ht="40" customHeight="1" s="71">
      <c r="A47" s="234" t="inlineStr">
        <is>
          <t>281: a antecipação das NFs custa 1,96% ao mês (0,98% em 15 dias), perto de R$ 105 mil sobre o saldo, fora do custo.</t>
        </is>
      </c>
      <c r="B47" s="234" t="inlineStr">
        <is>
          <t>Custo da antecipação entra no caixa e no custo da obra.</t>
        </is>
      </c>
      <c r="C47" s="269" t="inlineStr">
        <is>
          <t>03 F23; auditoria 15/10, item 2</t>
        </is>
      </c>
      <c r="D47" s="234" t="inlineStr">
        <is>
          <t>05C R74 (antecipação da 342)</t>
        </is>
      </c>
    </row>
    <row r="48" ht="40" customHeight="1" s="71">
      <c r="A48" s="234" t="inlineStr">
        <is>
          <t>281: o reajuste é pago por BM em NF separada, e só a NF 403 está registrada.</t>
        </is>
      </c>
      <c r="B48" s="234" t="inlineStr">
        <is>
          <t>Reajuste por obra com data do pedido, protocolo, valor pedido, valor aprovado e dono.</t>
        </is>
      </c>
      <c r="C48" s="269" t="inlineStr">
        <is>
          <t>03 F19; auditoria 15/10, item 7</t>
        </is>
      </c>
      <c r="D48" s="234" t="inlineStr">
        <is>
          <t>03 bloco REAJUSTE POR OBRA; 05C R31 e R60</t>
        </is>
      </c>
    </row>
    <row r="49"/>
  </sheetData>
  <mergeCells count="1">
    <mergeCell ref="A4:B4"/>
  </mergeCells>
  <hyperlinks>
    <hyperlink ref="D1" location="'00A. MENU'!A1" display="◀ MENU"/>
  </hyperlinks>
  <pageMargins left="0.75" right="0.75" top="1" bottom="1" header="0.5" footer="0.5"/>
  <pageSetup orientation="landscape" fitToHeight="0"/>
</worksheet>
</file>

<file path=xl/worksheets/sheet32.xml><?xml version="1.0" encoding="utf-8"?>
<worksheet xmlns="http://schemas.openxmlformats.org/spreadsheetml/2006/main">
  <sheetPr>
    <tabColor rgb="FFA6A6A6"/>
    <outlinePr summaryBelow="1" summaryRight="1"/>
    <pageSetUpPr fitToPage="1"/>
  </sheetPr>
  <dimension ref="A1:D12"/>
  <sheetViews>
    <sheetView showGridLines="0" workbookViewId="0">
      <selection activeCell="A1" sqref="A1"/>
    </sheetView>
  </sheetViews>
  <sheetFormatPr baseColWidth="8" defaultRowHeight="15"/>
  <cols>
    <col width="14" customWidth="1" style="71" min="1" max="1"/>
    <col width="120" customWidth="1" style="71" min="2" max="2"/>
  </cols>
  <sheetData>
    <row r="1" ht="26.1" customHeight="1" s="71">
      <c r="A1" s="1" t="inlineStr">
        <is>
          <t>15. CHANGELOG</t>
        </is>
      </c>
      <c r="B1" s="2" t="n"/>
      <c r="C1" s="2" t="n"/>
      <c r="D1" s="3" t="inlineStr">
        <is>
          <t>◀ MENU</t>
        </is>
      </c>
    </row>
    <row r="2"/>
    <row r="3"/>
    <row r="4" ht="30" customHeight="1" s="71">
      <c r="A4" s="23" t="inlineStr">
        <is>
          <t>DATA</t>
        </is>
      </c>
      <c r="B4" s="23" t="inlineStr">
        <is>
          <t>O QUE MUDOU</t>
        </is>
      </c>
    </row>
    <row r="5">
      <c r="A5" s="69" t="n">
        <v>46292</v>
      </c>
      <c r="B5" s="54" t="inlineStr">
        <is>
          <t>Primeira versão: mesma arquitetura da WCR - GESTÃO DA EMPRESA (menu, painel, placar semanal, contratos, BM, NF, custos por obra, resultado, caixa, EVM, checks), plano vindo do MOTOR TAF.</t>
        </is>
      </c>
    </row>
    <row r="6">
      <c r="A6" s="69" t="n">
        <v>46305</v>
      </c>
      <c r="B6" s="54" t="inlineStr">
        <is>
          <t>rev1: arquivo TAF - GESTAO E OPERACAO. Abas novas: 00A. CICLO DA OBRA, CRONOGRAMA PROJECT, HISTOGRAMA PLANEJADO, FLUXO PROJETADO TAF, DASHBOARD BI TAF, PAUTA DE SEGUNDA TAF, LINHA DE BASE TAF, CHECKS DA OPERAÇÃO TAF. Nome DATA_GESTAO = 02. PARÂMETROS B5. Nenhuma aba da base foi alterada (só este registro e o 00A. MENU).</t>
        </is>
      </c>
    </row>
    <row r="7">
      <c r="A7" s="69" t="n">
        <v>46310</v>
      </c>
      <c r="B7" s="54" t="inlineStr">
        <is>
          <t>rev2: corte em 16/10/2026. Plano da 342 trocado pelo estudo REV12 (cenário 1, eventograma Anexo VII) na 04, FLUXO, HISTOGRAMA, CRONOGRAMA (eventos com datas do plano) e LINHA DE BASE. Abas novas: 01A GESTÃO DA SEMANA, 05A COMPROMISSO DA SEMANA, 05B APONTAMENTO DIÁRIO, 05C RESTRIÇÕES; a 05. SEMANAS passa a ser calculada a partir delas. Feriados, listas e margem-alvo na 02. Recebimento da 343 na 04 (linha 19) passa a vir do FLUXO, pela mesma regra de prazo da 342; a 10. CAIXA e o FLUXO agora dão o mesmo pior saldo.</t>
        </is>
      </c>
    </row>
    <row r="8">
      <c r="A8" s="69" t="n">
        <v>46310</v>
      </c>
      <c r="B8" s="54" t="inlineStr">
        <is>
          <t>rev3: entra a obra 281 (SANEAGO Mozarlândia, contrato 30000415/2025, consórcio TAF TECNOBOMBAS). 03 colunas F e G e linhas 21 a 24; 04 linhas 40 a 50 (cronograma FF da SANEAGO) e coluna E do resultado; 06 com os BMs 1 a 7; 07 com as NFs 402 e 403 e a coluna O (outras retenções); aba nova 08D com os 342 lançamentos do consórcio e a 08 somando por mês e conta; 08B, 08C, 01C, PAINEL, 01A, PAUTA, 05, 05A, 05B e 05C para três obras; feriados por obra na 02 (coluna H para a 281). A 281 fica fora do FLUXO e da 10. CAIXA até ter orçamento de custo e a parte da TAF confirmada. Datas em texto passam a ser montadas sem formato de ano (funcionam no Excel em português).</t>
        </is>
      </c>
    </row>
    <row r="9">
      <c r="A9" s="69" t="n">
        <v>46310</v>
      </c>
      <c r="B9" s="54" t="inlineStr">
        <is>
          <t>rev4: plano da 342 trocado do estudo REV12 pelo REV13 (15/10/2026 09:09) na 04, FLUXO, HISTOGRAMA, CRONOGRAMA e LINHA DE BASE (re-base antes do início da obra). Custo do plano R$ 3.212.459 (era 3.011.026), sem cotação R$ 992.751, pior ponto do caixa diário do estudo −R$ 1.214.331 em 15/02/2027 (antecipação de 15 dias a 1,96% a.m.). Pico de pessoas 43 (era 41). Valores dos eventos do Anexo VII e medição de cada BM iguais; 15 eventos mudam a data de término (de 16 dias antes a 7 dias depois), todos no mesmo corte de BM. 281 e 343 sem mudança. 05C: 8 restrições novas do estudo REV13 (aba 17) em R69 a R74, R77 e R78; as de bombas e elétrica entraram no texto das R28 e R25 (mesmo pacote e prazo). Feriados municipais de Santo Antônio do Descoberto (30/11, 14/05, 13/06) passam a valer na 342, como no estudo. Equipamentos da 342 na HISTOGRAMA pelas abas 35 e 36 do estudo. Lista do Felipe (15/10): donos da R30 (Alecio, Thadeu e Felipe), planejamento R75, quantitativos R76, decisão da 342 na 01A (terraplenagem primeiro, FoFo depois da aprovação do eventograma). PAUTA: duas linhas novas da 342 (lista do Felipe; vigilância, transporte e antecipação), contagem 'vencendo esta semana' pela data (inclui as sem dono), faixas antigas tiradas das linhas de texto e lista de situação nas decisões. Título da 00. GUIA inclui a 281.</t>
        </is>
      </c>
    </row>
    <row r="10">
      <c r="A10" s="69" t="n">
        <v>46310</v>
      </c>
      <c r="B10" s="54" t="inlineStr">
        <is>
          <t>rev4 (15/10 tarde), conferência do roteiro 342: BMs da 342 pela numeração do Plano de Trabalho, Anexo 4 (corte de 20/10 = BM2; 21/11 a 20/12 = BM4); R30 e PAUTA citam a proposta Revisão 03 (códigos novos e valores em canteiro no texto da R30; a 05C segue o Anexo VII até a SANEAGO aprovar); R14 passa a ser a topografia feita e protocolada até 16/10, antes de cortar; 05C R79 a R82: ART e 1º pagamento, material em canteiro (IN00.0615 4.1.9.2, depende do edital), liberação dos 2 primeiros meses (Anexo VII p. 15) e Plano de Trabalho v03 (480 dias); 05A: terraplenagem da 1ª semana 810 m³ (161,9 m³/dia com o fator de chuva), era 973.</t>
        </is>
      </c>
    </row>
    <row r="11">
      <c r="A11" s="69" t="n">
        <v>46310</v>
      </c>
      <c r="B11" s="54" t="inlineStr">
        <is>
          <t>rev4 (15/10, 13h): o Edital 002/2025 não prevê pagar material entregue no canteiro (itens 23.2 e 23.3.2). R80 RESOLVIDA com essa fonte; o pedido de canteiro saiu da R30 e da PAUTA (fica a divisão dos eventos); 04 B36 sem o cenário 3 do estudo (proposta Rev02, que contava material em canteiro); R79 (ART) cita também o item 23.13 do edital.</t>
        </is>
      </c>
    </row>
    <row r="12">
      <c r="A12" s="69" t="n">
        <v>46310</v>
      </c>
      <c r="B12" s="54" t="inlineStr">
        <is>
          <t>rev6 (montada sobre a rev4; a rev5 que está no PC, de 15/10, com 11 abas novas, não entrou): correções da auditoria dos 21 erros (auditoria/AUDITORIA 21 ERROS - PLANILHAS TAF - 2026-10-15.md). Caixa: FLUXO C7 sai do prazo da 03; a 343 recebe pela regra do contrato (NF no 1º dia útil do mês seguinte + 30 dias), e o pior saldo da empresa vai para -1,71 mi em nov/26; ISS por obra na 02; 10. CAIXA com saldo bancário, adm central e reajuste (PENDENTE). 281: parte da TAF (03 F22 = 50%, a confirmar com Thadeu), carteira da TAF, resultado da TAF SEM BASE até o termo do consórcio (08C B39), IDP 1,25 só aprovado, 1,04 com o BM07 enviado e 0,43 no mês do BM07 (08B J, O e P), igual à reunião da 281. Painel: SEM BASE no lugar de zero falso, IDC a custo, DECIDIR no MASTER CHECK. 05C: colunas de risco e causa, R83 a R102, aba ampliada para 200 linhas. LINHA DE BASE: marcos da 281. CRONOGRAMA: critério de aceite e marcos de recebimento. 343: o custo do motor (04 D30) é o completo; o plano mensal não tem R$ 96.418 (13. CHECKS E16, 05C R101). R30 cita a proposta Rev04. O FLUXO da 343 passa a ler a 04 (uma cópia só do motor). Resultado previsto da 343 = contrato líquido − custo do motor, sem o custo financeiro do motor (R$ 109.210), como a 342 (antes do juro): 1.080.334 em vez de 971.124. Capital de giro do painel = FLUXO E16 (regra única da 02 B13); a 10. CAIXA mostra o mesmo com juro. Marcos da 281 vencidos sem concluir ficam PENDENTE até a data nova (R102). Luzes: iguais à rev4.</t>
        </is>
      </c>
    </row>
  </sheetData>
  <hyperlinks>
    <hyperlink ref="D1" location="'00A. MENU'!A1" display="◀ MENU"/>
  </hyperlink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2026-09-28T04:57:58Z</dcterms:created>
  <dcterms:modified xmlns:dcterms="http://purl.org/dc/terms/" xmlns:xsi="http://www.w3.org/2001/XMLSchema-instance" xsi:type="dcterms:W3CDTF">2026-10-15T15:14:23Z</dcterms:modified>
  <cp:lastModifiedBy>Felipe Coelho Nery</cp:lastModifiedBy>
</cp:coreProperties>
</file>